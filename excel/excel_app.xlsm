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yal\Downloads\"/>
    </mc:Choice>
  </mc:AlternateContent>
  <xr:revisionPtr revIDLastSave="0" documentId="13_ncr:1_{8D648FAB-EC67-4C31-BD55-FCD9C2B522E0}" xr6:coauthVersionLast="47" xr6:coauthVersionMax="47" xr10:uidLastSave="{00000000-0000-0000-0000-000000000000}"/>
  <bookViews>
    <workbookView xWindow="-120" yWindow="-120" windowWidth="38640" windowHeight="21120" activeTab="2" xr2:uid="{92BACEE6-60C9-47D0-9639-6409AD216209}"/>
  </bookViews>
  <sheets>
    <sheet name="INVENTORY" sheetId="6" r:id="rId1"/>
    <sheet name="LISTS" sheetId="5" state="hidden" r:id="rId2"/>
    <sheet name="ADVANCED_SEARCH" sheetId="4" r:id="rId3"/>
  </sheets>
  <functionGroups builtInGroupCount="19"/>
  <definedNames>
    <definedName name="_xlnm._FilterDatabase" localSheetId="2" hidden="1">ADVANCED_SEARCH!$A$8:$Y$14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2" i="4" l="1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T10" i="6"/>
  <c r="T6" i="6" l="1"/>
  <c r="T2" i="6" l="1"/>
  <c r="T5" i="6"/>
  <c r="AC2" i="6"/>
  <c r="T3" i="6"/>
  <c r="AC3" i="6"/>
  <c r="T4" i="6"/>
  <c r="AC4" i="6"/>
  <c r="AC5" i="6"/>
  <c r="AC6" i="6"/>
  <c r="T7" i="6"/>
  <c r="AC7" i="6"/>
  <c r="T8" i="6"/>
  <c r="AC8" i="6"/>
  <c r="T9" i="6"/>
  <c r="AC9" i="6"/>
  <c r="AC10" i="6"/>
  <c r="T11" i="6"/>
  <c r="AC11" i="6"/>
  <c r="T12" i="6"/>
  <c r="AC12" i="6"/>
  <c r="T13" i="6"/>
  <c r="AC13" i="6"/>
  <c r="T14" i="6"/>
  <c r="AC14" i="6"/>
  <c r="T15" i="6"/>
  <c r="AC15" i="6"/>
  <c r="T16" i="6"/>
  <c r="AC16" i="6"/>
  <c r="T17" i="6"/>
  <c r="AC17" i="6"/>
  <c r="T18" i="6"/>
  <c r="AC18" i="6"/>
  <c r="T19" i="6"/>
  <c r="AC19" i="6"/>
  <c r="T20" i="6"/>
  <c r="AC20" i="6"/>
  <c r="T21" i="6"/>
  <c r="AC21" i="6"/>
  <c r="T22" i="6"/>
  <c r="AC22" i="6"/>
  <c r="T23" i="6"/>
  <c r="AC23" i="6"/>
  <c r="T24" i="6"/>
  <c r="AC24" i="6"/>
  <c r="T25" i="6"/>
  <c r="AC25" i="6"/>
  <c r="T26" i="6"/>
  <c r="AC26" i="6"/>
  <c r="T27" i="6"/>
  <c r="AC27" i="6"/>
  <c r="T28" i="6"/>
  <c r="AC28" i="6"/>
  <c r="T29" i="6"/>
  <c r="AC29" i="6"/>
  <c r="T30" i="6"/>
  <c r="AC30" i="6"/>
  <c r="T31" i="6"/>
  <c r="AC31" i="6"/>
  <c r="T32" i="6"/>
  <c r="AC32" i="6"/>
  <c r="T33" i="6"/>
  <c r="AC33" i="6"/>
  <c r="T34" i="6"/>
  <c r="AC34" i="6"/>
  <c r="T35" i="6"/>
  <c r="AC35" i="6"/>
  <c r="T36" i="6"/>
  <c r="AC36" i="6"/>
  <c r="T37" i="6"/>
  <c r="AC37" i="6"/>
  <c r="T38" i="6"/>
  <c r="AC38" i="6"/>
  <c r="T39" i="6"/>
  <c r="AC39" i="6"/>
  <c r="T40" i="6"/>
  <c r="AC40" i="6"/>
  <c r="T41" i="6"/>
  <c r="AC41" i="6"/>
  <c r="T42" i="6"/>
  <c r="AC42" i="6"/>
  <c r="T43" i="6"/>
  <c r="AC43" i="6"/>
  <c r="T44" i="6"/>
  <c r="AC44" i="6"/>
  <c r="T45" i="6"/>
  <c r="AC45" i="6"/>
  <c r="T46" i="6"/>
  <c r="AC46" i="6"/>
  <c r="T47" i="6"/>
  <c r="AC47" i="6"/>
  <c r="T48" i="6"/>
  <c r="AC48" i="6"/>
  <c r="T49" i="6"/>
  <c r="AC49" i="6"/>
  <c r="T50" i="6"/>
  <c r="AC50" i="6"/>
  <c r="T51" i="6"/>
  <c r="AC51" i="6"/>
  <c r="T52" i="6"/>
  <c r="AC52" i="6"/>
  <c r="T53" i="6"/>
  <c r="AC53" i="6"/>
  <c r="T54" i="6"/>
  <c r="AC54" i="6"/>
  <c r="T55" i="6"/>
  <c r="AC55" i="6"/>
  <c r="T56" i="6"/>
  <c r="AC56" i="6"/>
  <c r="T57" i="6"/>
  <c r="AC57" i="6"/>
  <c r="T58" i="6"/>
  <c r="AC58" i="6"/>
  <c r="T59" i="6"/>
  <c r="AC59" i="6"/>
  <c r="T60" i="6"/>
  <c r="AC60" i="6"/>
  <c r="T61" i="6"/>
  <c r="AC61" i="6"/>
  <c r="T62" i="6"/>
  <c r="AC62" i="6"/>
  <c r="T63" i="6"/>
  <c r="AC63" i="6"/>
  <c r="T64" i="6"/>
  <c r="AC64" i="6"/>
  <c r="T65" i="6"/>
  <c r="AC65" i="6"/>
  <c r="T66" i="6"/>
  <c r="AC66" i="6"/>
  <c r="T67" i="6"/>
  <c r="AC67" i="6"/>
  <c r="T68" i="6"/>
  <c r="AC68" i="6"/>
  <c r="T69" i="6"/>
  <c r="AC69" i="6"/>
  <c r="T70" i="6"/>
  <c r="AC70" i="6"/>
  <c r="T71" i="6"/>
  <c r="AC71" i="6"/>
  <c r="T72" i="6"/>
  <c r="AC72" i="6"/>
  <c r="T73" i="6"/>
  <c r="AC73" i="6"/>
  <c r="T74" i="6"/>
  <c r="AC74" i="6"/>
  <c r="T75" i="6"/>
  <c r="AC75" i="6"/>
  <c r="T76" i="6"/>
  <c r="AC76" i="6"/>
  <c r="T77" i="6"/>
  <c r="AC77" i="6"/>
  <c r="T78" i="6"/>
  <c r="AC78" i="6"/>
  <c r="T79" i="6"/>
  <c r="AC79" i="6"/>
  <c r="T80" i="6"/>
  <c r="AC80" i="6"/>
  <c r="T81" i="6"/>
  <c r="AC81" i="6"/>
  <c r="T82" i="6"/>
  <c r="AC82" i="6"/>
  <c r="T83" i="6"/>
  <c r="AC83" i="6"/>
  <c r="T84" i="6"/>
  <c r="AC84" i="6"/>
  <c r="T85" i="6"/>
  <c r="AC85" i="6"/>
  <c r="T86" i="6"/>
  <c r="AC86" i="6"/>
  <c r="T87" i="6"/>
  <c r="AC87" i="6"/>
  <c r="T88" i="6"/>
  <c r="AC88" i="6"/>
  <c r="T89" i="6"/>
  <c r="AC89" i="6"/>
  <c r="T90" i="6"/>
  <c r="AC90" i="6"/>
  <c r="T91" i="6"/>
  <c r="AC91" i="6"/>
  <c r="T92" i="6"/>
  <c r="AC92" i="6"/>
  <c r="T93" i="6"/>
  <c r="AC93" i="6"/>
  <c r="T94" i="6"/>
  <c r="AC94" i="6"/>
  <c r="T95" i="6"/>
  <c r="AC95" i="6"/>
  <c r="T96" i="6"/>
  <c r="AC96" i="6"/>
  <c r="T97" i="6"/>
  <c r="AC97" i="6"/>
  <c r="T98" i="6"/>
  <c r="AC98" i="6"/>
  <c r="T99" i="6"/>
  <c r="AC99" i="6"/>
  <c r="T100" i="6"/>
  <c r="AC100" i="6"/>
  <c r="T101" i="6"/>
  <c r="AC101" i="6"/>
  <c r="T102" i="6"/>
  <c r="AC102" i="6"/>
  <c r="T103" i="6"/>
  <c r="AC103" i="6"/>
  <c r="T104" i="6"/>
  <c r="AC104" i="6"/>
  <c r="T105" i="6"/>
  <c r="AC105" i="6"/>
  <c r="T106" i="6"/>
  <c r="AC106" i="6"/>
  <c r="T107" i="6"/>
  <c r="AC107" i="6"/>
  <c r="T108" i="6"/>
  <c r="AC108" i="6"/>
  <c r="T109" i="6"/>
  <c r="AC109" i="6"/>
  <c r="T110" i="6"/>
  <c r="AC110" i="6"/>
  <c r="T111" i="6"/>
  <c r="AC111" i="6"/>
  <c r="T112" i="6"/>
  <c r="AC112" i="6"/>
  <c r="T113" i="6"/>
  <c r="AC113" i="6"/>
  <c r="T114" i="6"/>
  <c r="AC114" i="6"/>
  <c r="T115" i="6"/>
  <c r="AC115" i="6"/>
  <c r="T116" i="6"/>
  <c r="AC116" i="6"/>
  <c r="T117" i="6"/>
  <c r="AC117" i="6"/>
  <c r="T118" i="6"/>
  <c r="AC118" i="6"/>
  <c r="T119" i="6"/>
  <c r="AC119" i="6"/>
  <c r="T120" i="6"/>
  <c r="AC120" i="6"/>
  <c r="T121" i="6"/>
  <c r="AC121" i="6"/>
  <c r="T122" i="6"/>
  <c r="AC122" i="6"/>
  <c r="T123" i="6"/>
  <c r="AC123" i="6"/>
  <c r="T124" i="6"/>
  <c r="AC124" i="6"/>
  <c r="T125" i="6"/>
  <c r="AC125" i="6"/>
  <c r="T126" i="6"/>
  <c r="AC126" i="6"/>
  <c r="T127" i="6"/>
  <c r="AC127" i="6"/>
  <c r="T128" i="6"/>
  <c r="AC128" i="6"/>
  <c r="T129" i="6"/>
  <c r="AC129" i="6"/>
  <c r="T130" i="6"/>
  <c r="AC130" i="6"/>
  <c r="T131" i="6"/>
  <c r="AC131" i="6"/>
  <c r="T132" i="6"/>
  <c r="AC132" i="6"/>
  <c r="T133" i="6"/>
  <c r="AC133" i="6"/>
  <c r="T134" i="6"/>
  <c r="AC134" i="6"/>
  <c r="T135" i="6"/>
  <c r="AC135" i="6"/>
  <c r="T136" i="6"/>
  <c r="AC136" i="6"/>
  <c r="T137" i="6"/>
  <c r="AC137" i="6"/>
  <c r="T138" i="6"/>
  <c r="AC138" i="6"/>
  <c r="T139" i="6"/>
  <c r="AC139" i="6"/>
  <c r="T140" i="6"/>
  <c r="AC140" i="6"/>
  <c r="T141" i="6"/>
  <c r="AC141" i="6"/>
  <c r="T142" i="6"/>
  <c r="AC142" i="6"/>
  <c r="T143" i="6"/>
  <c r="AC143" i="6"/>
  <c r="T144" i="6"/>
  <c r="AC144" i="6"/>
  <c r="T145" i="6"/>
  <c r="AC145" i="6"/>
  <c r="T146" i="6"/>
  <c r="AC146" i="6"/>
  <c r="T147" i="6"/>
  <c r="AC147" i="6"/>
  <c r="T148" i="6"/>
  <c r="AC148" i="6"/>
  <c r="T149" i="6"/>
  <c r="AC149" i="6"/>
  <c r="T150" i="6"/>
  <c r="AC150" i="6"/>
  <c r="T151" i="6"/>
  <c r="AC151" i="6"/>
  <c r="T152" i="6"/>
  <c r="AC152" i="6"/>
  <c r="T153" i="6"/>
  <c r="AC153" i="6"/>
  <c r="T154" i="6"/>
  <c r="AC154" i="6"/>
  <c r="T155" i="6"/>
  <c r="AC155" i="6"/>
  <c r="T156" i="6"/>
  <c r="AC156" i="6"/>
  <c r="T157" i="6"/>
  <c r="AC157" i="6"/>
  <c r="T158" i="6"/>
  <c r="AC158" i="6"/>
  <c r="T159" i="6"/>
  <c r="AC159" i="6"/>
  <c r="T160" i="6"/>
  <c r="AC160" i="6"/>
  <c r="T161" i="6"/>
  <c r="AC161" i="6"/>
  <c r="T162" i="6"/>
  <c r="AC162" i="6"/>
  <c r="T163" i="6"/>
  <c r="AC163" i="6"/>
  <c r="T164" i="6"/>
  <c r="AC164" i="6"/>
  <c r="T165" i="6"/>
  <c r="AC165" i="6"/>
  <c r="T166" i="6"/>
  <c r="AC166" i="6"/>
  <c r="T167" i="6"/>
  <c r="AC167" i="6"/>
  <c r="T168" i="6"/>
  <c r="AC168" i="6"/>
  <c r="T169" i="6"/>
  <c r="AC169" i="6"/>
  <c r="T170" i="6"/>
  <c r="AC170" i="6"/>
  <c r="T171" i="6"/>
  <c r="AC171" i="6"/>
  <c r="T172" i="6"/>
  <c r="AC172" i="6"/>
  <c r="T173" i="6"/>
  <c r="AC173" i="6"/>
  <c r="T174" i="6"/>
  <c r="AC174" i="6"/>
  <c r="T175" i="6"/>
  <c r="AC175" i="6"/>
  <c r="T176" i="6"/>
  <c r="AC176" i="6"/>
  <c r="T177" i="6"/>
  <c r="AC177" i="6"/>
  <c r="T178" i="6"/>
  <c r="AC178" i="6"/>
  <c r="T179" i="6"/>
  <c r="AC179" i="6"/>
  <c r="T180" i="6"/>
  <c r="AC180" i="6"/>
  <c r="T181" i="6"/>
  <c r="AC181" i="6"/>
  <c r="T182" i="6"/>
  <c r="AC182" i="6"/>
  <c r="T183" i="6"/>
  <c r="AC183" i="6"/>
  <c r="T184" i="6"/>
  <c r="AC184" i="6"/>
  <c r="T185" i="6"/>
  <c r="AC185" i="6"/>
  <c r="T186" i="6"/>
  <c r="AC186" i="6"/>
  <c r="T187" i="6"/>
  <c r="AC187" i="6"/>
  <c r="T188" i="6"/>
  <c r="AC188" i="6"/>
  <c r="T189" i="6"/>
  <c r="AC189" i="6"/>
  <c r="T190" i="6"/>
  <c r="AC190" i="6"/>
  <c r="T191" i="6"/>
  <c r="AC191" i="6"/>
  <c r="T192" i="6"/>
  <c r="AC192" i="6"/>
  <c r="T193" i="6"/>
  <c r="AC193" i="6"/>
  <c r="T194" i="6"/>
  <c r="AC194" i="6"/>
  <c r="T195" i="6"/>
  <c r="AC195" i="6"/>
  <c r="T196" i="6"/>
  <c r="AC196" i="6"/>
  <c r="T197" i="6"/>
  <c r="AC197" i="6"/>
  <c r="T198" i="6"/>
  <c r="AC198" i="6"/>
  <c r="T199" i="6"/>
  <c r="AC199" i="6"/>
  <c r="T200" i="6"/>
  <c r="AC200" i="6"/>
  <c r="T201" i="6"/>
  <c r="AC201" i="6"/>
  <c r="T202" i="6"/>
  <c r="AC202" i="6"/>
  <c r="T203" i="6"/>
  <c r="AC203" i="6"/>
  <c r="T204" i="6"/>
  <c r="AC204" i="6"/>
  <c r="T205" i="6"/>
  <c r="AC205" i="6"/>
  <c r="T206" i="6"/>
  <c r="AC206" i="6"/>
  <c r="T207" i="6"/>
  <c r="AC207" i="6"/>
  <c r="T208" i="6"/>
  <c r="AC208" i="6"/>
  <c r="T209" i="6"/>
  <c r="AC209" i="6"/>
  <c r="T210" i="6"/>
  <c r="AC210" i="6"/>
  <c r="T211" i="6"/>
  <c r="AC211" i="6"/>
  <c r="T212" i="6"/>
  <c r="AC212" i="6"/>
  <c r="T213" i="6"/>
  <c r="AC213" i="6"/>
  <c r="T214" i="6"/>
  <c r="AC214" i="6"/>
  <c r="T215" i="6"/>
  <c r="AC215" i="6"/>
  <c r="T216" i="6"/>
  <c r="AC216" i="6"/>
  <c r="T217" i="6"/>
  <c r="AC217" i="6"/>
  <c r="T218" i="6"/>
  <c r="AC218" i="6"/>
  <c r="T219" i="6"/>
  <c r="AC219" i="6"/>
  <c r="T220" i="6"/>
  <c r="AC220" i="6"/>
  <c r="T221" i="6"/>
  <c r="AC221" i="6"/>
  <c r="T222" i="6"/>
  <c r="AC222" i="6"/>
  <c r="T223" i="6"/>
  <c r="AC223" i="6"/>
  <c r="T224" i="6"/>
  <c r="AC224" i="6"/>
  <c r="T225" i="6"/>
  <c r="AC225" i="6"/>
  <c r="T226" i="6"/>
  <c r="AC226" i="6"/>
  <c r="T227" i="6"/>
  <c r="AC227" i="6"/>
  <c r="T228" i="6"/>
  <c r="AC228" i="6"/>
  <c r="T229" i="6"/>
  <c r="AC229" i="6"/>
  <c r="T230" i="6"/>
  <c r="AC230" i="6"/>
  <c r="T231" i="6"/>
  <c r="AC231" i="6"/>
  <c r="T232" i="6"/>
  <c r="AC232" i="6"/>
  <c r="T233" i="6"/>
  <c r="AC233" i="6"/>
  <c r="T234" i="6"/>
  <c r="AC234" i="6"/>
  <c r="T235" i="6"/>
  <c r="AC235" i="6"/>
  <c r="T236" i="6"/>
  <c r="AC236" i="6"/>
  <c r="T237" i="6"/>
  <c r="AC237" i="6"/>
  <c r="T238" i="6"/>
  <c r="AC238" i="6"/>
  <c r="T239" i="6"/>
  <c r="AC239" i="6"/>
  <c r="T240" i="6"/>
  <c r="AC240" i="6"/>
  <c r="T241" i="6"/>
  <c r="AC241" i="6"/>
  <c r="T242" i="6"/>
  <c r="AC242" i="6"/>
  <c r="T243" i="6"/>
  <c r="AC243" i="6"/>
  <c r="T244" i="6"/>
  <c r="AC244" i="6"/>
  <c r="T245" i="6"/>
  <c r="AC245" i="6"/>
  <c r="T246" i="6"/>
  <c r="AC246" i="6"/>
  <c r="T247" i="6"/>
  <c r="AC247" i="6"/>
  <c r="T248" i="6"/>
  <c r="AC248" i="6"/>
  <c r="T249" i="6"/>
  <c r="AC249" i="6"/>
  <c r="T250" i="6"/>
  <c r="AC250" i="6"/>
  <c r="T251" i="6"/>
  <c r="AC251" i="6"/>
  <c r="T252" i="6"/>
  <c r="AC252" i="6"/>
  <c r="T253" i="6"/>
  <c r="AC253" i="6"/>
  <c r="T254" i="6"/>
  <c r="AC254" i="6"/>
  <c r="T255" i="6"/>
  <c r="AC255" i="6"/>
  <c r="T256" i="6"/>
  <c r="AC256" i="6"/>
  <c r="T257" i="6"/>
  <c r="AC257" i="6"/>
  <c r="T258" i="6"/>
  <c r="AC258" i="6"/>
  <c r="T259" i="6"/>
  <c r="AC259" i="6"/>
  <c r="T260" i="6"/>
  <c r="AC260" i="6"/>
  <c r="T261" i="6"/>
  <c r="AC261" i="6"/>
  <c r="T262" i="6"/>
  <c r="AC262" i="6"/>
  <c r="T263" i="6"/>
  <c r="AC263" i="6"/>
  <c r="T264" i="6"/>
  <c r="AC264" i="6"/>
  <c r="T265" i="6"/>
  <c r="AC265" i="6"/>
  <c r="T266" i="6"/>
  <c r="AC266" i="6"/>
  <c r="T267" i="6"/>
  <c r="AC267" i="6"/>
  <c r="T268" i="6"/>
  <c r="AC268" i="6"/>
  <c r="T269" i="6"/>
  <c r="AC269" i="6"/>
  <c r="T270" i="6"/>
  <c r="AC270" i="6"/>
  <c r="T271" i="6"/>
  <c r="AC271" i="6"/>
  <c r="T272" i="6"/>
  <c r="AC272" i="6"/>
  <c r="T273" i="6"/>
  <c r="AC273" i="6"/>
  <c r="T274" i="6"/>
  <c r="AC274" i="6"/>
  <c r="T275" i="6"/>
  <c r="AC275" i="6"/>
  <c r="T276" i="6"/>
  <c r="AC276" i="6"/>
  <c r="T277" i="6"/>
  <c r="AC277" i="6"/>
  <c r="T278" i="6"/>
  <c r="AC278" i="6"/>
  <c r="T279" i="6"/>
  <c r="AC279" i="6"/>
  <c r="T280" i="6"/>
  <c r="AC280" i="6"/>
  <c r="T281" i="6"/>
  <c r="AC281" i="6"/>
  <c r="T282" i="6"/>
  <c r="AC282" i="6"/>
  <c r="T283" i="6"/>
  <c r="AC283" i="6"/>
  <c r="T284" i="6"/>
  <c r="AC284" i="6"/>
  <c r="T285" i="6"/>
  <c r="AC285" i="6"/>
  <c r="T286" i="6"/>
  <c r="AC286" i="6"/>
  <c r="T287" i="6"/>
  <c r="AC287" i="6"/>
  <c r="T288" i="6"/>
  <c r="AC288" i="6"/>
  <c r="T289" i="6"/>
  <c r="AC289" i="6"/>
  <c r="T290" i="6"/>
  <c r="AC290" i="6"/>
  <c r="T291" i="6"/>
  <c r="AC291" i="6"/>
  <c r="T292" i="6"/>
  <c r="AC292" i="6"/>
  <c r="T293" i="6"/>
  <c r="AC293" i="6"/>
  <c r="T294" i="6"/>
  <c r="AC294" i="6"/>
  <c r="T295" i="6"/>
  <c r="AC295" i="6"/>
  <c r="T296" i="6"/>
  <c r="AC296" i="6"/>
  <c r="T297" i="6"/>
  <c r="AC297" i="6"/>
  <c r="T298" i="6"/>
  <c r="AC298" i="6"/>
  <c r="T299" i="6"/>
  <c r="AC299" i="6"/>
  <c r="T300" i="6"/>
  <c r="AC300" i="6"/>
  <c r="T301" i="6"/>
  <c r="AC301" i="6"/>
  <c r="T302" i="6"/>
  <c r="AC302" i="6"/>
  <c r="T303" i="6"/>
  <c r="AC303" i="6"/>
  <c r="T304" i="6"/>
  <c r="AC304" i="6"/>
  <c r="T305" i="6"/>
  <c r="AC305" i="6"/>
  <c r="T306" i="6"/>
  <c r="AC306" i="6"/>
  <c r="T307" i="6"/>
  <c r="AC307" i="6"/>
  <c r="T308" i="6"/>
  <c r="AC308" i="6"/>
  <c r="T309" i="6"/>
  <c r="AC309" i="6"/>
  <c r="T310" i="6"/>
  <c r="AC310" i="6"/>
  <c r="T311" i="6"/>
  <c r="AC311" i="6"/>
  <c r="T312" i="6"/>
  <c r="AC312" i="6"/>
  <c r="T313" i="6"/>
  <c r="AC313" i="6"/>
  <c r="T314" i="6"/>
  <c r="AC314" i="6"/>
  <c r="T315" i="6"/>
  <c r="AC315" i="6"/>
  <c r="T316" i="6"/>
  <c r="AC316" i="6"/>
  <c r="T317" i="6"/>
  <c r="AC317" i="6"/>
  <c r="T318" i="6"/>
  <c r="AC318" i="6"/>
  <c r="T319" i="6"/>
  <c r="AC319" i="6"/>
  <c r="T320" i="6"/>
  <c r="AC320" i="6"/>
  <c r="T321" i="6"/>
  <c r="AC321" i="6"/>
  <c r="T322" i="6"/>
  <c r="AC322" i="6"/>
  <c r="T323" i="6"/>
  <c r="AC323" i="6"/>
  <c r="T324" i="6"/>
  <c r="AC324" i="6"/>
  <c r="T325" i="6"/>
  <c r="AC325" i="6"/>
  <c r="T326" i="6"/>
  <c r="AC326" i="6"/>
  <c r="T327" i="6"/>
  <c r="AC327" i="6"/>
  <c r="T328" i="6"/>
  <c r="AC328" i="6"/>
  <c r="T329" i="6"/>
  <c r="AC329" i="6"/>
  <c r="T330" i="6"/>
  <c r="AC330" i="6"/>
  <c r="T331" i="6"/>
  <c r="AC331" i="6"/>
  <c r="T332" i="6"/>
  <c r="AC332" i="6"/>
  <c r="T333" i="6"/>
  <c r="AC333" i="6"/>
  <c r="T334" i="6"/>
  <c r="AC334" i="6"/>
  <c r="T335" i="6"/>
  <c r="AC335" i="6"/>
  <c r="T336" i="6"/>
  <c r="AC336" i="6"/>
  <c r="T337" i="6"/>
  <c r="AC337" i="6"/>
  <c r="T338" i="6"/>
  <c r="AC338" i="6"/>
  <c r="T339" i="6"/>
  <c r="AC339" i="6"/>
  <c r="T340" i="6"/>
  <c r="AC340" i="6"/>
  <c r="T341" i="6"/>
  <c r="AC341" i="6"/>
  <c r="T342" i="6"/>
  <c r="AC342" i="6"/>
  <c r="T343" i="6"/>
  <c r="AC343" i="6"/>
  <c r="T344" i="6"/>
  <c r="AC344" i="6"/>
  <c r="T345" i="6"/>
  <c r="AC345" i="6"/>
  <c r="T346" i="6"/>
  <c r="AC346" i="6"/>
  <c r="T347" i="6"/>
  <c r="AC347" i="6"/>
  <c r="T348" i="6"/>
  <c r="AC348" i="6"/>
  <c r="T349" i="6"/>
  <c r="AC349" i="6"/>
  <c r="T350" i="6"/>
  <c r="AC350" i="6"/>
  <c r="T351" i="6"/>
  <c r="AC351" i="6"/>
  <c r="T352" i="6"/>
  <c r="AC352" i="6"/>
  <c r="T353" i="6"/>
  <c r="AC353" i="6"/>
  <c r="T354" i="6"/>
  <c r="AC354" i="6"/>
  <c r="T355" i="6"/>
  <c r="AC355" i="6"/>
  <c r="T356" i="6"/>
  <c r="AC356" i="6"/>
  <c r="T357" i="6"/>
  <c r="AC357" i="6"/>
  <c r="T358" i="6"/>
  <c r="AC358" i="6"/>
  <c r="T359" i="6"/>
  <c r="AC359" i="6"/>
  <c r="T360" i="6"/>
  <c r="AC360" i="6"/>
  <c r="T361" i="6"/>
  <c r="AC361" i="6"/>
  <c r="T362" i="6"/>
  <c r="AC362" i="6"/>
  <c r="T363" i="6"/>
  <c r="AC363" i="6"/>
  <c r="T364" i="6"/>
  <c r="AC364" i="6"/>
  <c r="T365" i="6"/>
  <c r="AC365" i="6"/>
  <c r="T366" i="6"/>
  <c r="AC366" i="6"/>
  <c r="T367" i="6"/>
  <c r="AC367" i="6"/>
  <c r="T368" i="6"/>
  <c r="AC368" i="6"/>
  <c r="T369" i="6"/>
  <c r="AC369" i="6"/>
  <c r="T370" i="6"/>
  <c r="AC370" i="6"/>
  <c r="T371" i="6"/>
  <c r="AC371" i="6"/>
  <c r="T372" i="6"/>
  <c r="AC372" i="6"/>
  <c r="T373" i="6"/>
  <c r="AC373" i="6"/>
  <c r="T374" i="6"/>
  <c r="AC374" i="6"/>
  <c r="T375" i="6"/>
  <c r="AC375" i="6"/>
  <c r="T376" i="6"/>
  <c r="AC376" i="6"/>
  <c r="T377" i="6"/>
  <c r="AC377" i="6"/>
  <c r="T378" i="6"/>
  <c r="AC378" i="6"/>
  <c r="T379" i="6"/>
  <c r="AC379" i="6"/>
  <c r="T380" i="6"/>
  <c r="AC380" i="6"/>
  <c r="T381" i="6"/>
  <c r="AC381" i="6"/>
  <c r="T382" i="6"/>
  <c r="AC382" i="6"/>
  <c r="T383" i="6"/>
  <c r="AC383" i="6"/>
  <c r="T384" i="6"/>
  <c r="AC384" i="6"/>
  <c r="T385" i="6"/>
  <c r="AC385" i="6"/>
  <c r="T386" i="6"/>
  <c r="AC386" i="6"/>
  <c r="T387" i="6"/>
  <c r="AC387" i="6"/>
  <c r="T388" i="6"/>
  <c r="AC388" i="6"/>
  <c r="T389" i="6"/>
  <c r="AC389" i="6"/>
  <c r="T390" i="6"/>
  <c r="AC390" i="6"/>
  <c r="T391" i="6"/>
  <c r="AC391" i="6"/>
  <c r="T392" i="6"/>
  <c r="AC392" i="6"/>
  <c r="T393" i="6"/>
  <c r="AC393" i="6"/>
  <c r="T394" i="6"/>
  <c r="AC394" i="6"/>
  <c r="T395" i="6"/>
  <c r="AC395" i="6"/>
  <c r="T396" i="6"/>
  <c r="AC396" i="6"/>
  <c r="T397" i="6"/>
  <c r="AC397" i="6"/>
  <c r="T398" i="6"/>
  <c r="AC398" i="6"/>
  <c r="T399" i="6"/>
  <c r="AC399" i="6"/>
  <c r="T400" i="6"/>
  <c r="AC400" i="6"/>
  <c r="T401" i="6"/>
  <c r="AC401" i="6"/>
  <c r="T402" i="6"/>
  <c r="AC402" i="6"/>
  <c r="T403" i="6"/>
  <c r="AC403" i="6"/>
  <c r="T404" i="6"/>
  <c r="AC404" i="6"/>
  <c r="T405" i="6"/>
  <c r="AC405" i="6"/>
  <c r="T406" i="6"/>
  <c r="AC406" i="6"/>
  <c r="T407" i="6"/>
  <c r="AC407" i="6"/>
  <c r="T408" i="6"/>
  <c r="AC408" i="6"/>
  <c r="T409" i="6"/>
  <c r="AC409" i="6"/>
  <c r="T410" i="6"/>
  <c r="AC410" i="6"/>
  <c r="T411" i="6"/>
  <c r="AC411" i="6"/>
  <c r="T412" i="6"/>
  <c r="AC412" i="6"/>
  <c r="T413" i="6"/>
  <c r="AC413" i="6"/>
  <c r="T414" i="6"/>
  <c r="AC414" i="6"/>
  <c r="T415" i="6"/>
  <c r="AC415" i="6"/>
  <c r="T416" i="6"/>
  <c r="AC416" i="6"/>
  <c r="T417" i="6"/>
  <c r="AC417" i="6"/>
  <c r="T418" i="6"/>
  <c r="AC418" i="6"/>
  <c r="T419" i="6"/>
  <c r="AC419" i="6"/>
  <c r="T420" i="6"/>
  <c r="AC420" i="6"/>
  <c r="T421" i="6"/>
  <c r="AC421" i="6"/>
  <c r="T422" i="6"/>
  <c r="AC422" i="6"/>
  <c r="T423" i="6"/>
  <c r="AC423" i="6"/>
  <c r="T424" i="6"/>
  <c r="AC424" i="6"/>
  <c r="T425" i="6"/>
  <c r="AC425" i="6"/>
  <c r="T426" i="6"/>
  <c r="AC426" i="6"/>
  <c r="T427" i="6"/>
  <c r="AC427" i="6"/>
  <c r="T428" i="6"/>
  <c r="AC428" i="6"/>
  <c r="T429" i="6"/>
  <c r="AC429" i="6"/>
  <c r="T430" i="6"/>
  <c r="AC430" i="6"/>
  <c r="T431" i="6"/>
  <c r="AC431" i="6"/>
  <c r="T432" i="6"/>
  <c r="AC432" i="6"/>
  <c r="T433" i="6"/>
  <c r="AC433" i="6"/>
  <c r="T434" i="6"/>
  <c r="AC434" i="6"/>
  <c r="T435" i="6"/>
  <c r="AC435" i="6"/>
  <c r="T436" i="6"/>
  <c r="AC436" i="6"/>
  <c r="T437" i="6"/>
  <c r="AC437" i="6"/>
  <c r="T438" i="6"/>
  <c r="AC438" i="6"/>
  <c r="T439" i="6"/>
  <c r="AC439" i="6"/>
  <c r="T440" i="6"/>
  <c r="AC440" i="6"/>
  <c r="T441" i="6"/>
  <c r="AC441" i="6"/>
  <c r="T442" i="6"/>
  <c r="AC442" i="6"/>
  <c r="T443" i="6"/>
  <c r="AC443" i="6"/>
  <c r="T444" i="6"/>
  <c r="AC444" i="6"/>
  <c r="T445" i="6"/>
  <c r="AC445" i="6"/>
  <c r="T446" i="6"/>
  <c r="AC446" i="6"/>
  <c r="T447" i="6"/>
  <c r="AC447" i="6"/>
  <c r="T448" i="6"/>
  <c r="AC448" i="6"/>
  <c r="T449" i="6"/>
  <c r="AC449" i="6"/>
  <c r="T450" i="6"/>
  <c r="AC450" i="6"/>
  <c r="T451" i="6"/>
  <c r="AC451" i="6"/>
  <c r="T452" i="6"/>
  <c r="AC452" i="6"/>
  <c r="T453" i="6"/>
  <c r="AC453" i="6"/>
  <c r="T454" i="6"/>
  <c r="AC454" i="6"/>
  <c r="T455" i="6"/>
  <c r="AC455" i="6"/>
  <c r="T456" i="6"/>
  <c r="AC456" i="6"/>
  <c r="T457" i="6"/>
  <c r="AC457" i="6"/>
  <c r="T458" i="6"/>
  <c r="AC458" i="6"/>
  <c r="T459" i="6"/>
  <c r="AC459" i="6"/>
  <c r="T460" i="6"/>
  <c r="AC460" i="6"/>
  <c r="T461" i="6"/>
  <c r="AC461" i="6"/>
  <c r="T462" i="6"/>
  <c r="AC462" i="6"/>
  <c r="T463" i="6"/>
  <c r="AC463" i="6"/>
  <c r="T464" i="6"/>
  <c r="AC464" i="6"/>
  <c r="T465" i="6"/>
  <c r="AC465" i="6"/>
  <c r="T466" i="6"/>
  <c r="AC466" i="6"/>
  <c r="T467" i="6"/>
  <c r="AC467" i="6"/>
  <c r="T468" i="6"/>
  <c r="AC468" i="6"/>
  <c r="T469" i="6"/>
  <c r="AC469" i="6"/>
  <c r="T470" i="6"/>
  <c r="AC470" i="6"/>
  <c r="T471" i="6"/>
  <c r="AC471" i="6"/>
  <c r="T472" i="6"/>
  <c r="AC472" i="6"/>
  <c r="T473" i="6"/>
  <c r="AC473" i="6"/>
  <c r="T474" i="6"/>
  <c r="AC474" i="6"/>
  <c r="T475" i="6"/>
  <c r="AC475" i="6"/>
  <c r="T476" i="6"/>
  <c r="AC476" i="6"/>
  <c r="T477" i="6"/>
  <c r="AC477" i="6"/>
  <c r="T478" i="6"/>
  <c r="AC478" i="6"/>
  <c r="T479" i="6"/>
  <c r="AC479" i="6"/>
  <c r="T480" i="6"/>
  <c r="AC480" i="6"/>
  <c r="T481" i="6"/>
  <c r="AC481" i="6"/>
  <c r="T482" i="6"/>
  <c r="AC482" i="6"/>
  <c r="T483" i="6"/>
  <c r="AC483" i="6"/>
  <c r="T484" i="6"/>
  <c r="AC484" i="6"/>
  <c r="T485" i="6"/>
  <c r="AC485" i="6"/>
  <c r="T486" i="6"/>
  <c r="AC486" i="6"/>
  <c r="T487" i="6"/>
  <c r="AC487" i="6"/>
  <c r="T488" i="6"/>
  <c r="AC488" i="6"/>
  <c r="T489" i="6"/>
  <c r="AC489" i="6"/>
  <c r="T490" i="6"/>
  <c r="AC490" i="6"/>
  <c r="T491" i="6"/>
  <c r="AC491" i="6"/>
  <c r="T492" i="6"/>
  <c r="AC492" i="6"/>
  <c r="T493" i="6"/>
  <c r="AC493" i="6"/>
  <c r="T494" i="6"/>
  <c r="AC494" i="6"/>
  <c r="T495" i="6"/>
  <c r="AC495" i="6"/>
  <c r="T496" i="6"/>
  <c r="AC496" i="6"/>
  <c r="T497" i="6"/>
  <c r="AC497" i="6"/>
  <c r="T498" i="6"/>
  <c r="AC498" i="6"/>
  <c r="T499" i="6"/>
  <c r="AC499" i="6"/>
  <c r="T500" i="6"/>
  <c r="AC500" i="6"/>
  <c r="T501" i="6"/>
  <c r="AC501" i="6"/>
  <c r="T502" i="6"/>
  <c r="AC502" i="6"/>
  <c r="T503" i="6"/>
  <c r="AC503" i="6"/>
  <c r="T504" i="6"/>
  <c r="AC504" i="6"/>
  <c r="T505" i="6"/>
  <c r="AC505" i="6"/>
  <c r="T506" i="6"/>
  <c r="AC506" i="6"/>
  <c r="T507" i="6"/>
  <c r="AC507" i="6"/>
  <c r="T508" i="6"/>
  <c r="AC508" i="6"/>
  <c r="T509" i="6"/>
  <c r="AC509" i="6"/>
  <c r="T510" i="6"/>
  <c r="AC510" i="6"/>
  <c r="T511" i="6"/>
  <c r="AC511" i="6"/>
  <c r="T512" i="6"/>
  <c r="AC512" i="6"/>
  <c r="T513" i="6"/>
  <c r="AC513" i="6"/>
  <c r="T514" i="6"/>
  <c r="AC514" i="6"/>
  <c r="T515" i="6"/>
  <c r="AC515" i="6"/>
  <c r="T516" i="6"/>
  <c r="AC516" i="6"/>
  <c r="T517" i="6"/>
  <c r="AC517" i="6"/>
  <c r="T518" i="6"/>
  <c r="AC518" i="6"/>
  <c r="T519" i="6"/>
  <c r="AC519" i="6"/>
  <c r="T520" i="6"/>
  <c r="AC520" i="6"/>
  <c r="T521" i="6"/>
  <c r="AC521" i="6"/>
  <c r="T522" i="6"/>
  <c r="AC522" i="6"/>
  <c r="T523" i="6"/>
  <c r="AC523" i="6"/>
  <c r="T524" i="6"/>
  <c r="AC524" i="6"/>
  <c r="T525" i="6"/>
  <c r="AC525" i="6"/>
  <c r="T526" i="6"/>
  <c r="AC526" i="6"/>
  <c r="T527" i="6"/>
  <c r="AC527" i="6"/>
  <c r="T528" i="6"/>
  <c r="AC528" i="6"/>
  <c r="T529" i="6"/>
  <c r="AC529" i="6"/>
  <c r="T530" i="6"/>
  <c r="AC530" i="6"/>
  <c r="T531" i="6"/>
  <c r="AC531" i="6"/>
  <c r="T532" i="6"/>
  <c r="AC532" i="6"/>
  <c r="T533" i="6"/>
  <c r="AC533" i="6"/>
  <c r="T534" i="6"/>
  <c r="AC534" i="6"/>
  <c r="T535" i="6"/>
  <c r="AC535" i="6"/>
  <c r="T536" i="6"/>
  <c r="AC536" i="6"/>
  <c r="T537" i="6"/>
  <c r="AC537" i="6"/>
  <c r="T538" i="6"/>
  <c r="AC538" i="6"/>
  <c r="T539" i="6"/>
  <c r="AC539" i="6"/>
  <c r="T540" i="6"/>
  <c r="AC540" i="6"/>
  <c r="T541" i="6"/>
  <c r="AC541" i="6"/>
  <c r="T542" i="6"/>
  <c r="AC542" i="6"/>
  <c r="T543" i="6"/>
  <c r="AC543" i="6"/>
  <c r="T544" i="6"/>
  <c r="AC544" i="6"/>
  <c r="T545" i="6"/>
  <c r="AC545" i="6"/>
  <c r="T546" i="6"/>
  <c r="AC546" i="6"/>
  <c r="T547" i="6"/>
  <c r="AC547" i="6"/>
  <c r="T548" i="6"/>
  <c r="AC548" i="6"/>
  <c r="T549" i="6"/>
  <c r="AC549" i="6"/>
  <c r="T550" i="6"/>
  <c r="AC550" i="6"/>
  <c r="T551" i="6"/>
  <c r="AC551" i="6"/>
  <c r="T552" i="6"/>
  <c r="AC552" i="6"/>
  <c r="T553" i="6"/>
  <c r="AC553" i="6"/>
  <c r="T554" i="6"/>
  <c r="AC554" i="6"/>
  <c r="T555" i="6"/>
  <c r="AC555" i="6"/>
  <c r="T556" i="6"/>
  <c r="AC556" i="6"/>
  <c r="T557" i="6"/>
  <c r="AC557" i="6"/>
  <c r="T558" i="6"/>
  <c r="AC558" i="6"/>
  <c r="T559" i="6"/>
  <c r="AC559" i="6"/>
  <c r="T560" i="6"/>
  <c r="AC560" i="6"/>
  <c r="T561" i="6"/>
  <c r="AC561" i="6"/>
  <c r="T562" i="6"/>
  <c r="AC562" i="6"/>
  <c r="T563" i="6"/>
  <c r="AC563" i="6"/>
  <c r="T564" i="6"/>
  <c r="AC564" i="6"/>
  <c r="T565" i="6"/>
  <c r="AC565" i="6"/>
  <c r="T566" i="6"/>
  <c r="AC566" i="6"/>
  <c r="T567" i="6"/>
  <c r="AC567" i="6"/>
  <c r="T568" i="6"/>
  <c r="AC568" i="6"/>
  <c r="T569" i="6"/>
  <c r="AC569" i="6"/>
  <c r="T570" i="6"/>
  <c r="AC570" i="6"/>
  <c r="T571" i="6"/>
  <c r="AC571" i="6"/>
  <c r="T572" i="6"/>
  <c r="AC572" i="6"/>
  <c r="T573" i="6"/>
  <c r="AC573" i="6"/>
  <c r="T574" i="6"/>
  <c r="AC574" i="6"/>
  <c r="T575" i="6"/>
  <c r="AC575" i="6"/>
  <c r="T576" i="6"/>
  <c r="AC576" i="6"/>
  <c r="T577" i="6"/>
  <c r="AC577" i="6"/>
  <c r="T578" i="6"/>
  <c r="AC578" i="6"/>
  <c r="T579" i="6"/>
  <c r="AC579" i="6"/>
  <c r="T580" i="6"/>
  <c r="AC580" i="6"/>
  <c r="T581" i="6"/>
  <c r="AC581" i="6"/>
  <c r="T582" i="6"/>
  <c r="AC582" i="6"/>
  <c r="T583" i="6"/>
  <c r="AC583" i="6"/>
  <c r="T584" i="6"/>
  <c r="AC584" i="6"/>
  <c r="T585" i="6"/>
  <c r="AC585" i="6"/>
  <c r="T586" i="6"/>
  <c r="AC586" i="6"/>
  <c r="T587" i="6"/>
  <c r="AC587" i="6"/>
  <c r="T588" i="6"/>
  <c r="AC588" i="6"/>
  <c r="T589" i="6"/>
  <c r="AC589" i="6"/>
  <c r="T590" i="6"/>
  <c r="AC590" i="6"/>
  <c r="T591" i="6"/>
  <c r="AC591" i="6"/>
  <c r="T592" i="6"/>
  <c r="AC592" i="6"/>
  <c r="T593" i="6"/>
  <c r="AC593" i="6"/>
  <c r="T594" i="6"/>
  <c r="AC594" i="6"/>
  <c r="T595" i="6"/>
  <c r="AC595" i="6"/>
  <c r="T596" i="6"/>
  <c r="AC596" i="6"/>
  <c r="T597" i="6"/>
  <c r="AC597" i="6"/>
  <c r="T598" i="6"/>
  <c r="AC598" i="6"/>
  <c r="T599" i="6"/>
  <c r="AC599" i="6"/>
  <c r="T600" i="6"/>
  <c r="AC600" i="6"/>
  <c r="T601" i="6"/>
  <c r="AC601" i="6"/>
  <c r="T602" i="6"/>
  <c r="AC602" i="6"/>
  <c r="T603" i="6"/>
  <c r="AC603" i="6"/>
  <c r="T604" i="6"/>
  <c r="AC604" i="6"/>
  <c r="T605" i="6"/>
  <c r="AC605" i="6"/>
  <c r="T606" i="6"/>
  <c r="AC606" i="6"/>
  <c r="T607" i="6"/>
  <c r="AC607" i="6"/>
  <c r="T608" i="6"/>
  <c r="AC608" i="6"/>
  <c r="T609" i="6"/>
  <c r="AC609" i="6"/>
  <c r="T610" i="6"/>
  <c r="AC610" i="6"/>
  <c r="T611" i="6"/>
  <c r="AC611" i="6"/>
  <c r="T612" i="6"/>
  <c r="AC612" i="6"/>
  <c r="T613" i="6"/>
  <c r="AC613" i="6"/>
  <c r="T614" i="6"/>
  <c r="AC614" i="6"/>
  <c r="T615" i="6"/>
  <c r="AC615" i="6"/>
  <c r="T616" i="6"/>
  <c r="AC616" i="6"/>
  <c r="T617" i="6"/>
  <c r="AC617" i="6"/>
  <c r="T618" i="6"/>
  <c r="AC618" i="6"/>
  <c r="T619" i="6"/>
  <c r="AC619" i="6"/>
  <c r="T620" i="6"/>
  <c r="AC620" i="6"/>
  <c r="T621" i="6"/>
  <c r="AC621" i="6"/>
  <c r="T622" i="6"/>
  <c r="AC622" i="6"/>
  <c r="T623" i="6"/>
  <c r="AC623" i="6"/>
  <c r="T624" i="6"/>
  <c r="AC624" i="6"/>
  <c r="T625" i="6"/>
  <c r="AC625" i="6"/>
  <c r="T626" i="6"/>
  <c r="AC626" i="6"/>
  <c r="T627" i="6"/>
  <c r="AC627" i="6"/>
  <c r="T628" i="6"/>
  <c r="AC628" i="6"/>
  <c r="T629" i="6"/>
  <c r="AC629" i="6"/>
  <c r="T630" i="6"/>
  <c r="AC630" i="6"/>
  <c r="T631" i="6"/>
  <c r="AC631" i="6"/>
  <c r="T632" i="6"/>
  <c r="AC632" i="6"/>
  <c r="T633" i="6"/>
  <c r="AC633" i="6"/>
  <c r="T634" i="6"/>
  <c r="AC634" i="6"/>
  <c r="T635" i="6"/>
  <c r="AC635" i="6"/>
  <c r="T636" i="6"/>
  <c r="AC636" i="6"/>
  <c r="T637" i="6"/>
  <c r="AC637" i="6"/>
  <c r="T638" i="6"/>
  <c r="AC638" i="6"/>
  <c r="T639" i="6"/>
  <c r="AC639" i="6"/>
  <c r="T640" i="6"/>
  <c r="AC640" i="6"/>
  <c r="T641" i="6"/>
  <c r="AC641" i="6"/>
  <c r="T642" i="6"/>
  <c r="AC642" i="6"/>
  <c r="T643" i="6"/>
  <c r="AC643" i="6"/>
  <c r="T644" i="6"/>
  <c r="AC644" i="6"/>
  <c r="T645" i="6"/>
  <c r="AC645" i="6"/>
  <c r="T646" i="6"/>
  <c r="AC646" i="6"/>
  <c r="T647" i="6"/>
  <c r="AC647" i="6"/>
  <c r="T648" i="6"/>
  <c r="AC648" i="6"/>
  <c r="T649" i="6"/>
  <c r="AC649" i="6"/>
  <c r="T650" i="6"/>
  <c r="AC650" i="6"/>
  <c r="T651" i="6"/>
  <c r="AC651" i="6"/>
  <c r="T652" i="6"/>
  <c r="AC652" i="6"/>
  <c r="T653" i="6"/>
  <c r="AC653" i="6"/>
  <c r="T654" i="6"/>
  <c r="AC654" i="6"/>
  <c r="T655" i="6"/>
  <c r="AC655" i="6"/>
  <c r="T656" i="6"/>
  <c r="AC656" i="6"/>
  <c r="T657" i="6"/>
  <c r="AC657" i="6"/>
  <c r="T658" i="6"/>
  <c r="AC658" i="6"/>
  <c r="T659" i="6"/>
  <c r="AC659" i="6"/>
  <c r="T660" i="6"/>
  <c r="AC660" i="6"/>
  <c r="T661" i="6"/>
  <c r="AC661" i="6"/>
  <c r="T662" i="6"/>
  <c r="AC662" i="6"/>
  <c r="T663" i="6"/>
  <c r="AC663" i="6"/>
  <c r="T664" i="6"/>
  <c r="AC664" i="6"/>
  <c r="T665" i="6"/>
  <c r="AC665" i="6"/>
  <c r="T666" i="6"/>
  <c r="AC666" i="6"/>
  <c r="T667" i="6"/>
  <c r="AC667" i="6"/>
  <c r="T668" i="6"/>
  <c r="AC668" i="6"/>
  <c r="T669" i="6"/>
  <c r="AC669" i="6"/>
  <c r="T670" i="6"/>
  <c r="AC670" i="6"/>
  <c r="T671" i="6"/>
  <c r="AC671" i="6"/>
  <c r="T672" i="6"/>
  <c r="AC672" i="6"/>
  <c r="T673" i="6"/>
  <c r="AC673" i="6"/>
  <c r="T674" i="6"/>
  <c r="AC674" i="6"/>
  <c r="T675" i="6"/>
  <c r="AC675" i="6"/>
  <c r="T676" i="6"/>
  <c r="AC676" i="6"/>
  <c r="T677" i="6"/>
  <c r="AC677" i="6"/>
  <c r="T678" i="6"/>
  <c r="AC678" i="6"/>
  <c r="T679" i="6"/>
  <c r="AC679" i="6"/>
  <c r="T680" i="6"/>
  <c r="AC680" i="6"/>
  <c r="T681" i="6"/>
  <c r="AC681" i="6"/>
  <c r="T682" i="6"/>
  <c r="AC682" i="6"/>
  <c r="T683" i="6"/>
  <c r="AC683" i="6"/>
  <c r="T684" i="6"/>
  <c r="AC684" i="6"/>
  <c r="T685" i="6"/>
  <c r="AC685" i="6"/>
  <c r="T686" i="6"/>
  <c r="AC686" i="6"/>
  <c r="T687" i="6"/>
  <c r="AC687" i="6"/>
  <c r="T688" i="6"/>
  <c r="AC688" i="6"/>
  <c r="T689" i="6"/>
  <c r="AC689" i="6"/>
  <c r="T690" i="6"/>
  <c r="AC690" i="6"/>
  <c r="T691" i="6"/>
  <c r="AC691" i="6"/>
  <c r="T692" i="6"/>
  <c r="AC692" i="6"/>
  <c r="T693" i="6"/>
  <c r="AC693" i="6"/>
  <c r="T694" i="6"/>
  <c r="AC694" i="6"/>
  <c r="T695" i="6"/>
  <c r="AC695" i="6"/>
  <c r="T696" i="6"/>
  <c r="AC696" i="6"/>
  <c r="T697" i="6"/>
  <c r="AC697" i="6"/>
  <c r="T698" i="6"/>
  <c r="AC698" i="6"/>
  <c r="T699" i="6"/>
  <c r="AC699" i="6"/>
  <c r="T700" i="6"/>
  <c r="AC700" i="6"/>
  <c r="T701" i="6"/>
  <c r="AC701" i="6"/>
  <c r="T702" i="6"/>
  <c r="AC702" i="6"/>
  <c r="T703" i="6"/>
  <c r="AC703" i="6"/>
  <c r="T704" i="6"/>
  <c r="AC704" i="6"/>
  <c r="T705" i="6"/>
  <c r="AC705" i="6"/>
  <c r="T706" i="6"/>
  <c r="AC706" i="6"/>
  <c r="T707" i="6"/>
  <c r="AC707" i="6"/>
  <c r="T708" i="6"/>
  <c r="AC708" i="6"/>
  <c r="T709" i="6"/>
  <c r="AC709" i="6"/>
  <c r="T710" i="6"/>
  <c r="AC710" i="6"/>
  <c r="T711" i="6"/>
  <c r="AC711" i="6"/>
  <c r="T712" i="6"/>
  <c r="AC712" i="6"/>
  <c r="T713" i="6"/>
  <c r="AC713" i="6"/>
  <c r="T714" i="6"/>
  <c r="AC714" i="6"/>
  <c r="T715" i="6"/>
  <c r="AC715" i="6"/>
  <c r="T716" i="6"/>
  <c r="AC716" i="6"/>
  <c r="T717" i="6"/>
  <c r="AC717" i="6"/>
  <c r="T718" i="6"/>
  <c r="AC718" i="6"/>
  <c r="T719" i="6"/>
  <c r="AC719" i="6"/>
  <c r="T720" i="6"/>
  <c r="AC720" i="6"/>
  <c r="T721" i="6"/>
  <c r="AC721" i="6"/>
  <c r="T722" i="6"/>
  <c r="AC722" i="6"/>
  <c r="T723" i="6"/>
  <c r="AC723" i="6"/>
  <c r="T724" i="6"/>
  <c r="AC724" i="6"/>
  <c r="T725" i="6"/>
  <c r="AC725" i="6"/>
  <c r="T726" i="6"/>
  <c r="AC726" i="6"/>
  <c r="T727" i="6"/>
  <c r="AC727" i="6"/>
  <c r="T728" i="6"/>
  <c r="AC728" i="6"/>
  <c r="T729" i="6"/>
  <c r="AC729" i="6"/>
  <c r="T730" i="6"/>
  <c r="AC730" i="6"/>
  <c r="T731" i="6"/>
  <c r="AC731" i="6"/>
  <c r="T732" i="6"/>
  <c r="AC732" i="6"/>
  <c r="T733" i="6"/>
  <c r="AC733" i="6"/>
  <c r="T734" i="6"/>
  <c r="AC734" i="6"/>
  <c r="T735" i="6"/>
  <c r="AC735" i="6"/>
  <c r="T736" i="6"/>
  <c r="AC736" i="6"/>
  <c r="T737" i="6"/>
  <c r="AC737" i="6"/>
  <c r="T738" i="6"/>
  <c r="AC738" i="6"/>
  <c r="T739" i="6"/>
  <c r="AC739" i="6"/>
  <c r="T740" i="6"/>
  <c r="AC740" i="6"/>
  <c r="T741" i="6"/>
  <c r="AC741" i="6"/>
  <c r="T742" i="6"/>
  <c r="AC742" i="6"/>
  <c r="T743" i="6"/>
  <c r="AC743" i="6"/>
  <c r="T744" i="6"/>
  <c r="AC744" i="6"/>
  <c r="T745" i="6"/>
  <c r="AC745" i="6"/>
  <c r="T746" i="6"/>
  <c r="AC746" i="6"/>
  <c r="T747" i="6"/>
  <c r="AC747" i="6"/>
  <c r="T748" i="6"/>
  <c r="AC748" i="6"/>
  <c r="T749" i="6"/>
  <c r="AC749" i="6"/>
  <c r="T750" i="6"/>
  <c r="AC750" i="6"/>
  <c r="T751" i="6"/>
  <c r="AC751" i="6"/>
  <c r="T752" i="6"/>
  <c r="AC752" i="6"/>
  <c r="T753" i="6"/>
  <c r="AC753" i="6"/>
  <c r="T754" i="6"/>
  <c r="AC754" i="6"/>
  <c r="T755" i="6"/>
  <c r="AC755" i="6"/>
  <c r="T756" i="6"/>
  <c r="AC756" i="6"/>
  <c r="T757" i="6"/>
  <c r="AC757" i="6"/>
  <c r="T758" i="6"/>
  <c r="AC758" i="6"/>
  <c r="T759" i="6"/>
  <c r="AC759" i="6"/>
  <c r="T760" i="6"/>
  <c r="AC760" i="6"/>
  <c r="T761" i="6"/>
  <c r="AC761" i="6"/>
  <c r="T762" i="6"/>
  <c r="AC762" i="6"/>
  <c r="T763" i="6"/>
  <c r="AC763" i="6"/>
  <c r="T764" i="6"/>
  <c r="AC764" i="6"/>
  <c r="T765" i="6"/>
  <c r="AC765" i="6"/>
  <c r="T766" i="6"/>
  <c r="AC766" i="6"/>
  <c r="T767" i="6"/>
  <c r="AC767" i="6"/>
  <c r="T768" i="6"/>
  <c r="AC768" i="6"/>
  <c r="T769" i="6"/>
  <c r="AC769" i="6"/>
  <c r="T770" i="6"/>
  <c r="AC770" i="6"/>
  <c r="T771" i="6"/>
  <c r="AC771" i="6"/>
  <c r="T772" i="6"/>
  <c r="AC772" i="6"/>
  <c r="T773" i="6"/>
  <c r="AC773" i="6"/>
  <c r="T774" i="6"/>
  <c r="AC774" i="6"/>
  <c r="T775" i="6"/>
  <c r="AC775" i="6"/>
  <c r="T776" i="6"/>
  <c r="AC776" i="6"/>
  <c r="T777" i="6"/>
  <c r="AC777" i="6"/>
  <c r="T778" i="6"/>
  <c r="AC778" i="6"/>
  <c r="T779" i="6"/>
  <c r="AC779" i="6"/>
  <c r="T780" i="6"/>
  <c r="AC780" i="6"/>
  <c r="T781" i="6"/>
  <c r="AC781" i="6"/>
  <c r="T782" i="6"/>
  <c r="AC782" i="6"/>
  <c r="T783" i="6"/>
  <c r="AC783" i="6"/>
  <c r="T784" i="6"/>
  <c r="AC784" i="6"/>
  <c r="T785" i="6"/>
  <c r="AC785" i="6"/>
  <c r="T786" i="6"/>
  <c r="AC786" i="6"/>
  <c r="T787" i="6"/>
  <c r="AC787" i="6"/>
  <c r="T788" i="6"/>
  <c r="AC788" i="6"/>
  <c r="T789" i="6"/>
  <c r="AC789" i="6"/>
  <c r="T790" i="6"/>
  <c r="AC790" i="6"/>
  <c r="T791" i="6"/>
  <c r="AC791" i="6"/>
  <c r="T792" i="6"/>
  <c r="AC792" i="6"/>
  <c r="T793" i="6"/>
  <c r="AC793" i="6"/>
  <c r="T794" i="6"/>
  <c r="AC794" i="6"/>
  <c r="T795" i="6"/>
  <c r="AC795" i="6"/>
  <c r="T796" i="6"/>
  <c r="AC796" i="6"/>
  <c r="T797" i="6"/>
  <c r="AC797" i="6"/>
  <c r="T798" i="6"/>
  <c r="AC798" i="6"/>
  <c r="T799" i="6"/>
  <c r="AC799" i="6"/>
  <c r="T800" i="6"/>
  <c r="AC800" i="6"/>
  <c r="T801" i="6"/>
  <c r="AC801" i="6"/>
  <c r="T802" i="6"/>
  <c r="AC802" i="6"/>
  <c r="T803" i="6"/>
  <c r="AC803" i="6"/>
  <c r="T804" i="6"/>
  <c r="AC804" i="6"/>
  <c r="T805" i="6"/>
  <c r="AC805" i="6"/>
  <c r="T806" i="6"/>
  <c r="AC806" i="6"/>
  <c r="T807" i="6"/>
  <c r="AC807" i="6"/>
  <c r="T808" i="6"/>
  <c r="AC808" i="6"/>
  <c r="T809" i="6"/>
  <c r="AC809" i="6"/>
  <c r="T810" i="6"/>
  <c r="AC810" i="6"/>
  <c r="T811" i="6"/>
  <c r="AC811" i="6"/>
  <c r="T812" i="6"/>
  <c r="AC812" i="6"/>
  <c r="T813" i="6"/>
  <c r="AC813" i="6"/>
  <c r="T814" i="6"/>
  <c r="AC814" i="6"/>
  <c r="T815" i="6"/>
  <c r="AC815" i="6"/>
  <c r="T816" i="6"/>
  <c r="AC816" i="6"/>
  <c r="T817" i="6"/>
  <c r="AC817" i="6"/>
  <c r="T818" i="6"/>
  <c r="AC818" i="6"/>
  <c r="T819" i="6"/>
  <c r="AC819" i="6"/>
  <c r="T820" i="6"/>
  <c r="AC820" i="6"/>
  <c r="T821" i="6"/>
  <c r="AC821" i="6"/>
  <c r="T822" i="6"/>
  <c r="AC822" i="6"/>
  <c r="T823" i="6"/>
  <c r="AC823" i="6"/>
  <c r="T824" i="6"/>
  <c r="AC824" i="6"/>
  <c r="T825" i="6"/>
  <c r="AC825" i="6"/>
  <c r="T826" i="6"/>
  <c r="AC826" i="6"/>
  <c r="T827" i="6"/>
  <c r="AC827" i="6"/>
  <c r="T828" i="6"/>
  <c r="AC828" i="6"/>
  <c r="T829" i="6"/>
  <c r="AC829" i="6"/>
  <c r="T830" i="6"/>
  <c r="AC830" i="6"/>
  <c r="T831" i="6"/>
  <c r="AC831" i="6"/>
  <c r="T832" i="6"/>
  <c r="AC832" i="6"/>
  <c r="T833" i="6"/>
  <c r="AC833" i="6"/>
  <c r="T834" i="6"/>
  <c r="AC834" i="6"/>
  <c r="T835" i="6"/>
  <c r="AC835" i="6"/>
  <c r="T836" i="6"/>
  <c r="AC836" i="6"/>
  <c r="T837" i="6"/>
  <c r="AC837" i="6"/>
  <c r="T838" i="6"/>
  <c r="AC838" i="6"/>
  <c r="T839" i="6"/>
  <c r="AC839" i="6"/>
  <c r="T840" i="6"/>
  <c r="AC840" i="6"/>
  <c r="T841" i="6"/>
  <c r="AC841" i="6"/>
  <c r="T842" i="6"/>
  <c r="AC842" i="6"/>
  <c r="T843" i="6"/>
  <c r="AC843" i="6"/>
  <c r="T844" i="6"/>
  <c r="AC844" i="6"/>
  <c r="T845" i="6"/>
  <c r="AC845" i="6"/>
  <c r="T846" i="6"/>
  <c r="AC846" i="6"/>
  <c r="T847" i="6"/>
  <c r="AC847" i="6"/>
  <c r="T848" i="6"/>
  <c r="AC848" i="6"/>
  <c r="T849" i="6"/>
  <c r="AC849" i="6"/>
  <c r="T850" i="6"/>
  <c r="AC850" i="6"/>
  <c r="T851" i="6"/>
  <c r="AC851" i="6"/>
  <c r="T852" i="6"/>
  <c r="AC852" i="6"/>
  <c r="T853" i="6"/>
  <c r="AC853" i="6"/>
  <c r="T854" i="6"/>
  <c r="AC854" i="6"/>
  <c r="T855" i="6"/>
  <c r="AC855" i="6"/>
  <c r="T856" i="6"/>
  <c r="AC856" i="6"/>
  <c r="T857" i="6"/>
  <c r="AC857" i="6"/>
  <c r="T858" i="6"/>
  <c r="AC858" i="6"/>
  <c r="T859" i="6"/>
  <c r="AC859" i="6"/>
  <c r="T860" i="6"/>
  <c r="AC860" i="6"/>
  <c r="T861" i="6"/>
  <c r="AC861" i="6"/>
  <c r="T862" i="6"/>
  <c r="AC862" i="6"/>
  <c r="T863" i="6"/>
  <c r="AC863" i="6"/>
  <c r="T864" i="6"/>
  <c r="AC864" i="6"/>
  <c r="T865" i="6"/>
  <c r="AC865" i="6"/>
  <c r="T866" i="6"/>
  <c r="AC866" i="6"/>
  <c r="T867" i="6"/>
  <c r="AC867" i="6"/>
  <c r="T868" i="6"/>
  <c r="AC868" i="6"/>
  <c r="T869" i="6"/>
  <c r="AC869" i="6"/>
  <c r="T870" i="6"/>
  <c r="AC870" i="6"/>
  <c r="T871" i="6"/>
  <c r="AC871" i="6"/>
  <c r="T872" i="6"/>
  <c r="AC872" i="6"/>
  <c r="T873" i="6"/>
  <c r="AC873" i="6"/>
  <c r="T874" i="6"/>
  <c r="AC874" i="6"/>
  <c r="T875" i="6"/>
  <c r="AC875" i="6"/>
  <c r="T876" i="6"/>
  <c r="AC876" i="6"/>
  <c r="T877" i="6"/>
  <c r="AC877" i="6"/>
  <c r="T878" i="6"/>
  <c r="AC878" i="6"/>
  <c r="T879" i="6"/>
  <c r="AC879" i="6"/>
  <c r="T880" i="6"/>
  <c r="AC880" i="6"/>
  <c r="T881" i="6"/>
  <c r="AC881" i="6"/>
  <c r="T882" i="6"/>
  <c r="AC882" i="6"/>
  <c r="T883" i="6"/>
  <c r="AC883" i="6"/>
  <c r="T884" i="6"/>
  <c r="AC884" i="6"/>
  <c r="T885" i="6"/>
  <c r="AC885" i="6"/>
  <c r="T886" i="6"/>
  <c r="AC886" i="6"/>
  <c r="T887" i="6"/>
  <c r="AC887" i="6"/>
  <c r="T888" i="6"/>
  <c r="AC888" i="6"/>
  <c r="T889" i="6"/>
  <c r="AC889" i="6"/>
  <c r="T890" i="6"/>
  <c r="AC890" i="6"/>
  <c r="T891" i="6"/>
  <c r="AC891" i="6"/>
  <c r="T892" i="6"/>
  <c r="AC892" i="6"/>
  <c r="T893" i="6"/>
  <c r="AC893" i="6"/>
  <c r="T894" i="6"/>
  <c r="AC894" i="6"/>
  <c r="T895" i="6"/>
  <c r="AC895" i="6"/>
  <c r="T896" i="6"/>
  <c r="AC896" i="6"/>
  <c r="T897" i="6"/>
  <c r="AC897" i="6"/>
  <c r="T898" i="6"/>
  <c r="AC898" i="6"/>
  <c r="T899" i="6"/>
  <c r="AC899" i="6"/>
  <c r="T900" i="6"/>
  <c r="AC900" i="6"/>
  <c r="T901" i="6"/>
  <c r="AC901" i="6"/>
  <c r="T902" i="6"/>
  <c r="AC902" i="6"/>
  <c r="T903" i="6"/>
  <c r="AC903" i="6"/>
  <c r="T904" i="6"/>
  <c r="AC904" i="6"/>
  <c r="T905" i="6"/>
  <c r="AC905" i="6"/>
  <c r="T906" i="6"/>
  <c r="AC906" i="6"/>
  <c r="T907" i="6"/>
  <c r="AC907" i="6"/>
  <c r="T908" i="6"/>
  <c r="AC908" i="6"/>
  <c r="T909" i="6"/>
  <c r="AC909" i="6"/>
  <c r="T910" i="6"/>
  <c r="AC910" i="6"/>
  <c r="T911" i="6"/>
  <c r="AC911" i="6"/>
  <c r="T912" i="6"/>
  <c r="AC912" i="6"/>
  <c r="T913" i="6"/>
  <c r="AC913" i="6"/>
  <c r="T914" i="6"/>
  <c r="AC914" i="6"/>
  <c r="T915" i="6"/>
  <c r="AC915" i="6"/>
  <c r="T916" i="6"/>
  <c r="AC916" i="6"/>
  <c r="T917" i="6"/>
  <c r="AC917" i="6"/>
  <c r="T918" i="6"/>
  <c r="AC918" i="6"/>
  <c r="T919" i="6"/>
  <c r="AC919" i="6"/>
  <c r="T920" i="6"/>
  <c r="AC920" i="6"/>
  <c r="T921" i="6"/>
  <c r="AC921" i="6"/>
  <c r="T922" i="6"/>
  <c r="AC922" i="6"/>
  <c r="T923" i="6"/>
  <c r="AC923" i="6"/>
  <c r="T924" i="6"/>
  <c r="AC924" i="6"/>
  <c r="T925" i="6"/>
  <c r="AC925" i="6"/>
  <c r="T926" i="6"/>
  <c r="AC926" i="6"/>
  <c r="T927" i="6"/>
  <c r="AC927" i="6"/>
  <c r="T928" i="6"/>
  <c r="AC928" i="6"/>
  <c r="T929" i="6"/>
  <c r="AC929" i="6"/>
  <c r="T930" i="6"/>
  <c r="AC930" i="6"/>
  <c r="T931" i="6"/>
  <c r="AC931" i="6"/>
  <c r="T932" i="6"/>
  <c r="AC932" i="6"/>
</calcChain>
</file>

<file path=xl/sharedStrings.xml><?xml version="1.0" encoding="utf-8"?>
<sst xmlns="http://schemas.openxmlformats.org/spreadsheetml/2006/main" count="10367" uniqueCount="2007">
  <si>
    <t>Stock #</t>
  </si>
  <si>
    <t>Country</t>
  </si>
  <si>
    <t>State</t>
  </si>
  <si>
    <t>מיקום</t>
  </si>
  <si>
    <t>Shape</t>
  </si>
  <si>
    <t>Quantity</t>
  </si>
  <si>
    <t>Weight</t>
  </si>
  <si>
    <t>Color</t>
  </si>
  <si>
    <t>Clarity</t>
  </si>
  <si>
    <t>Marketing</t>
  </si>
  <si>
    <t>Cut Grade</t>
  </si>
  <si>
    <t>Polish</t>
  </si>
  <si>
    <t>Symmetry</t>
  </si>
  <si>
    <t>Lab</t>
  </si>
  <si>
    <t>Fluorescence</t>
  </si>
  <si>
    <t>Availability</t>
  </si>
  <si>
    <t>List p/c</t>
  </si>
  <si>
    <t>Total List</t>
  </si>
  <si>
    <t>Media &amp; Cert</t>
  </si>
  <si>
    <t>Measurements</t>
  </si>
  <si>
    <t>Image</t>
  </si>
  <si>
    <t>Length</t>
  </si>
  <si>
    <t>Width</t>
  </si>
  <si>
    <t>Height</t>
  </si>
  <si>
    <t>Depth %</t>
  </si>
  <si>
    <t>Table %</t>
  </si>
  <si>
    <t>Ratio</t>
  </si>
  <si>
    <t>is Matched pair</t>
  </si>
  <si>
    <t>ACHER25</t>
  </si>
  <si>
    <t>ISRAEL</t>
  </si>
  <si>
    <t>ASHER</t>
  </si>
  <si>
    <t>H</t>
  </si>
  <si>
    <t>SI1</t>
  </si>
  <si>
    <t>Commercial</t>
  </si>
  <si>
    <t>None</t>
  </si>
  <si>
    <t>3.32-3.63x2.31</t>
  </si>
  <si>
    <t>ASHER03</t>
  </si>
  <si>
    <t>USA</t>
  </si>
  <si>
    <t>F</t>
  </si>
  <si>
    <t>VVS2</t>
  </si>
  <si>
    <t>SB1</t>
  </si>
  <si>
    <t>4.07-4.14x2.98</t>
  </si>
  <si>
    <t>ASH1000</t>
  </si>
  <si>
    <t>G</t>
  </si>
  <si>
    <t>3.30-3.31x2.13</t>
  </si>
  <si>
    <t>ASH2001</t>
  </si>
  <si>
    <t>LB</t>
  </si>
  <si>
    <t>4.25-4.36x2.82</t>
  </si>
  <si>
    <t>ASH2002</t>
  </si>
  <si>
    <t>I</t>
  </si>
  <si>
    <t>SI2</t>
  </si>
  <si>
    <t>3.58-3.67x2.47</t>
  </si>
  <si>
    <t>ASH2003</t>
  </si>
  <si>
    <t>VS1</t>
  </si>
  <si>
    <t>Med</t>
  </si>
  <si>
    <t>3.83-3.96x2.59</t>
  </si>
  <si>
    <t>ASH2004</t>
  </si>
  <si>
    <t>VS2</t>
  </si>
  <si>
    <t>Faint</t>
  </si>
  <si>
    <t>3.72-3.85x2.49</t>
  </si>
  <si>
    <t>ASH2005</t>
  </si>
  <si>
    <t>SB</t>
  </si>
  <si>
    <t>3.18-3.25x1.99</t>
  </si>
  <si>
    <t>BAG0028</t>
  </si>
  <si>
    <t>BAG</t>
  </si>
  <si>
    <t>4.22-2.24x3.45</t>
  </si>
  <si>
    <t>BAG1035</t>
  </si>
  <si>
    <t>L</t>
  </si>
  <si>
    <t>VVS1</t>
  </si>
  <si>
    <t>low Quality</t>
  </si>
  <si>
    <t>MB</t>
  </si>
  <si>
    <t>4.54-2.63x2.12</t>
  </si>
  <si>
    <t>BAG1056</t>
  </si>
  <si>
    <t>K</t>
  </si>
  <si>
    <t>5.01-3.16x2.10</t>
  </si>
  <si>
    <t>BAG1060</t>
  </si>
  <si>
    <t>J</t>
  </si>
  <si>
    <t>FB</t>
  </si>
  <si>
    <t>5.25-2.30x1.85</t>
  </si>
  <si>
    <t>BAG1082</t>
  </si>
  <si>
    <t>3.25-2.01x1.66</t>
  </si>
  <si>
    <t>BAG1105</t>
  </si>
  <si>
    <t>3.43-1.87x1.63</t>
  </si>
  <si>
    <t>TPBR13</t>
  </si>
  <si>
    <t>2.06-3.70x1.85</t>
  </si>
  <si>
    <t>TPBR2324</t>
  </si>
  <si>
    <t>1.99-4.08x1.58</t>
  </si>
  <si>
    <t>TPBR1215</t>
  </si>
  <si>
    <t>2.71-4.23x1.85</t>
  </si>
  <si>
    <t>BAG7002</t>
  </si>
  <si>
    <t>2.57-3.07x1.88</t>
  </si>
  <si>
    <t>BAG3005</t>
  </si>
  <si>
    <t>2.25-4.12x1.85</t>
  </si>
  <si>
    <t>BAG3008</t>
  </si>
  <si>
    <t>2.08-4.08x1.71</t>
  </si>
  <si>
    <t>BAG3009</t>
  </si>
  <si>
    <t>1.60-4.32x1.31</t>
  </si>
  <si>
    <t>DLT0084B</t>
  </si>
  <si>
    <t>3.65-2.19x1.98</t>
  </si>
  <si>
    <t>KARMXNEW1</t>
  </si>
  <si>
    <t>N</t>
  </si>
  <si>
    <t>2.91-2.43x1.88</t>
  </si>
  <si>
    <t>BAG4001</t>
  </si>
  <si>
    <t>2.19-3.66x1.67</t>
  </si>
  <si>
    <t>BAG4002</t>
  </si>
  <si>
    <t>I1</t>
  </si>
  <si>
    <t>2.20-9.03x1.62</t>
  </si>
  <si>
    <t>BAG4004</t>
  </si>
  <si>
    <t>M</t>
  </si>
  <si>
    <t>2.46-4.03x1.91</t>
  </si>
  <si>
    <t>BAG4006</t>
  </si>
  <si>
    <t>2.36-3.70x1.85</t>
  </si>
  <si>
    <t>BAG4007</t>
  </si>
  <si>
    <t>2.50-3.46x1.89</t>
  </si>
  <si>
    <t>BAG5006</t>
  </si>
  <si>
    <t>1.92-3.97x1.48</t>
  </si>
  <si>
    <t>BAG5023</t>
  </si>
  <si>
    <t>2.33-4.02x1.80</t>
  </si>
  <si>
    <t>BAG5024</t>
  </si>
  <si>
    <t>3.95-1.63x1.96</t>
  </si>
  <si>
    <t>BAG5026</t>
  </si>
  <si>
    <t>1.94-3.71x1.64</t>
  </si>
  <si>
    <t>BAG5027</t>
  </si>
  <si>
    <t>1.90-3.80x1.36</t>
  </si>
  <si>
    <t>BAG5029</t>
  </si>
  <si>
    <t>2.15-3.82x1.27</t>
  </si>
  <si>
    <t>BAG5032</t>
  </si>
  <si>
    <t>2.31-3.51x1.70</t>
  </si>
  <si>
    <t>BAG5033</t>
  </si>
  <si>
    <t>2.31-3.88x1.69</t>
  </si>
  <si>
    <t>BAG5035</t>
  </si>
  <si>
    <t>1.92-5.39x1.90</t>
  </si>
  <si>
    <t>BAG5041</t>
  </si>
  <si>
    <t>1.99-3.88x1.45</t>
  </si>
  <si>
    <t>BAG5042</t>
  </si>
  <si>
    <t>2.12-3.65x1.64</t>
  </si>
  <si>
    <t>BAG5046</t>
  </si>
  <si>
    <t>E</t>
  </si>
  <si>
    <t>2.23-3.76x1.80</t>
  </si>
  <si>
    <t>BAG5049</t>
  </si>
  <si>
    <t>1.84-3.88x1.62</t>
  </si>
  <si>
    <t>BAG5050</t>
  </si>
  <si>
    <t>2.14-3.71x1.62</t>
  </si>
  <si>
    <t>BAG5052</t>
  </si>
  <si>
    <t>2.33-3.67x1.73</t>
  </si>
  <si>
    <t>BAG5053</t>
  </si>
  <si>
    <t>2.31-3.63x1.57</t>
  </si>
  <si>
    <t>BAG6000</t>
  </si>
  <si>
    <t>P3</t>
  </si>
  <si>
    <t>2.70-3.37x2.04</t>
  </si>
  <si>
    <t>BAG6001</t>
  </si>
  <si>
    <t>P1</t>
  </si>
  <si>
    <t>2.65-3.26x2.19</t>
  </si>
  <si>
    <t>BAG6008</t>
  </si>
  <si>
    <t>1.99-3.19x1.53</t>
  </si>
  <si>
    <t>BAG6011</t>
  </si>
  <si>
    <t>2.36-3.07x1.91</t>
  </si>
  <si>
    <t>BAG6012</t>
  </si>
  <si>
    <t>2.34-3.32x1.79</t>
  </si>
  <si>
    <t>BAG6013</t>
  </si>
  <si>
    <t>1.92-3.30x1.73</t>
  </si>
  <si>
    <t>BAG6014</t>
  </si>
  <si>
    <t>2.55-3.20x1.97</t>
  </si>
  <si>
    <t>BAG6017</t>
  </si>
  <si>
    <t>1.94-3.39x1.57</t>
  </si>
  <si>
    <t>BAG6018</t>
  </si>
  <si>
    <t>SI3</t>
  </si>
  <si>
    <t>1.92-3.27x1.45</t>
  </si>
  <si>
    <t>BAG6021</t>
  </si>
  <si>
    <t>2.09-3.59x1.55</t>
  </si>
  <si>
    <t>BAG6023</t>
  </si>
  <si>
    <t>2.02-3.66x1.55</t>
  </si>
  <si>
    <t>BAG6025</t>
  </si>
  <si>
    <t>1.90-3.46x1.42</t>
  </si>
  <si>
    <t>BAG6026</t>
  </si>
  <si>
    <t>P2</t>
  </si>
  <si>
    <t>2.02-3.48x1.56</t>
  </si>
  <si>
    <t>BAG6027</t>
  </si>
  <si>
    <t>2.10-3.30x1.61</t>
  </si>
  <si>
    <t>BAG6028</t>
  </si>
  <si>
    <t>2.42-3.28x1.68</t>
  </si>
  <si>
    <t>BAG6029</t>
  </si>
  <si>
    <t>2.02-3.31x1.69</t>
  </si>
  <si>
    <t>BAG6032</t>
  </si>
  <si>
    <t>1.96-3.21x1.71</t>
  </si>
  <si>
    <t>BAG6034</t>
  </si>
  <si>
    <t>2.54-3.24x1.99</t>
  </si>
  <si>
    <t>BAG6036</t>
  </si>
  <si>
    <t>2.08-3.05x1.76</t>
  </si>
  <si>
    <t>BAG6037</t>
  </si>
  <si>
    <t>2.03-3.32x1.66</t>
  </si>
  <si>
    <t>BAG6038</t>
  </si>
  <si>
    <t>2.19-3.55x1.74</t>
  </si>
  <si>
    <t>BAG6039</t>
  </si>
  <si>
    <t>2.48-3.11x1.73</t>
  </si>
  <si>
    <t>BAG6040</t>
  </si>
  <si>
    <t>2.07-3.10x1.63</t>
  </si>
  <si>
    <t>BAG6050</t>
  </si>
  <si>
    <t>2.22-3.17x1.59</t>
  </si>
  <si>
    <t>BAG6054</t>
  </si>
  <si>
    <t>2.49-6.36x2.10</t>
  </si>
  <si>
    <t>BAG6061</t>
  </si>
  <si>
    <t>2.70-4.63x1.74</t>
  </si>
  <si>
    <t>BAG6069</t>
  </si>
  <si>
    <t>1.89-3.59x1.46</t>
  </si>
  <si>
    <t>BAG6070</t>
  </si>
  <si>
    <t>2.09-3.61x1.62</t>
  </si>
  <si>
    <t>BAG6071</t>
  </si>
  <si>
    <t>2.03-3.88x1.53</t>
  </si>
  <si>
    <t>BAG6072</t>
  </si>
  <si>
    <t>2.44-3.41x1.64</t>
  </si>
  <si>
    <t>BAG6075</t>
  </si>
  <si>
    <t>1.57-3.98x1.46</t>
  </si>
  <si>
    <t>BAG6084</t>
  </si>
  <si>
    <t>2.83-4.21x1.64</t>
  </si>
  <si>
    <t>BAG6087</t>
  </si>
  <si>
    <t>1.56-4.04x1.57</t>
  </si>
  <si>
    <t>BAG6093</t>
  </si>
  <si>
    <t>2.67-4.51x1.77</t>
  </si>
  <si>
    <t>BAG6094</t>
  </si>
  <si>
    <t>3.15-4.30x2.04</t>
  </si>
  <si>
    <t>BAG6097</t>
  </si>
  <si>
    <t>2.20-3.72x1.37</t>
  </si>
  <si>
    <t>BAG1113</t>
  </si>
  <si>
    <t>1.73-4.03x1.31</t>
  </si>
  <si>
    <t>BAG1130</t>
  </si>
  <si>
    <t>2.35-2.83x1.66</t>
  </si>
  <si>
    <t>BAG1131</t>
  </si>
  <si>
    <t>2.33-2.75x1.82</t>
  </si>
  <si>
    <t>BAG1134</t>
  </si>
  <si>
    <t>1.83-3.67x1.53</t>
  </si>
  <si>
    <t>BAG1141</t>
  </si>
  <si>
    <t>2.16-3.38x1.70</t>
  </si>
  <si>
    <t>BAG1144</t>
  </si>
  <si>
    <t>2.13-3.70x1.85</t>
  </si>
  <si>
    <t>BAG1170</t>
  </si>
  <si>
    <t>1.84-3.74x1.47</t>
  </si>
  <si>
    <t>BAG1171</t>
  </si>
  <si>
    <t>1.91-3.48x1.58</t>
  </si>
  <si>
    <t>BAG1173</t>
  </si>
  <si>
    <t>2.19-3.62x1.46</t>
  </si>
  <si>
    <t>BAG1174</t>
  </si>
  <si>
    <t>1.91-6.64x0.94</t>
  </si>
  <si>
    <t>BAG1175</t>
  </si>
  <si>
    <t>1.96-3.30x1.45</t>
  </si>
  <si>
    <t>BAG1177</t>
  </si>
  <si>
    <t>1.93-6.51x1.36</t>
  </si>
  <si>
    <t>BAG1194</t>
  </si>
  <si>
    <t>1.49-4.88x1.25</t>
  </si>
  <si>
    <t>BAG1201</t>
  </si>
  <si>
    <t>1.72-5.15x1.43</t>
  </si>
  <si>
    <t>BAG1210</t>
  </si>
  <si>
    <t>2.76-3.42x1.79</t>
  </si>
  <si>
    <t>BAG1213</t>
  </si>
  <si>
    <t>2.56-3.58x1.68</t>
  </si>
  <si>
    <t>BAG1216</t>
  </si>
  <si>
    <t>2.39-2.98x1.52</t>
  </si>
  <si>
    <t>BAG1221</t>
  </si>
  <si>
    <t>1.99-4.39x1.36</t>
  </si>
  <si>
    <t>BAG1222</t>
  </si>
  <si>
    <t>2.07-3.13x1.48</t>
  </si>
  <si>
    <t>BAG1240</t>
  </si>
  <si>
    <t>2.44-3.18x1.69</t>
  </si>
  <si>
    <t>BAG1269</t>
  </si>
  <si>
    <t>3.19-4.13x1.93</t>
  </si>
  <si>
    <t>BAG1275</t>
  </si>
  <si>
    <t>2.10-3.40x1.51</t>
  </si>
  <si>
    <t>BAG1276</t>
  </si>
  <si>
    <t>2.07-3.28x1.61</t>
  </si>
  <si>
    <t>BAG1282</t>
  </si>
  <si>
    <t>2.15-3.06x1.69</t>
  </si>
  <si>
    <t>BAG1283</t>
  </si>
  <si>
    <t>2.12-3.09x1.68</t>
  </si>
  <si>
    <t>BAG1294</t>
  </si>
  <si>
    <t>2.02-3.26x1.58</t>
  </si>
  <si>
    <t>BAG1295</t>
  </si>
  <si>
    <t>1.98-3.36x1.56</t>
  </si>
  <si>
    <t>BAG1298</t>
  </si>
  <si>
    <t>2.18-3.20x1.48</t>
  </si>
  <si>
    <t>BAG1299</t>
  </si>
  <si>
    <t>2.06-3.21x1.60</t>
  </si>
  <si>
    <t>BAG1304</t>
  </si>
  <si>
    <t>2.38-3.37x1.59</t>
  </si>
  <si>
    <t>BAG1305</t>
  </si>
  <si>
    <t>2.01-3.16x1.52</t>
  </si>
  <si>
    <t>BAG1307</t>
  </si>
  <si>
    <t>1.91-3.14x1.67</t>
  </si>
  <si>
    <t>BAG1308</t>
  </si>
  <si>
    <t>2.01-3.37x1.67</t>
  </si>
  <si>
    <t>BAG1317</t>
  </si>
  <si>
    <t>1.94-5.18x1.27</t>
  </si>
  <si>
    <t>BAG1318</t>
  </si>
  <si>
    <t>2.03-5.38x1.73</t>
  </si>
  <si>
    <t>BAG1319</t>
  </si>
  <si>
    <t>1.58-5.45x1.27</t>
  </si>
  <si>
    <t>BAG1322</t>
  </si>
  <si>
    <t>2.30-5.94x1.52</t>
  </si>
  <si>
    <t>BAG1323</t>
  </si>
  <si>
    <t>1.74-5.40x1.21</t>
  </si>
  <si>
    <t>BAG1324</t>
  </si>
  <si>
    <t>1.61-5.22x1.33</t>
  </si>
  <si>
    <t>BAG1325</t>
  </si>
  <si>
    <t>1.66-5.20x1.23</t>
  </si>
  <si>
    <t>BAG1326</t>
  </si>
  <si>
    <t>2.26-4.20x1.93</t>
  </si>
  <si>
    <t>BAG1327</t>
  </si>
  <si>
    <t>1.63-5.41x1.20</t>
  </si>
  <si>
    <t>BAG1329</t>
  </si>
  <si>
    <t>1.90-5.98x1.30</t>
  </si>
  <si>
    <t>BAG1337</t>
  </si>
  <si>
    <t>2.10-3.64x1.48</t>
  </si>
  <si>
    <t>BAG1345</t>
  </si>
  <si>
    <t>1.71-5.11x1.27</t>
  </si>
  <si>
    <t>BAG1346</t>
  </si>
  <si>
    <t>1.68-5.00x1.06</t>
  </si>
  <si>
    <t>BAG1349</t>
  </si>
  <si>
    <t>1.77-6.07x0.98</t>
  </si>
  <si>
    <t>BAG1358</t>
  </si>
  <si>
    <t>1.94-5.92x1.17</t>
  </si>
  <si>
    <t>BAG1363</t>
  </si>
  <si>
    <t>2.30-3.44x1.54</t>
  </si>
  <si>
    <t>BAG1364</t>
  </si>
  <si>
    <t>2.06-3.44x1.47</t>
  </si>
  <si>
    <t>BAG1365</t>
  </si>
  <si>
    <t>2.15-3.62x1.70</t>
  </si>
  <si>
    <t>BAG1366</t>
  </si>
  <si>
    <t>2.05-3.52x1.58</t>
  </si>
  <si>
    <t>BAG1369</t>
  </si>
  <si>
    <t>1.97-3.46x1.54</t>
  </si>
  <si>
    <t>BAG1370</t>
  </si>
  <si>
    <t>2.16-3.48x1.79</t>
  </si>
  <si>
    <t>BAG1371</t>
  </si>
  <si>
    <t>2.21-3.80x1.67</t>
  </si>
  <si>
    <t>BAG1376</t>
  </si>
  <si>
    <t>1.94-3.05x1.76</t>
  </si>
  <si>
    <t>BAG1378</t>
  </si>
  <si>
    <t>2.02-3.37x1.63</t>
  </si>
  <si>
    <t>BAG1379</t>
  </si>
  <si>
    <t>2.20-3.24x1.78</t>
  </si>
  <si>
    <t>BAG1901</t>
  </si>
  <si>
    <t>1.85-3.93x1.40</t>
  </si>
  <si>
    <t>BAG1903</t>
  </si>
  <si>
    <t>1.56-7.11x1.51</t>
  </si>
  <si>
    <t>BAG1904</t>
  </si>
  <si>
    <t>1.45-5.11x1.38</t>
  </si>
  <si>
    <t>BAG1906</t>
  </si>
  <si>
    <t>1.74-4.50x1.38</t>
  </si>
  <si>
    <t>BAG1910</t>
  </si>
  <si>
    <t>1.68-5.03x1.18</t>
  </si>
  <si>
    <t>BAG1911</t>
  </si>
  <si>
    <t>1.55-5.34x1.51</t>
  </si>
  <si>
    <t>BAG1916</t>
  </si>
  <si>
    <t>1.92-3.30x1.56</t>
  </si>
  <si>
    <t>BAG1920</t>
  </si>
  <si>
    <t>1.98-5.99x1.34</t>
  </si>
  <si>
    <t>BAG1921</t>
  </si>
  <si>
    <t>1.78-4.03x1.36</t>
  </si>
  <si>
    <t>BAG1934</t>
  </si>
  <si>
    <t>2.18-3.02x1.53</t>
  </si>
  <si>
    <t>BAG1949</t>
  </si>
  <si>
    <t>1.99-6.24x1.12</t>
  </si>
  <si>
    <t>BAG1950</t>
  </si>
  <si>
    <t>1.55-5.05x1.27</t>
  </si>
  <si>
    <t>BAG1953</t>
  </si>
  <si>
    <t>1.80-4.21x1.48</t>
  </si>
  <si>
    <t>BAG1955</t>
  </si>
  <si>
    <t>1.51-5.79x1.03</t>
  </si>
  <si>
    <t>BAG1956</t>
  </si>
  <si>
    <t>1.62-5.80x0.99</t>
  </si>
  <si>
    <t>BAG1959</t>
  </si>
  <si>
    <t>2.35-3.89x1.56</t>
  </si>
  <si>
    <t>BAG1962</t>
  </si>
  <si>
    <t>1.34-5.38x1.38</t>
  </si>
  <si>
    <t>BAG1964</t>
  </si>
  <si>
    <t>1.73-8.33x1.38</t>
  </si>
  <si>
    <t>BAG1380</t>
  </si>
  <si>
    <t>5.31-1.53x1.95</t>
  </si>
  <si>
    <t>BAG1394</t>
  </si>
  <si>
    <t>1.99-4.94x1.02</t>
  </si>
  <si>
    <t>BAG1381</t>
  </si>
  <si>
    <t>2.21-3.60x1.56</t>
  </si>
  <si>
    <t>BAG1382</t>
  </si>
  <si>
    <t>1.92-5.05x1.29</t>
  </si>
  <si>
    <t>BAG017</t>
  </si>
  <si>
    <t>4.58-1.71x2.15</t>
  </si>
  <si>
    <t>BAG020</t>
  </si>
  <si>
    <t>4.64-1.88x2.31</t>
  </si>
  <si>
    <t>BAG1383</t>
  </si>
  <si>
    <t>3.09-2.04x2.81</t>
  </si>
  <si>
    <t>BAG1384</t>
  </si>
  <si>
    <t>3.30-1.51x2.15</t>
  </si>
  <si>
    <t>BAG021</t>
  </si>
  <si>
    <t>2.17-5.88x1.63</t>
  </si>
  <si>
    <t>BAG023</t>
  </si>
  <si>
    <t>2.33-5.99x1.51</t>
  </si>
  <si>
    <t>BAG084</t>
  </si>
  <si>
    <t>D</t>
  </si>
  <si>
    <t>Premium</t>
  </si>
  <si>
    <t>5.28-3.32x2.59</t>
  </si>
  <si>
    <t>BAB37H</t>
  </si>
  <si>
    <t>BAB45H</t>
  </si>
  <si>
    <t>4.46-1.56x2.86</t>
  </si>
  <si>
    <t>BAG090</t>
  </si>
  <si>
    <t>2.76-4.29x1.68</t>
  </si>
  <si>
    <t>BAG1397</t>
  </si>
  <si>
    <t>2.58-3.48x1.59</t>
  </si>
  <si>
    <t>BT17001ABA</t>
  </si>
  <si>
    <t>2.16-5.96x1.45</t>
  </si>
  <si>
    <t>BAG1399</t>
  </si>
  <si>
    <t>2.11-8.38x1.30</t>
  </si>
  <si>
    <t>BAG1400</t>
  </si>
  <si>
    <t>1.66-6.88x1.08</t>
  </si>
  <si>
    <t>BAG1402</t>
  </si>
  <si>
    <t>2.10-3.79x1.66</t>
  </si>
  <si>
    <t>BAG1403</t>
  </si>
  <si>
    <t>2.01-3.84x1.49</t>
  </si>
  <si>
    <t>BAG1404</t>
  </si>
  <si>
    <t>2.08-3.55x1.55</t>
  </si>
  <si>
    <t>BAG1405</t>
  </si>
  <si>
    <t>2.10-3.50x1.59</t>
  </si>
  <si>
    <t>LEV506AAA</t>
  </si>
  <si>
    <t>GIA</t>
  </si>
  <si>
    <t>7.59 - 4.35 x 3.34</t>
  </si>
  <si>
    <t>PLT56706</t>
  </si>
  <si>
    <t>BU</t>
  </si>
  <si>
    <t>2.60-6.06x1.44</t>
  </si>
  <si>
    <t>BULT025</t>
  </si>
  <si>
    <t>2.10-4.72x1.86</t>
  </si>
  <si>
    <t>BULTS038</t>
  </si>
  <si>
    <t>2.65-5.76x1.44</t>
  </si>
  <si>
    <t>BRTO307BBAA</t>
  </si>
  <si>
    <t>3.05-4.75x1.40</t>
  </si>
  <si>
    <t>BLL012AAAAAAAA</t>
  </si>
  <si>
    <t>8.96 - 6.31 x 2.49</t>
  </si>
  <si>
    <t>BULTS054</t>
  </si>
  <si>
    <t>9.04-6.31x2.73</t>
  </si>
  <si>
    <t>CALF076</t>
  </si>
  <si>
    <t>CALF</t>
  </si>
  <si>
    <t>4.61-6.17x2.42</t>
  </si>
  <si>
    <t>CALF022</t>
  </si>
  <si>
    <t>3.67-4.84x2.57</t>
  </si>
  <si>
    <t>MTH8123</t>
  </si>
  <si>
    <t>4.13-5.60x2.78</t>
  </si>
  <si>
    <t>CALF072</t>
  </si>
  <si>
    <t>2.87-3.62x1.68</t>
  </si>
  <si>
    <t>CALFS073</t>
  </si>
  <si>
    <t>5.44-4.53x2.20</t>
  </si>
  <si>
    <t>CALFS097</t>
  </si>
  <si>
    <t>5.81-4.62x1.96</t>
  </si>
  <si>
    <t>ORY014AA</t>
  </si>
  <si>
    <t>VG</t>
  </si>
  <si>
    <t>6.32 - 7.87 x 2.43</t>
  </si>
  <si>
    <t>BATA101AAA</t>
  </si>
  <si>
    <t>6.02 - 7.62 x 2.66</t>
  </si>
  <si>
    <t>BAT301AA</t>
  </si>
  <si>
    <t>7.16 - 10.02 x 3.00</t>
  </si>
  <si>
    <t>RH05AAAA</t>
  </si>
  <si>
    <t>5.42-4.03x1.91</t>
  </si>
  <si>
    <t>BLL006AAAA</t>
  </si>
  <si>
    <t>7.76 - 9.31 x 2.87</t>
  </si>
  <si>
    <t>BLL003AAAAA</t>
  </si>
  <si>
    <t>6.27 - 9.00 x 2.64</t>
  </si>
  <si>
    <t>BLL027AAAAAA</t>
  </si>
  <si>
    <t>6.11 - 8.86 x 2.58</t>
  </si>
  <si>
    <t>BLL001AAAAAA</t>
  </si>
  <si>
    <t>6.60 - 8.54 x 2.54</t>
  </si>
  <si>
    <t>YL015AAA</t>
  </si>
  <si>
    <t>4.35 - 5.92 x 2.48</t>
  </si>
  <si>
    <t>CALFS137</t>
  </si>
  <si>
    <t>7.49-5.73x2.64</t>
  </si>
  <si>
    <t>AUR06BAAA</t>
  </si>
  <si>
    <t>4.21-3.16x1.54</t>
  </si>
  <si>
    <t>LEV32801AAA</t>
  </si>
  <si>
    <t>6.18 - 8.95 x 2.33</t>
  </si>
  <si>
    <t>CALFS157</t>
  </si>
  <si>
    <t>4.33-5.77x2.33</t>
  </si>
  <si>
    <t>BLHL03AAA</t>
  </si>
  <si>
    <t>5.63 - 7.70 x 2.17</t>
  </si>
  <si>
    <t>CALFS159</t>
  </si>
  <si>
    <t>5.63-3.83x2.17</t>
  </si>
  <si>
    <t>CALFS160</t>
  </si>
  <si>
    <t>5.27-3.68x2.07</t>
  </si>
  <si>
    <t>KGKA25AAAA</t>
  </si>
  <si>
    <t>5.59-4.28x2.28</t>
  </si>
  <si>
    <t>BLA043AAAA</t>
  </si>
  <si>
    <t>5.52 - 7.69 x 2.15</t>
  </si>
  <si>
    <t>CALFS163</t>
  </si>
  <si>
    <t>4.89-3.46x2.13</t>
  </si>
  <si>
    <t>CALFS165</t>
  </si>
  <si>
    <t>6.09-4.47x1.88</t>
  </si>
  <si>
    <t>CALFS166Q</t>
  </si>
  <si>
    <t>5.39-4.27x2.38</t>
  </si>
  <si>
    <t>CALFS167</t>
  </si>
  <si>
    <t>4.73-6.49x1.86</t>
  </si>
  <si>
    <t>CALFS168</t>
  </si>
  <si>
    <t>4.77-6.24x2.39</t>
  </si>
  <si>
    <t>LEV152413AA</t>
  </si>
  <si>
    <t>7.55-5.62x1.86</t>
  </si>
  <si>
    <t>CALFS169</t>
  </si>
  <si>
    <t>5.54-4.32x2.15</t>
  </si>
  <si>
    <t>CALFS171</t>
  </si>
  <si>
    <t>5.08-7.06x1.96</t>
  </si>
  <si>
    <t>CALFS172</t>
  </si>
  <si>
    <t>6.24-8.41x2.15</t>
  </si>
  <si>
    <t>PLT55803</t>
  </si>
  <si>
    <t>CMB</t>
  </si>
  <si>
    <t>6.17 - 5.04 x 3.08</t>
  </si>
  <si>
    <t>LEVY527C1001</t>
  </si>
  <si>
    <t>CRMB</t>
  </si>
  <si>
    <t>4.75 - 3.83 x 2.60</t>
  </si>
  <si>
    <t>CUSH001</t>
  </si>
  <si>
    <t>CUSH</t>
  </si>
  <si>
    <t>3.00-3.52x1.84</t>
  </si>
  <si>
    <t>CUSH002</t>
  </si>
  <si>
    <t>mb1</t>
  </si>
  <si>
    <t>3.78-2.92x2.19</t>
  </si>
  <si>
    <t>PLT189</t>
  </si>
  <si>
    <t>EMERALD CUT</t>
  </si>
  <si>
    <t>INTERNALLY FLAWLESS</t>
  </si>
  <si>
    <t>6.89 - 5.26 x 3.66</t>
  </si>
  <si>
    <t>RADK001AA</t>
  </si>
  <si>
    <t>5.49 - 5.25 x 3.41</t>
  </si>
  <si>
    <t>BIBR40</t>
  </si>
  <si>
    <t>EMR</t>
  </si>
  <si>
    <t>2.55-3.60x2.21</t>
  </si>
  <si>
    <t>MTH8022</t>
  </si>
  <si>
    <t>9.20 - 4.36 x 2.05</t>
  </si>
  <si>
    <t>PLT3211</t>
  </si>
  <si>
    <t>11.71 - 6.66 x 2.89</t>
  </si>
  <si>
    <t>CADILK016N</t>
  </si>
  <si>
    <t>EPAULETTE</t>
  </si>
  <si>
    <t>5.82-3.47x2.80</t>
  </si>
  <si>
    <t>PLT191671</t>
  </si>
  <si>
    <t>VSB</t>
  </si>
  <si>
    <t>9.45 - 7.25 x 2.44</t>
  </si>
  <si>
    <t>AOR02A</t>
  </si>
  <si>
    <t>5.49 - 11.38 x 2.09</t>
  </si>
  <si>
    <t>CADILK025</t>
  </si>
  <si>
    <t>5.21-3.57x1.89</t>
  </si>
  <si>
    <t>PLT314AAA</t>
  </si>
  <si>
    <t>5.79 - 11.90 x 2.14</t>
  </si>
  <si>
    <t>CADILKS031</t>
  </si>
  <si>
    <t>5.86-3.08x1.76</t>
  </si>
  <si>
    <t>TCL001ABAA</t>
  </si>
  <si>
    <t>6.52 - 11.95 x 2.84</t>
  </si>
  <si>
    <t>AMTL02</t>
  </si>
  <si>
    <t>8.99 - 6.25 x 2.42</t>
  </si>
  <si>
    <t>CADILK034</t>
  </si>
  <si>
    <t>1.99-3.38x1.39</t>
  </si>
  <si>
    <t>SHBT029</t>
  </si>
  <si>
    <t>6.07-3.39x1.60</t>
  </si>
  <si>
    <t>PLT605AAA</t>
  </si>
  <si>
    <t>7.04 - 13.27 x 2.37</t>
  </si>
  <si>
    <t>CADILK037</t>
  </si>
  <si>
    <t>5.90-4.11x1.65</t>
  </si>
  <si>
    <t>PLT202409AA</t>
  </si>
  <si>
    <t>8.72-4.46x1.99</t>
  </si>
  <si>
    <t>CADILKS097</t>
  </si>
  <si>
    <t>5.72-3.82x2.08</t>
  </si>
  <si>
    <t>CADILKS109</t>
  </si>
  <si>
    <t>5.17-3.71x1.65</t>
  </si>
  <si>
    <t>CADILK045</t>
  </si>
  <si>
    <t>5.50-3.79x1.75</t>
  </si>
  <si>
    <t>PLT0321</t>
  </si>
  <si>
    <t>11.15 - 6.49 x 2.78</t>
  </si>
  <si>
    <t>ADKA019A</t>
  </si>
  <si>
    <t>7.77-4.79x1.91</t>
  </si>
  <si>
    <t>PLT07231AAA</t>
  </si>
  <si>
    <t>5.05 - 9.42 x 3.19</t>
  </si>
  <si>
    <t>CADILKS158</t>
  </si>
  <si>
    <t>7.90-3.34x1.57</t>
  </si>
  <si>
    <t>CADILKS182</t>
  </si>
  <si>
    <t>3.55-1.75x1.08</t>
  </si>
  <si>
    <t>SHNY003B</t>
  </si>
  <si>
    <t>5.91-3.03x1.05</t>
  </si>
  <si>
    <t>CADILKS225</t>
  </si>
  <si>
    <t>4.77-2.63x1.08</t>
  </si>
  <si>
    <t>CADILKS228</t>
  </si>
  <si>
    <t>3.80-1.99x1.04</t>
  </si>
  <si>
    <t>CADILKS230</t>
  </si>
  <si>
    <t>4.94-2.45x1.36</t>
  </si>
  <si>
    <t>CADILKS233</t>
  </si>
  <si>
    <t>3.45-4.54x1.45</t>
  </si>
  <si>
    <t>CADILKS236</t>
  </si>
  <si>
    <t>4.98-2.81x1.06</t>
  </si>
  <si>
    <t>PLT71201AA</t>
  </si>
  <si>
    <t>4.31 - 10.15 x 1.55</t>
  </si>
  <si>
    <t>CADILKS238Q</t>
  </si>
  <si>
    <t>6.49-3.37x0.99</t>
  </si>
  <si>
    <t>SMN173A</t>
  </si>
  <si>
    <t>5.30 - 9.77 x 2.15</t>
  </si>
  <si>
    <t>CADILKS248Q</t>
  </si>
  <si>
    <t>7.99-5.24x2.87</t>
  </si>
  <si>
    <t>CADILK064</t>
  </si>
  <si>
    <t>8.80-4.39x2.39</t>
  </si>
  <si>
    <t>CADILKS261</t>
  </si>
  <si>
    <t>6.03-2.85x0.99</t>
  </si>
  <si>
    <t>OR13AA</t>
  </si>
  <si>
    <t>7.47-3.04x2.09</t>
  </si>
  <si>
    <t>NR003A</t>
  </si>
  <si>
    <t>5.04 - 8.96 x 1.95</t>
  </si>
  <si>
    <t>PLT2436017AAA</t>
  </si>
  <si>
    <t>3.83 - 8.03 x 1.73</t>
  </si>
  <si>
    <t>NR094AAA</t>
  </si>
  <si>
    <t>4.79 - 8.56 x 2.10</t>
  </si>
  <si>
    <t>RH05BA</t>
  </si>
  <si>
    <t>6.80-3.70x1.25</t>
  </si>
  <si>
    <t>PH03BAAA</t>
  </si>
  <si>
    <t>7.87-3.99x1.35</t>
  </si>
  <si>
    <t>BLL009AAAAAA</t>
  </si>
  <si>
    <t>I2</t>
  </si>
  <si>
    <t>6.75 - 7.89 x 2.71</t>
  </si>
  <si>
    <t>BLL021AAAAA</t>
  </si>
  <si>
    <t>6.00 - 7.10 x 2.36</t>
  </si>
  <si>
    <t>LVP044A</t>
  </si>
  <si>
    <t>7.12-3.59x1.15</t>
  </si>
  <si>
    <t>LVP036AAAAA</t>
  </si>
  <si>
    <t>4.33 - 8.20 x 1.55</t>
  </si>
  <si>
    <t>LVP005BA</t>
  </si>
  <si>
    <t>6.94-3.24x0.99</t>
  </si>
  <si>
    <t>LVP012AAA</t>
  </si>
  <si>
    <t>4.21 - 8.01 x 2.16</t>
  </si>
  <si>
    <t>KRNL02AA</t>
  </si>
  <si>
    <t>4.39 - 8.51 x 1.91</t>
  </si>
  <si>
    <t>KGKA01AAAA</t>
  </si>
  <si>
    <t>4.34 - 5.92 x 2.26</t>
  </si>
  <si>
    <t>CADILKS298</t>
  </si>
  <si>
    <t>4.10-7.78x2.17</t>
  </si>
  <si>
    <t>CADILKS299</t>
  </si>
  <si>
    <t>6.51-3.43x1.52</t>
  </si>
  <si>
    <t>GRKS06BAAA001</t>
  </si>
  <si>
    <t>3.64 - 8.45 x 1.49</t>
  </si>
  <si>
    <t>BLL015BAA</t>
  </si>
  <si>
    <t>4.02 - 8.23 x 1.75</t>
  </si>
  <si>
    <t>LEV326AAAA</t>
  </si>
  <si>
    <t>4.33 - 9.76 x 1.54</t>
  </si>
  <si>
    <t>LEV074A</t>
  </si>
  <si>
    <t>4.87 - 9.37 x 1.50</t>
  </si>
  <si>
    <t>CADILKS321</t>
  </si>
  <si>
    <t>4.16-7.62x1.81</t>
  </si>
  <si>
    <t>LEV522AA</t>
  </si>
  <si>
    <t>4.24 - 8.00 x 2.16</t>
  </si>
  <si>
    <t>LEV505AAAAAA</t>
  </si>
  <si>
    <t>5.12 - 9.18 x 2.73</t>
  </si>
  <si>
    <t>CADILKS326</t>
  </si>
  <si>
    <t>8.94-4.44x1.65</t>
  </si>
  <si>
    <t>CADILKS328</t>
  </si>
  <si>
    <t>6.40-3.68x1.37</t>
  </si>
  <si>
    <t>CADILKS327</t>
  </si>
  <si>
    <t>7.87-4.00x1.35</t>
  </si>
  <si>
    <t>CADILKS329</t>
  </si>
  <si>
    <t>4.69-11.48x1.56</t>
  </si>
  <si>
    <t>CADILKS330</t>
  </si>
  <si>
    <t>4.39-7.62x1.59</t>
  </si>
  <si>
    <t>CADILKS331</t>
  </si>
  <si>
    <t>5.63-10.07x2.33</t>
  </si>
  <si>
    <t>CADILKS332</t>
  </si>
  <si>
    <t>6.73-3.50x1.40</t>
  </si>
  <si>
    <t>PLT233</t>
  </si>
  <si>
    <t>HALF-MOON STEP CUT</t>
  </si>
  <si>
    <t>9.98 - 5.91 x 2.72</t>
  </si>
  <si>
    <t>PLT775001B</t>
  </si>
  <si>
    <t>11.33 - 5.13 x 2.70</t>
  </si>
  <si>
    <t>LEEAAAAA</t>
  </si>
  <si>
    <t>5.24 - 10.36 x 2.88</t>
  </si>
  <si>
    <t>PLT164903A</t>
  </si>
  <si>
    <t>HEXAGON</t>
  </si>
  <si>
    <t>3.51-4.06x1.30</t>
  </si>
  <si>
    <t>HMFNC05C</t>
  </si>
  <si>
    <t>HM</t>
  </si>
  <si>
    <t>3.67-6.48x2.69</t>
  </si>
  <si>
    <t>HMON749</t>
  </si>
  <si>
    <t>2.35-5.97x2.35</t>
  </si>
  <si>
    <t>HMON756</t>
  </si>
  <si>
    <t>3.60-5.49x2.68</t>
  </si>
  <si>
    <t>MTH5029</t>
  </si>
  <si>
    <t>5.96-3.34x2.24</t>
  </si>
  <si>
    <t>MTH5199AA</t>
  </si>
  <si>
    <t>6.09-3.90x2.02</t>
  </si>
  <si>
    <t>MTH2005</t>
  </si>
  <si>
    <t>5.91-3.24x2.36</t>
  </si>
  <si>
    <t>HMOND002</t>
  </si>
  <si>
    <t>2.95-3.67x2.13</t>
  </si>
  <si>
    <t>ADKD102B</t>
  </si>
  <si>
    <t>4.54-2.32x1.22</t>
  </si>
  <si>
    <t>HMON2188N</t>
  </si>
  <si>
    <t>I3</t>
  </si>
  <si>
    <t>5.95-3.35x2.34</t>
  </si>
  <si>
    <t>HMOND001</t>
  </si>
  <si>
    <t>2.89-3.58x1.76</t>
  </si>
  <si>
    <t>HMON2352</t>
  </si>
  <si>
    <t>5.73-3.56x1.77</t>
  </si>
  <si>
    <t>HMONS394</t>
  </si>
  <si>
    <t>5.19-3.19x1.81</t>
  </si>
  <si>
    <t>HMON2452</t>
  </si>
  <si>
    <t>5.76-3.66x2.03</t>
  </si>
  <si>
    <t>HMON2498</t>
  </si>
  <si>
    <t>6.36-4.07x2.72</t>
  </si>
  <si>
    <t>HMON2501</t>
  </si>
  <si>
    <t>6.40-4.12x2.27</t>
  </si>
  <si>
    <t>HMON2504</t>
  </si>
  <si>
    <t>4.72-3.10x1.89</t>
  </si>
  <si>
    <t>HMON2531</t>
  </si>
  <si>
    <t>5.28-3.12x1.56</t>
  </si>
  <si>
    <t>BRTO208AA</t>
  </si>
  <si>
    <t>4.57 - 7.43 x 3.28</t>
  </si>
  <si>
    <t>HMON2552</t>
  </si>
  <si>
    <t>6.61-4.02x2.68</t>
  </si>
  <si>
    <t>HMON2564</t>
  </si>
  <si>
    <t>6.45-4.03x2.50</t>
  </si>
  <si>
    <t>ZIBB031AA</t>
  </si>
  <si>
    <t>5.45-3.34x1.96</t>
  </si>
  <si>
    <t>HMON2567</t>
  </si>
  <si>
    <t>6.87-4.03x2.93</t>
  </si>
  <si>
    <t>HMON2604</t>
  </si>
  <si>
    <t>7.57-4.84x2.94</t>
  </si>
  <si>
    <t>HMON2609</t>
  </si>
  <si>
    <t>5.94-3.38x2.04</t>
  </si>
  <si>
    <t>HMON2610</t>
  </si>
  <si>
    <t>6.29-4.27x2.47</t>
  </si>
  <si>
    <t>HMON2612</t>
  </si>
  <si>
    <t>4.63-2.89x1.72</t>
  </si>
  <si>
    <t>HMON2614</t>
  </si>
  <si>
    <t>5.06-3.06x1.96</t>
  </si>
  <si>
    <t>HMON2618</t>
  </si>
  <si>
    <t>8.24-5.35x2.92</t>
  </si>
  <si>
    <t>HMON2619</t>
  </si>
  <si>
    <t>6.18-3.81x2.46</t>
  </si>
  <si>
    <t>HMON2623</t>
  </si>
  <si>
    <t>6.09-3.73x2.42</t>
  </si>
  <si>
    <t>HMON2625</t>
  </si>
  <si>
    <t>3.34-2.03x1.18</t>
  </si>
  <si>
    <t>HMON2626M</t>
  </si>
  <si>
    <t>4.45-1.95x1.10</t>
  </si>
  <si>
    <t>HMON2629</t>
  </si>
  <si>
    <t>4.18-2.69x1.56</t>
  </si>
  <si>
    <t>HMON2631C</t>
  </si>
  <si>
    <t>0.00-2.98x1.97</t>
  </si>
  <si>
    <t>HMON2636</t>
  </si>
  <si>
    <t>4.24-2.83x1.73</t>
  </si>
  <si>
    <t>HMONS1116</t>
  </si>
  <si>
    <t>5.10-8.06x2.83</t>
  </si>
  <si>
    <t>HMONS402</t>
  </si>
  <si>
    <t>7.51-4.35x2.29</t>
  </si>
  <si>
    <t>HMON2656</t>
  </si>
  <si>
    <t>5.98-3.71x2.19</t>
  </si>
  <si>
    <t>HMON2657</t>
  </si>
  <si>
    <t>3.68-6.31x2.27</t>
  </si>
  <si>
    <t>HMON2660</t>
  </si>
  <si>
    <t>6.01-3.86x2.19</t>
  </si>
  <si>
    <t>HMON2661Q</t>
  </si>
  <si>
    <t>6.41-4.13x2.29</t>
  </si>
  <si>
    <t>HMON2662PE</t>
  </si>
  <si>
    <t>6.53-2.99x2.22</t>
  </si>
  <si>
    <t>HMONBG121N</t>
  </si>
  <si>
    <t>HMB</t>
  </si>
  <si>
    <t>7.16-5.62x3.33</t>
  </si>
  <si>
    <t>PLT370A</t>
  </si>
  <si>
    <t>HRT</t>
  </si>
  <si>
    <t>7.83-8.76x4.92</t>
  </si>
  <si>
    <t>HRT032</t>
  </si>
  <si>
    <t>HS</t>
  </si>
  <si>
    <t>4.69 - 4.76 x 2.37</t>
  </si>
  <si>
    <t>GLDI019</t>
  </si>
  <si>
    <t>6.87 - 6.94 x 3.64</t>
  </si>
  <si>
    <t>MTH8064</t>
  </si>
  <si>
    <t>KITE</t>
  </si>
  <si>
    <t>3.22-4.62x2.20</t>
  </si>
  <si>
    <t>KAYT999</t>
  </si>
  <si>
    <t>8.68 - 4.16 x 2.65</t>
  </si>
  <si>
    <t>KAYT288</t>
  </si>
  <si>
    <t>2.81-5.03x1.95</t>
  </si>
  <si>
    <t>KAYTRS009Q</t>
  </si>
  <si>
    <t>5.83-8.40x2.34</t>
  </si>
  <si>
    <t>KAYTR014</t>
  </si>
  <si>
    <t>5.25-7.73x2.56</t>
  </si>
  <si>
    <t>PLT54501BA</t>
  </si>
  <si>
    <t>8.21-4.09x1.87</t>
  </si>
  <si>
    <t>KAYTR017Q</t>
  </si>
  <si>
    <t>2.82-3.94x1.76</t>
  </si>
  <si>
    <t>KAYT342</t>
  </si>
  <si>
    <t>9.68-5.42x2.97</t>
  </si>
  <si>
    <t>KAYT345C</t>
  </si>
  <si>
    <t>4.42-8.63x2.04</t>
  </si>
  <si>
    <t>AMPT006A</t>
  </si>
  <si>
    <t>7.70-3.71x1.66</t>
  </si>
  <si>
    <t>BT17002B</t>
  </si>
  <si>
    <t>6.00-3.07x1.40</t>
  </si>
  <si>
    <t>KAYTR018</t>
  </si>
  <si>
    <t>9.06-5.56x3.27</t>
  </si>
  <si>
    <t>PLT298BA</t>
  </si>
  <si>
    <t>2.15-8.13x1.46</t>
  </si>
  <si>
    <t>KAYT360</t>
  </si>
  <si>
    <t>3.12-8.44x2.02</t>
  </si>
  <si>
    <t>KAYT260A</t>
  </si>
  <si>
    <t>7.82-3.38x1.72</t>
  </si>
  <si>
    <t>KAYT260B</t>
  </si>
  <si>
    <t>8.01-3.19x2.06</t>
  </si>
  <si>
    <t>KAYT2003</t>
  </si>
  <si>
    <t>2.33-5.25x1.73</t>
  </si>
  <si>
    <t>KAYT2006</t>
  </si>
  <si>
    <t>2.65-5.16x1.79</t>
  </si>
  <si>
    <t>KAYT2008</t>
  </si>
  <si>
    <t>2.68-4.84x1.95</t>
  </si>
  <si>
    <t>KAYT2017</t>
  </si>
  <si>
    <t>3.25-6.20x2.23</t>
  </si>
  <si>
    <t>KAYT2018</t>
  </si>
  <si>
    <t>2.47-5.94x1.47</t>
  </si>
  <si>
    <t>KAYT368</t>
  </si>
  <si>
    <t>3.74-9.34x2.07</t>
  </si>
  <si>
    <t>KAYT370</t>
  </si>
  <si>
    <t>4.17-8.38x2.41</t>
  </si>
  <si>
    <t>KAYT371</t>
  </si>
  <si>
    <t>3.07-7.29x1.59</t>
  </si>
  <si>
    <t>KAYT372</t>
  </si>
  <si>
    <t>3.46-8.31x1.78</t>
  </si>
  <si>
    <t>KAYT376</t>
  </si>
  <si>
    <t>3.07-8.07x1.58</t>
  </si>
  <si>
    <t>KAYTRS030</t>
  </si>
  <si>
    <t>4.45-7.76x1.71</t>
  </si>
  <si>
    <t>KAYT380</t>
  </si>
  <si>
    <t>8.97-4.78x2.82</t>
  </si>
  <si>
    <t>LDRL033AAA</t>
  </si>
  <si>
    <t>9.19 - 4.56 x 2.49</t>
  </si>
  <si>
    <t>LDRKAAA</t>
  </si>
  <si>
    <t>12.16 - 4.96 x 2.71</t>
  </si>
  <si>
    <t>PLT3534014ABAA</t>
  </si>
  <si>
    <t>3.00-6.43x1.14</t>
  </si>
  <si>
    <t>LDRDABA</t>
  </si>
  <si>
    <t>2.71-6.50x1.21</t>
  </si>
  <si>
    <t>PLT66601BBAAAA</t>
  </si>
  <si>
    <t>9.34 - 4.34 x 2.09</t>
  </si>
  <si>
    <t>PTPG03AAAAAA</t>
  </si>
  <si>
    <t>3.04-6.57x1.59</t>
  </si>
  <si>
    <t>KAYTRS039C</t>
  </si>
  <si>
    <t>2.37-6.09x1.04</t>
  </si>
  <si>
    <t>MN04A</t>
  </si>
  <si>
    <t>3.89-8.03x2.08</t>
  </si>
  <si>
    <t>ZYB043BA</t>
  </si>
  <si>
    <t>2.48-7.69x1.16</t>
  </si>
  <si>
    <t>PLT520AAABAA</t>
  </si>
  <si>
    <t>2.12-8.07x1.01</t>
  </si>
  <si>
    <t>NR105BA</t>
  </si>
  <si>
    <t>3.00-6.23x1.38</t>
  </si>
  <si>
    <t>PLTT193ABA</t>
  </si>
  <si>
    <t>2.69-5.76x1.31</t>
  </si>
  <si>
    <t>LDRK06ABAAA</t>
  </si>
  <si>
    <t>3.94-8.13x1.73</t>
  </si>
  <si>
    <t>NR066AAAAAAA</t>
  </si>
  <si>
    <t>3.11-5.68x1.26</t>
  </si>
  <si>
    <t>PLT030001AABA</t>
  </si>
  <si>
    <t>2.30-7.75x1.28</t>
  </si>
  <si>
    <t>ADKB311BAA</t>
  </si>
  <si>
    <t>2.72-5.63x1.22</t>
  </si>
  <si>
    <t>LZ04ABAAA</t>
  </si>
  <si>
    <t>2.70-6.14x1.35</t>
  </si>
  <si>
    <t>KAYTRS051</t>
  </si>
  <si>
    <t>3.38-5.99x1.57</t>
  </si>
  <si>
    <t>LVP009AA</t>
  </si>
  <si>
    <t>3.63-7.59x1.83</t>
  </si>
  <si>
    <t>PLT4082013BBA</t>
  </si>
  <si>
    <t>2.84-5.99x1.49</t>
  </si>
  <si>
    <t>KGK003AAA</t>
  </si>
  <si>
    <t>10.03 - 6.10 x 3.32</t>
  </si>
  <si>
    <t>ELDE15AAAAA</t>
  </si>
  <si>
    <t>8.84 - 4.08 x 2.22</t>
  </si>
  <si>
    <t>KAYTRS054</t>
  </si>
  <si>
    <t>2.84-7.98x1.41</t>
  </si>
  <si>
    <t>KAYT2020</t>
  </si>
  <si>
    <t>2.51-4.98x1.37</t>
  </si>
  <si>
    <t>BLL022AAAB</t>
  </si>
  <si>
    <t>3.09-6.20x1.25</t>
  </si>
  <si>
    <t>DRG03BBAAAA</t>
  </si>
  <si>
    <t>8.43-2.09x0.99</t>
  </si>
  <si>
    <t>SHMN009BA</t>
  </si>
  <si>
    <t>2.52-8.81x1.30</t>
  </si>
  <si>
    <t>DRG03BBCABA</t>
  </si>
  <si>
    <t>2.25-8.39x1.06</t>
  </si>
  <si>
    <t>SHNY026BA</t>
  </si>
  <si>
    <t>3.24-6.56x1.52</t>
  </si>
  <si>
    <t>SHMB013BA</t>
  </si>
  <si>
    <t>2.98-6.39x1.24</t>
  </si>
  <si>
    <t>AUR13BA</t>
  </si>
  <si>
    <t>3.20-6.39x1.37</t>
  </si>
  <si>
    <t>KAYT385</t>
  </si>
  <si>
    <t>7.93-3.78x1.68</t>
  </si>
  <si>
    <t>KAYTRS055</t>
  </si>
  <si>
    <t>2.77-5.74x1.21</t>
  </si>
  <si>
    <t>KAYTRS056</t>
  </si>
  <si>
    <t>2.89-6.26x1.23</t>
  </si>
  <si>
    <t>KAYTRS057</t>
  </si>
  <si>
    <t>2.58-6.57x1.13</t>
  </si>
  <si>
    <t>PLT3417005AABA</t>
  </si>
  <si>
    <t>2.22-6.07x1.07</t>
  </si>
  <si>
    <t>HNIVABA</t>
  </si>
  <si>
    <t>2.16-7.06x0.97</t>
  </si>
  <si>
    <t>KAYTRS062</t>
  </si>
  <si>
    <t>2.88-6.22x1.34</t>
  </si>
  <si>
    <t>KAYTRS063</t>
  </si>
  <si>
    <t>2.56-6.27x1.01</t>
  </si>
  <si>
    <t>KAYTRS064</t>
  </si>
  <si>
    <t>2.51-6.18x1.14</t>
  </si>
  <si>
    <t>KAYTRS065</t>
  </si>
  <si>
    <t>2.29-6.28x0.91</t>
  </si>
  <si>
    <t>KAYTRS066</t>
  </si>
  <si>
    <t>3.03-6.56x1.26</t>
  </si>
  <si>
    <t>KAYTRS067</t>
  </si>
  <si>
    <t>2.28-6.22x0.96</t>
  </si>
  <si>
    <t>KAYTRS068</t>
  </si>
  <si>
    <t>LB1</t>
  </si>
  <si>
    <t>2.54-6.34x1.18</t>
  </si>
  <si>
    <t>KAYTRS069</t>
  </si>
  <si>
    <t>2.51-6.53x1.40</t>
  </si>
  <si>
    <t>KAYTRS072</t>
  </si>
  <si>
    <t>2.52-6.01x1.12</t>
  </si>
  <si>
    <t>KAYTRS073</t>
  </si>
  <si>
    <t>2.66-6.43x1.24</t>
  </si>
  <si>
    <t>KAYTRS074</t>
  </si>
  <si>
    <t>2.41-6.00x1.17</t>
  </si>
  <si>
    <t>KAYTRS075</t>
  </si>
  <si>
    <t>2.58-6.91x1.02</t>
  </si>
  <si>
    <t>KAYTRS076</t>
  </si>
  <si>
    <t>2.63-6.78x1.20</t>
  </si>
  <si>
    <t>PLT540001A</t>
  </si>
  <si>
    <t>3.05-7.58x1.04</t>
  </si>
  <si>
    <t>BLL018BAA</t>
  </si>
  <si>
    <t>4.02-8.55x2.08</t>
  </si>
  <si>
    <t>LEV152409AA</t>
  </si>
  <si>
    <t>3.79-7.08x1.73</t>
  </si>
  <si>
    <t>KAYT386Q</t>
  </si>
  <si>
    <t>3.75-8.11x2.01</t>
  </si>
  <si>
    <t>SHBA009BAA</t>
  </si>
  <si>
    <t>2.75-5.79x1.39</t>
  </si>
  <si>
    <t>LDRL032BA</t>
  </si>
  <si>
    <t>2.91-6.03x1.45</t>
  </si>
  <si>
    <t>PLT4322004A</t>
  </si>
  <si>
    <t>3.04-5.63x1.46</t>
  </si>
  <si>
    <t>PLT238917BA</t>
  </si>
  <si>
    <t>3.05-5.95x1.42</t>
  </si>
  <si>
    <t>PLT48002BA</t>
  </si>
  <si>
    <t>3.39-6.34x1.29</t>
  </si>
  <si>
    <t>PLT71202BA</t>
  </si>
  <si>
    <t>2.94-6.10x1.36</t>
  </si>
  <si>
    <t>BLL019ABA</t>
  </si>
  <si>
    <t>2.97-6.15x1.44</t>
  </si>
  <si>
    <t>NR121BA</t>
  </si>
  <si>
    <t>3.23-6.27x1.37</t>
  </si>
  <si>
    <t>YL037BA</t>
  </si>
  <si>
    <t>2.88-5.92x1.31</t>
  </si>
  <si>
    <t>BLHL02BAA</t>
  </si>
  <si>
    <t>2.88-5.54x1.36</t>
  </si>
  <si>
    <t>SHMB021BA</t>
  </si>
  <si>
    <t>2.72-6.19x1.27</t>
  </si>
  <si>
    <t>LEV326BBABA</t>
  </si>
  <si>
    <t>2.91-6.27x1.29</t>
  </si>
  <si>
    <t>LDRKABAA</t>
  </si>
  <si>
    <t>3.18-6.40x1.41</t>
  </si>
  <si>
    <t>LEV400ABAA</t>
  </si>
  <si>
    <t>2.95-6.39x1.39</t>
  </si>
  <si>
    <t>KAYT2021</t>
  </si>
  <si>
    <t>3.42-7.18x1.72</t>
  </si>
  <si>
    <t>AMTA008BBA</t>
  </si>
  <si>
    <t>2.85-5.94x1.28</t>
  </si>
  <si>
    <t>KAYTRS077</t>
  </si>
  <si>
    <t>3.53-6.10x1.44</t>
  </si>
  <si>
    <t>GRKS07AA</t>
  </si>
  <si>
    <t>KITE MODIFIED BRILLIANT</t>
  </si>
  <si>
    <t>9.32 - 4.75 x 2.37</t>
  </si>
  <si>
    <t>PLT207503</t>
  </si>
  <si>
    <t>KT</t>
  </si>
  <si>
    <t>3.69-7.75x1.53</t>
  </si>
  <si>
    <t>DSHHO2A</t>
  </si>
  <si>
    <t>3.99-7.36x1.44</t>
  </si>
  <si>
    <t>AMTL05</t>
  </si>
  <si>
    <t>3.49-8.45x1.86</t>
  </si>
  <si>
    <t>KAYTS054N</t>
  </si>
  <si>
    <t>1.81-6.57x1.01</t>
  </si>
  <si>
    <t>KAYTS080C</t>
  </si>
  <si>
    <t>4.41-10.42x2.47</t>
  </si>
  <si>
    <t>KAYTS090</t>
  </si>
  <si>
    <t>9.36-4.22x2.73</t>
  </si>
  <si>
    <t>KAYTS095</t>
  </si>
  <si>
    <t>3.76-9.11x1.79</t>
  </si>
  <si>
    <t>KAYTS098</t>
  </si>
  <si>
    <t>9.48-4.20x1.75</t>
  </si>
  <si>
    <t>KAYTS110</t>
  </si>
  <si>
    <t>3.18-8.65x1.17</t>
  </si>
  <si>
    <t>KAYTS111</t>
  </si>
  <si>
    <t>3.28-9.19x1.10</t>
  </si>
  <si>
    <t>KAYTS112</t>
  </si>
  <si>
    <t>9.99-3.58x1.20</t>
  </si>
  <si>
    <t>PLT219007AA</t>
  </si>
  <si>
    <t>14.25 - 3.11 x 1.40</t>
  </si>
  <si>
    <t>KAYTS114L</t>
  </si>
  <si>
    <t>3.64-9.50x1.44</t>
  </si>
  <si>
    <t>PLT2330AA</t>
  </si>
  <si>
    <t>14.31 - 4.22 x 1.79</t>
  </si>
  <si>
    <t>LVP043AAA</t>
  </si>
  <si>
    <t>14.17 - 3.55 x 1.82</t>
  </si>
  <si>
    <t>LIR275604BA</t>
  </si>
  <si>
    <t>9.21 - 3.73 x 2.31</t>
  </si>
  <si>
    <t>KAYTS123</t>
  </si>
  <si>
    <t>8.75-4.61x1.77</t>
  </si>
  <si>
    <t>KAYTS125</t>
  </si>
  <si>
    <t>2.55-5.29x1.03</t>
  </si>
  <si>
    <t>KAYTS126</t>
  </si>
  <si>
    <t>2.27-5.09x1.03</t>
  </si>
  <si>
    <t>DRG03BBCAAAAAA</t>
  </si>
  <si>
    <t>3.95-9.73x2.58</t>
  </si>
  <si>
    <t>RHMV05AAAAAA</t>
  </si>
  <si>
    <t>13.46 - 3.89 x 1.47</t>
  </si>
  <si>
    <t>LEV501BA</t>
  </si>
  <si>
    <t>2.87-6.94x1.03</t>
  </si>
  <si>
    <t>PLT7711049BA</t>
  </si>
  <si>
    <t>3.02-6.94x1.05</t>
  </si>
  <si>
    <t>LEV152401AA</t>
  </si>
  <si>
    <t>8.77 - 3.64 x 2.06</t>
  </si>
  <si>
    <t>KAYTS132L</t>
  </si>
  <si>
    <t>3.02-6.78x1.20</t>
  </si>
  <si>
    <t>MAYAN014</t>
  </si>
  <si>
    <t>loz</t>
  </si>
  <si>
    <t>3.77-6.02x1.45</t>
  </si>
  <si>
    <t>PLT0224</t>
  </si>
  <si>
    <t>9.81 - 8.34 x 2.62</t>
  </si>
  <si>
    <t>MAYAN015</t>
  </si>
  <si>
    <t>4.36-6.11x2.09</t>
  </si>
  <si>
    <t>MAYAN025</t>
  </si>
  <si>
    <t>5.53-7.11x2.63</t>
  </si>
  <si>
    <t>MAYAN028</t>
  </si>
  <si>
    <t>5.41-6.72x2.00</t>
  </si>
  <si>
    <t>MAYAN030</t>
  </si>
  <si>
    <t>4.91-6.27x2.22</t>
  </si>
  <si>
    <t>SHN70104A</t>
  </si>
  <si>
    <t>5.48-8.52x1.69</t>
  </si>
  <si>
    <t>MAYAN033C</t>
  </si>
  <si>
    <t>6.45-5.02x2.36</t>
  </si>
  <si>
    <t>MAYAN037</t>
  </si>
  <si>
    <t>7.43-5.78x2.20</t>
  </si>
  <si>
    <t>MAYAN039</t>
  </si>
  <si>
    <t>4.28-6.86x1.53</t>
  </si>
  <si>
    <t>MAYAN040</t>
  </si>
  <si>
    <t>4.76-6.01x1.84</t>
  </si>
  <si>
    <t>MQ001</t>
  </si>
  <si>
    <t>MARQUISE BRILLIANT</t>
  </si>
  <si>
    <t>7.34 - 3.82 x 2.68</t>
  </si>
  <si>
    <t>MQ003</t>
  </si>
  <si>
    <t>MARQUISE MODIFIED BRILLIANT</t>
  </si>
  <si>
    <t>7.73 - 3.50 x 2.70</t>
  </si>
  <si>
    <t>AMTA016AAAA</t>
  </si>
  <si>
    <t>MODIFIED HALF-MOON STEP CUT</t>
  </si>
  <si>
    <t>13.69 - 5.71 x 2.60</t>
  </si>
  <si>
    <t>LEVY527C3</t>
  </si>
  <si>
    <t>MQ</t>
  </si>
  <si>
    <t>7.71-4.08x2.82</t>
  </si>
  <si>
    <t>MQPAIR10</t>
  </si>
  <si>
    <t>KBIB050FY205</t>
  </si>
  <si>
    <t>2.38-4.49x1.55</t>
  </si>
  <si>
    <t>MQ002</t>
  </si>
  <si>
    <t>3.63-7.72x2.22</t>
  </si>
  <si>
    <t>MQ027</t>
  </si>
  <si>
    <t>3.30-5.51x2.31</t>
  </si>
  <si>
    <t>MQ028</t>
  </si>
  <si>
    <t>3.25-5.58x2.15</t>
  </si>
  <si>
    <t>MQ029</t>
  </si>
  <si>
    <t>3.69-6.58x1.51</t>
  </si>
  <si>
    <t>MQ030</t>
  </si>
  <si>
    <t>2.46-8.90x1.66</t>
  </si>
  <si>
    <t>MQ031</t>
  </si>
  <si>
    <t>2.76-5.52x1.79</t>
  </si>
  <si>
    <t>MQ033</t>
  </si>
  <si>
    <t>2.22-5.24x1.56</t>
  </si>
  <si>
    <t>MQ034</t>
  </si>
  <si>
    <t>2.41-4.65x1.73</t>
  </si>
  <si>
    <t>MQ036</t>
  </si>
  <si>
    <t>2.65-5.38x1.57</t>
  </si>
  <si>
    <t>MQ038</t>
  </si>
  <si>
    <t>3.14-5.46x2.19</t>
  </si>
  <si>
    <t>MQ040</t>
  </si>
  <si>
    <t>2.79-5.82x1.93</t>
  </si>
  <si>
    <t>MQ041</t>
  </si>
  <si>
    <t>2.61-4.53x1.85</t>
  </si>
  <si>
    <t>MQ042</t>
  </si>
  <si>
    <t>3.14-5.11x2.20</t>
  </si>
  <si>
    <t>MQ043</t>
  </si>
  <si>
    <t>5.21-1.85x2.69</t>
  </si>
  <si>
    <t>MQ053</t>
  </si>
  <si>
    <t>2.42-4.51x1.73</t>
  </si>
  <si>
    <t>MQ056</t>
  </si>
  <si>
    <t>2.74-5.57x1.89</t>
  </si>
  <si>
    <t>MQ057</t>
  </si>
  <si>
    <t>2.75-5.11x1.83</t>
  </si>
  <si>
    <t>GSSET</t>
  </si>
  <si>
    <t>OCT</t>
  </si>
  <si>
    <t>9.07-4.76x2.22</t>
  </si>
  <si>
    <t>GSCUT017</t>
  </si>
  <si>
    <t>6.42-4.05x1.80</t>
  </si>
  <si>
    <t>GSCUT018</t>
  </si>
  <si>
    <t>2.17-5.82x1.14</t>
  </si>
  <si>
    <t>DAVD01</t>
  </si>
  <si>
    <t>OCTAGONAL MODIFIED BRILLIANT</t>
  </si>
  <si>
    <t>5.90 - 5.88 x 4.12</t>
  </si>
  <si>
    <t>BRCH199Q</t>
  </si>
  <si>
    <t>OTHER</t>
  </si>
  <si>
    <t>5.37-2.89x0.00</t>
  </si>
  <si>
    <t>PLT152504BBAAA</t>
  </si>
  <si>
    <t>3.80-5.22x1.50</t>
  </si>
  <si>
    <t>LEV152408AA</t>
  </si>
  <si>
    <t>5.42-8.27x2.68</t>
  </si>
  <si>
    <t>OVHP01</t>
  </si>
  <si>
    <t>OV</t>
  </si>
  <si>
    <t>3.78-5.33x2.67</t>
  </si>
  <si>
    <t>OVPAIR02</t>
  </si>
  <si>
    <t>OVVSSI01C</t>
  </si>
  <si>
    <t>OVAL30</t>
  </si>
  <si>
    <t>5.78-2.24x3.82</t>
  </si>
  <si>
    <t>OV1003</t>
  </si>
  <si>
    <t>2.86-3.70x1.66</t>
  </si>
  <si>
    <t>OV1005</t>
  </si>
  <si>
    <t>4.13-6.45x2.00</t>
  </si>
  <si>
    <t>PLT591001</t>
  </si>
  <si>
    <t>PEAR</t>
  </si>
  <si>
    <t>GOOD</t>
  </si>
  <si>
    <t>VERY GOOD</t>
  </si>
  <si>
    <t>5.55 - 9.01 x 3.28</t>
  </si>
  <si>
    <t>PENTAGON08</t>
  </si>
  <si>
    <t>pen</t>
  </si>
  <si>
    <t>4.01-5.13x1.67</t>
  </si>
  <si>
    <t>PENTAGON11</t>
  </si>
  <si>
    <t>5.97-3.63x2.34</t>
  </si>
  <si>
    <t>BLA035AAAAA</t>
  </si>
  <si>
    <t>6.80 - 4.47 x 1.89</t>
  </si>
  <si>
    <t>PITZ01</t>
  </si>
  <si>
    <t>PITZ</t>
  </si>
  <si>
    <t>5.44-4.01x2.64</t>
  </si>
  <si>
    <t>PLT151</t>
  </si>
  <si>
    <t>PRINCESS</t>
  </si>
  <si>
    <t>5.72 - 5.45 x 3.65</t>
  </si>
  <si>
    <t>PLT3534015</t>
  </si>
  <si>
    <t>IGL</t>
  </si>
  <si>
    <t>D2410477328</t>
  </si>
  <si>
    <t>5.35 - 5.27 x 3.48</t>
  </si>
  <si>
    <t>PER50SI</t>
  </si>
  <si>
    <t>PS</t>
  </si>
  <si>
    <t>6.92 - 4.35 x 3.10</t>
  </si>
  <si>
    <t>PLT207501AAAA</t>
  </si>
  <si>
    <t>9.69 - 5.21 x 3.03</t>
  </si>
  <si>
    <t>HAYK004A</t>
  </si>
  <si>
    <t>4.19-6.03x2.21</t>
  </si>
  <si>
    <t>TCL002A</t>
  </si>
  <si>
    <t>3.86-5.89x2.26</t>
  </si>
  <si>
    <t>PS002</t>
  </si>
  <si>
    <t>3.20-5.13x1.91</t>
  </si>
  <si>
    <t>PS008</t>
  </si>
  <si>
    <t>3.15-4.22x2.31</t>
  </si>
  <si>
    <t>PS009</t>
  </si>
  <si>
    <t>P</t>
  </si>
  <si>
    <t>3.07-3.97x2.27</t>
  </si>
  <si>
    <t>PS010</t>
  </si>
  <si>
    <t>3.52-5.14x2.48</t>
  </si>
  <si>
    <t>TRBAA</t>
  </si>
  <si>
    <t>10.82 - 7.08 x 4.25</t>
  </si>
  <si>
    <t>KRNPBAAAA</t>
  </si>
  <si>
    <t>5.46-9.05x3.09</t>
  </si>
  <si>
    <t>RAD018CN</t>
  </si>
  <si>
    <t>RADIANT</t>
  </si>
  <si>
    <t>3.21-3.28x2.03</t>
  </si>
  <si>
    <t>RAD043</t>
  </si>
  <si>
    <t>4.78 - 4.08 x 2.54</t>
  </si>
  <si>
    <t>JERI46R</t>
  </si>
  <si>
    <t>4.84 - 4.24 x 2.86</t>
  </si>
  <si>
    <t>PLT2794010AA</t>
  </si>
  <si>
    <t>RBC</t>
  </si>
  <si>
    <t>4.79 - 4.73 x 2.96</t>
  </si>
  <si>
    <t>GRS010</t>
  </si>
  <si>
    <t>ROUND</t>
  </si>
  <si>
    <t>4.42-4.53x2.67</t>
  </si>
  <si>
    <t>PLT316711AA</t>
  </si>
  <si>
    <t>5.50-5.58x3.29</t>
  </si>
  <si>
    <t>PLT2794014A</t>
  </si>
  <si>
    <t>4.61-4.56x2.99</t>
  </si>
  <si>
    <t>LILK211</t>
  </si>
  <si>
    <t>3.81-3.83x2.31</t>
  </si>
  <si>
    <t>RND068</t>
  </si>
  <si>
    <t>REJ</t>
  </si>
  <si>
    <t>5.23-5.30x3.66</t>
  </si>
  <si>
    <t>RND022</t>
  </si>
  <si>
    <t>3.84-2.36x3.80</t>
  </si>
  <si>
    <t>RND1015</t>
  </si>
  <si>
    <t>3.61-2.35x3.58</t>
  </si>
  <si>
    <t>RND1016</t>
  </si>
  <si>
    <t>2.90-2.98x1.83</t>
  </si>
  <si>
    <t>RND1018</t>
  </si>
  <si>
    <t>3.86-2.23x3.83</t>
  </si>
  <si>
    <t>RND0014</t>
  </si>
  <si>
    <t>3.44-3.49x1.98</t>
  </si>
  <si>
    <t>RND028</t>
  </si>
  <si>
    <t>3.57-3.62x1.95</t>
  </si>
  <si>
    <t>RND1028</t>
  </si>
  <si>
    <t>3.90-4.01x2.58</t>
  </si>
  <si>
    <t>RND1029</t>
  </si>
  <si>
    <t>2.98-3.06x1.79</t>
  </si>
  <si>
    <t>RND1030</t>
  </si>
  <si>
    <t>3.07-3.14x1.74</t>
  </si>
  <si>
    <t>PLT565BA</t>
  </si>
  <si>
    <t>ROUND BRILLIANT</t>
  </si>
  <si>
    <t>EX</t>
  </si>
  <si>
    <t>6.33 - 6.39 x 3.79</t>
  </si>
  <si>
    <t>MRB018AAA</t>
  </si>
  <si>
    <t>4.51 - 4.53 x 2.77</t>
  </si>
  <si>
    <t>SHAY040BAA</t>
  </si>
  <si>
    <t>4.32 - 4.39 x 2.60</t>
  </si>
  <si>
    <t>PLT1045005AAA</t>
  </si>
  <si>
    <t>4.32 - 4.39 x 2.66</t>
  </si>
  <si>
    <t>RND042</t>
  </si>
  <si>
    <t>4.81 - 4.85 x 2.95</t>
  </si>
  <si>
    <t>LILB029AA</t>
  </si>
  <si>
    <t>4.03 - 4.05 x 2.49</t>
  </si>
  <si>
    <t>SHLD063Q</t>
  </si>
  <si>
    <t>SH</t>
  </si>
  <si>
    <t>5.97-3.93x1.69</t>
  </si>
  <si>
    <t>SHLD232</t>
  </si>
  <si>
    <t>4.19-2.77x1.77</t>
  </si>
  <si>
    <t>SHLD261N</t>
  </si>
  <si>
    <t>5.83-4.75x2.31</t>
  </si>
  <si>
    <t>SHLD418</t>
  </si>
  <si>
    <t>4.32-5.28x2.20</t>
  </si>
  <si>
    <t>SHM076</t>
  </si>
  <si>
    <t>6.99-6.44x2.03</t>
  </si>
  <si>
    <t>MTH8114</t>
  </si>
  <si>
    <t>4.95-4.01x2.50</t>
  </si>
  <si>
    <t>MTH8152</t>
  </si>
  <si>
    <t>5.12-3.55x2.56</t>
  </si>
  <si>
    <t>MTH8174</t>
  </si>
  <si>
    <t>4.51-5.94x2.24</t>
  </si>
  <si>
    <t>ELR015</t>
  </si>
  <si>
    <t>5.79-8.18x2.25</t>
  </si>
  <si>
    <t>ADI015</t>
  </si>
  <si>
    <t>6.17-5.36x1.84</t>
  </si>
  <si>
    <t>SHLDY103</t>
  </si>
  <si>
    <t>sh</t>
  </si>
  <si>
    <t>5.29-5.38x2.64</t>
  </si>
  <si>
    <t>SHLDY104</t>
  </si>
  <si>
    <t>5.81-5.69x2.74</t>
  </si>
  <si>
    <t>SHAY103</t>
  </si>
  <si>
    <t>6.26-5.62x2.04</t>
  </si>
  <si>
    <t>PLT79106</t>
  </si>
  <si>
    <t>5.89-5.22x1.68</t>
  </si>
  <si>
    <t>SHLD412</t>
  </si>
  <si>
    <t>Fy</t>
  </si>
  <si>
    <t>3.74-5.67x2.68</t>
  </si>
  <si>
    <t>SHLD420</t>
  </si>
  <si>
    <t>3.88-4.97x1.99</t>
  </si>
  <si>
    <t>SHLDY109</t>
  </si>
  <si>
    <t>4.05-4.84x1.81</t>
  </si>
  <si>
    <t>ALNRD07A</t>
  </si>
  <si>
    <t>6.99-6.83x1.57</t>
  </si>
  <si>
    <t>SHLD437C</t>
  </si>
  <si>
    <t>2.09-3.19x1.38</t>
  </si>
  <si>
    <t>SHLDS573Q</t>
  </si>
  <si>
    <t>4.58-5.79x2.52</t>
  </si>
  <si>
    <t>LPTS469</t>
  </si>
  <si>
    <t>12.99 - 7.20 x 3.19</t>
  </si>
  <si>
    <t>PLT388AAAAA</t>
  </si>
  <si>
    <t>5.89 - 11.94 x 2.46</t>
  </si>
  <si>
    <t>SHLDS586</t>
  </si>
  <si>
    <t>5.80-7.64x2.52</t>
  </si>
  <si>
    <t>SHLDY112Q</t>
  </si>
  <si>
    <t>6.35-6.66x2.93</t>
  </si>
  <si>
    <t>SHLD445</t>
  </si>
  <si>
    <t>6.08-9.31x2.45</t>
  </si>
  <si>
    <t>PLT521328BAAA</t>
  </si>
  <si>
    <t>3.95 - 10.33 x 2.21</t>
  </si>
  <si>
    <t>SHLDYS047</t>
  </si>
  <si>
    <t>5.53-4.71x2.25</t>
  </si>
  <si>
    <t>SHLD229A</t>
  </si>
  <si>
    <t>2.81-3.68x1.90</t>
  </si>
  <si>
    <t>SHLD448</t>
  </si>
  <si>
    <t>3.31-5.94x1.97</t>
  </si>
  <si>
    <t>SHLDS603</t>
  </si>
  <si>
    <t>1.93-2.10x1.10</t>
  </si>
  <si>
    <t>SHLDYS050C</t>
  </si>
  <si>
    <t>7.61-6.80x2.39</t>
  </si>
  <si>
    <t>SHLDS605</t>
  </si>
  <si>
    <t>3.42-4.07x1.15</t>
  </si>
  <si>
    <t>SHLD453</t>
  </si>
  <si>
    <t>3.47-4.93x2.46</t>
  </si>
  <si>
    <t>SHLDS297</t>
  </si>
  <si>
    <t>3.29-3.16x1.25</t>
  </si>
  <si>
    <t>SHLDS607Q</t>
  </si>
  <si>
    <t>4.06-3.43x1.30</t>
  </si>
  <si>
    <t>SHLDS612Q</t>
  </si>
  <si>
    <t>3.41-4.24x1.66</t>
  </si>
  <si>
    <t>SHLD454</t>
  </si>
  <si>
    <t>4.88-5.09x1.55</t>
  </si>
  <si>
    <t>AUR12AAA</t>
  </si>
  <si>
    <t>5.81-7.93x2.61</t>
  </si>
  <si>
    <t>SHLDS614</t>
  </si>
  <si>
    <t>3.18-4.19x1.38</t>
  </si>
  <si>
    <t>SHLDYS052</t>
  </si>
  <si>
    <t>3.69-3.29x1.47</t>
  </si>
  <si>
    <t>DIAM67</t>
  </si>
  <si>
    <t>SHIELD</t>
  </si>
  <si>
    <t>4.20-5.10x2.12</t>
  </si>
  <si>
    <t>MTH8080</t>
  </si>
  <si>
    <t>4.96-5.57x2.24</t>
  </si>
  <si>
    <t>DIAM134C</t>
  </si>
  <si>
    <t>6.60-5.94x2.54</t>
  </si>
  <si>
    <t>DIAML004</t>
  </si>
  <si>
    <t>2.35-4.50x1.23</t>
  </si>
  <si>
    <t>SHM5048AA</t>
  </si>
  <si>
    <t>6.17 - 7.45 x 2.79</t>
  </si>
  <si>
    <t>DIAM149</t>
  </si>
  <si>
    <t>2.99-3.91x1.41</t>
  </si>
  <si>
    <t>AUR13AAA</t>
  </si>
  <si>
    <t>5.58 - 6.99 x 2.60</t>
  </si>
  <si>
    <t>DIAM158C</t>
  </si>
  <si>
    <t>4.19-5.25x1.41</t>
  </si>
  <si>
    <t>MTH8049</t>
  </si>
  <si>
    <t>SHIELD STEP CUT</t>
  </si>
  <si>
    <t>5.06-5.73x1.59</t>
  </si>
  <si>
    <t>DIAMS045</t>
  </si>
  <si>
    <t>9.79-6.77x2.73</t>
  </si>
  <si>
    <t>PRN5050SIB</t>
  </si>
  <si>
    <t>SMB</t>
  </si>
  <si>
    <t>4.22-4.13x3.36</t>
  </si>
  <si>
    <t>MTH1390</t>
  </si>
  <si>
    <t>3.74-3.93x2.25</t>
  </si>
  <si>
    <t>PLT10323A</t>
  </si>
  <si>
    <t>4.15-4.32x2.83</t>
  </si>
  <si>
    <t>PLT5802</t>
  </si>
  <si>
    <t>5.57-5.68x3.82</t>
  </si>
  <si>
    <t>PRN3740VS2A</t>
  </si>
  <si>
    <t>3.63-3.82x2.94</t>
  </si>
  <si>
    <t>PRN3740VS2B</t>
  </si>
  <si>
    <t>4.11-3.89x2.92</t>
  </si>
  <si>
    <t>PRN3740VS2C</t>
  </si>
  <si>
    <t>3.81-3.77x3.03</t>
  </si>
  <si>
    <t>PRN019</t>
  </si>
  <si>
    <t>3.20-3.23x2.21</t>
  </si>
  <si>
    <t>PRN025</t>
  </si>
  <si>
    <t>3.51-3.51x2.31</t>
  </si>
  <si>
    <t>PRN1001</t>
  </si>
  <si>
    <t>4.32 - 4.00 x 3.36</t>
  </si>
  <si>
    <t>PRN1003</t>
  </si>
  <si>
    <t>2.52-2.58x1.77</t>
  </si>
  <si>
    <t>PRN1006</t>
  </si>
  <si>
    <t>3.29-3.37x2.39</t>
  </si>
  <si>
    <t>PRN1007</t>
  </si>
  <si>
    <t>3.50-3.70x2.43</t>
  </si>
  <si>
    <t>TPR2001</t>
  </si>
  <si>
    <t>TAPERED BAGUETTE</t>
  </si>
  <si>
    <t>9.23 - 1.82 x 1.60</t>
  </si>
  <si>
    <t>SIMN159AA</t>
  </si>
  <si>
    <t>6.04 - 2.97 x 1.61</t>
  </si>
  <si>
    <t>TPR1230</t>
  </si>
  <si>
    <t>7.05 - 4.32 x 2.56</t>
  </si>
  <si>
    <t>LVP010BAA</t>
  </si>
  <si>
    <t>5.90 - 3.21 x 1.67</t>
  </si>
  <si>
    <t>PLT49704AAAA</t>
  </si>
  <si>
    <t>8.62 - 4.20 x 1.95</t>
  </si>
  <si>
    <t>DRG02FAAAA</t>
  </si>
  <si>
    <t>7.65 - 3.15 x 1.76</t>
  </si>
  <si>
    <t>PLT044</t>
  </si>
  <si>
    <t>8.25 - 4.36 x 1.85</t>
  </si>
  <si>
    <t>LEV518AA</t>
  </si>
  <si>
    <t>8.46 - 3.71 x 2.11</t>
  </si>
  <si>
    <t>LEV517AA</t>
  </si>
  <si>
    <t>6.82 - 3.69 x 2.34</t>
  </si>
  <si>
    <t>PLT346BA</t>
  </si>
  <si>
    <t>9.08 - 3.32 x 1.54</t>
  </si>
  <si>
    <t>LEV502AAAAAAA</t>
  </si>
  <si>
    <t>10.03 - 5.05 x 2.98</t>
  </si>
  <si>
    <t>LVP055AABAAAA</t>
  </si>
  <si>
    <t>8.01 - 3.61 x 2.18</t>
  </si>
  <si>
    <t>LEV152410AAAA</t>
  </si>
  <si>
    <t>7.82 - 3.49 x 1.73</t>
  </si>
  <si>
    <t>TB1152</t>
  </si>
  <si>
    <t>TP</t>
  </si>
  <si>
    <t>2.60-6.76x1.98</t>
  </si>
  <si>
    <t>TPR2003</t>
  </si>
  <si>
    <t>1.96-3.90x1.54</t>
  </si>
  <si>
    <t>TB016</t>
  </si>
  <si>
    <t>2.63-5.14x1.82</t>
  </si>
  <si>
    <t>PLT164905AA</t>
  </si>
  <si>
    <t>4.07-5.98x1.57</t>
  </si>
  <si>
    <t>TB1001</t>
  </si>
  <si>
    <t>2.57-4.92x1.55</t>
  </si>
  <si>
    <t>TB1002</t>
  </si>
  <si>
    <t>2.26-4.42x1.80</t>
  </si>
  <si>
    <t>TB1007</t>
  </si>
  <si>
    <t>2.70-6.76x2.19</t>
  </si>
  <si>
    <t>TB1013</t>
  </si>
  <si>
    <t>2.36-5.54x1.28</t>
  </si>
  <si>
    <t>TB1014</t>
  </si>
  <si>
    <t>1.60-5.76x1.24</t>
  </si>
  <si>
    <t>TB1015</t>
  </si>
  <si>
    <t>1.84-5.11x1.36</t>
  </si>
  <si>
    <t>TB1019</t>
  </si>
  <si>
    <t>2.34-3.96x1.79</t>
  </si>
  <si>
    <t>TB1020</t>
  </si>
  <si>
    <t>2.60-3.95x1.59</t>
  </si>
  <si>
    <t>TB1021</t>
  </si>
  <si>
    <t>2.67-4.36x2.05</t>
  </si>
  <si>
    <t>TB1023</t>
  </si>
  <si>
    <t>2.19-3.75x1.61</t>
  </si>
  <si>
    <t>TB1024</t>
  </si>
  <si>
    <t>1.80-4.96x1.51</t>
  </si>
  <si>
    <t>TB1026</t>
  </si>
  <si>
    <t>2.40-3.99x1.62</t>
  </si>
  <si>
    <t>TB1029</t>
  </si>
  <si>
    <t>2.02-5.81x1.43</t>
  </si>
  <si>
    <t>TB3005</t>
  </si>
  <si>
    <t>2.25-4.12x1.62</t>
  </si>
  <si>
    <t>TB1034</t>
  </si>
  <si>
    <t>2.26-3.91x1.87</t>
  </si>
  <si>
    <t>TB1037</t>
  </si>
  <si>
    <t>3.35-3.60x1.76</t>
  </si>
  <si>
    <t>TB1040</t>
  </si>
  <si>
    <t>2.80-5.73x1.48</t>
  </si>
  <si>
    <t>TB1042</t>
  </si>
  <si>
    <t>3.64-5.24x2.22</t>
  </si>
  <si>
    <t>TB1043</t>
  </si>
  <si>
    <t>1.95-5.29x1.50</t>
  </si>
  <si>
    <t>TB1044</t>
  </si>
  <si>
    <t>2.45-5.44x1.22</t>
  </si>
  <si>
    <t>TB1045</t>
  </si>
  <si>
    <t>2.18-5.30x1.47</t>
  </si>
  <si>
    <t>TB1046</t>
  </si>
  <si>
    <t>3.24-4.95x2.20</t>
  </si>
  <si>
    <t>TB1047</t>
  </si>
  <si>
    <t>2.37-5.38x1.44</t>
  </si>
  <si>
    <t>TB1048</t>
  </si>
  <si>
    <t>2.10-8.34x1.38</t>
  </si>
  <si>
    <t>TB1051</t>
  </si>
  <si>
    <t>2.67-5.82x1.98</t>
  </si>
  <si>
    <t>TB1053</t>
  </si>
  <si>
    <t>1.80-6.19x1.67</t>
  </si>
  <si>
    <t>TB1055</t>
  </si>
  <si>
    <t>2.00-4.71x1.87</t>
  </si>
  <si>
    <t>TB1057</t>
  </si>
  <si>
    <t>1.85-6.39x1.40</t>
  </si>
  <si>
    <t>TB1162</t>
  </si>
  <si>
    <t>1.98-3.54x1.67</t>
  </si>
  <si>
    <t>TB1076</t>
  </si>
  <si>
    <t>1.85-4.24x1.38</t>
  </si>
  <si>
    <t>TB1078</t>
  </si>
  <si>
    <t>2.16-4.94x1.67</t>
  </si>
  <si>
    <t>TB1093</t>
  </si>
  <si>
    <t>2.08-4.02x1.64</t>
  </si>
  <si>
    <t>TPR1095</t>
  </si>
  <si>
    <t>1.98-4.00x1.59</t>
  </si>
  <si>
    <t>TPR1215</t>
  </si>
  <si>
    <t>2.24-4.49x1.18</t>
  </si>
  <si>
    <t>TPR1090</t>
  </si>
  <si>
    <t>4.39-2.37x1.57</t>
  </si>
  <si>
    <t>TB1145</t>
  </si>
  <si>
    <t>2.40-5.17x1.13</t>
  </si>
  <si>
    <t>TB1123</t>
  </si>
  <si>
    <t>2.27-5.67x1.13</t>
  </si>
  <si>
    <t>TB1100</t>
  </si>
  <si>
    <t>1.82-5.77x1.32</t>
  </si>
  <si>
    <t>TB1116</t>
  </si>
  <si>
    <t>1.79-5.32x1.47</t>
  </si>
  <si>
    <t>TB1117</t>
  </si>
  <si>
    <t>2.00-4.98x1.47</t>
  </si>
  <si>
    <t>TB1118</t>
  </si>
  <si>
    <t>2.18-4.14x1.54</t>
  </si>
  <si>
    <t>TND63</t>
  </si>
  <si>
    <t>1.73-6.27x1.28</t>
  </si>
  <si>
    <t>TAB54</t>
  </si>
  <si>
    <t>1.62-5.32x1.23</t>
  </si>
  <si>
    <t>TAB61</t>
  </si>
  <si>
    <t>1.63-6.07x1.15</t>
  </si>
  <si>
    <t>TAB64</t>
  </si>
  <si>
    <t>1.41-6.37x1.48</t>
  </si>
  <si>
    <t>TAB67</t>
  </si>
  <si>
    <t>1.68-6.64x1.40</t>
  </si>
  <si>
    <t>TAB69</t>
  </si>
  <si>
    <t>1.48-6.88x1.47</t>
  </si>
  <si>
    <t>TPR1149</t>
  </si>
  <si>
    <t>2.90-4.57x1.80</t>
  </si>
  <si>
    <t>TAB50I</t>
  </si>
  <si>
    <t>2.07-5.03x1.56</t>
  </si>
  <si>
    <t>TABVS37</t>
  </si>
  <si>
    <t>2.46-3.68x1.56</t>
  </si>
  <si>
    <t>TABSI63</t>
  </si>
  <si>
    <t>2.08-6.29x1.88</t>
  </si>
  <si>
    <t>TB1151</t>
  </si>
  <si>
    <t>2.77-4.77x1.43</t>
  </si>
  <si>
    <t>TPR1167</t>
  </si>
  <si>
    <t>5.30-2.45x1.23</t>
  </si>
  <si>
    <t>TB1165</t>
  </si>
  <si>
    <t>2.25-5.34x1.31</t>
  </si>
  <si>
    <t>TPR1177</t>
  </si>
  <si>
    <t>2.43-5.67x1.22</t>
  </si>
  <si>
    <t>TND60A</t>
  </si>
  <si>
    <t>1.54-6.04x1.24</t>
  </si>
  <si>
    <t>TND60B</t>
  </si>
  <si>
    <t>1.60-5.96x1.16</t>
  </si>
  <si>
    <t>TPR1223</t>
  </si>
  <si>
    <t>2.04-5.20x1.20</t>
  </si>
  <si>
    <t>TPR1231</t>
  </si>
  <si>
    <t>2.19-5.75x1.45</t>
  </si>
  <si>
    <t>TB1166</t>
  </si>
  <si>
    <t>2.34-4.54x1.15</t>
  </si>
  <si>
    <t>TPR2028</t>
  </si>
  <si>
    <t>4.79-1.87x1.56</t>
  </si>
  <si>
    <t>TPR2008</t>
  </si>
  <si>
    <t>4.80-2.22x1.68</t>
  </si>
  <si>
    <t>TPR2009</t>
  </si>
  <si>
    <t>4.88-2.53x1.34</t>
  </si>
  <si>
    <t>TPR2013</t>
  </si>
  <si>
    <t>4.45-2.36x1.90</t>
  </si>
  <si>
    <t>TPR2017</t>
  </si>
  <si>
    <t>4.10-2.41x1.26</t>
  </si>
  <si>
    <t>TPR2018</t>
  </si>
  <si>
    <t>4.53-1.74x1.40</t>
  </si>
  <si>
    <t>TPR2022</t>
  </si>
  <si>
    <t>4.41-2.25x1.84</t>
  </si>
  <si>
    <t>TPR2023</t>
  </si>
  <si>
    <t>4.34-2.31x1.81</t>
  </si>
  <si>
    <t>TPR2024</t>
  </si>
  <si>
    <t>4.48-2.37x1.89</t>
  </si>
  <si>
    <t>TPR2025</t>
  </si>
  <si>
    <t>4.13-2.37x1.59</t>
  </si>
  <si>
    <t>TPR2026</t>
  </si>
  <si>
    <t>4.11-2.29x1.65</t>
  </si>
  <si>
    <t>TPR2027</t>
  </si>
  <si>
    <t>4.11-2.73x2.02</t>
  </si>
  <si>
    <t>TPR2004</t>
  </si>
  <si>
    <t>4.70-2.09x1.49</t>
  </si>
  <si>
    <t>TPR2010</t>
  </si>
  <si>
    <t>4.33-2.75x2.08</t>
  </si>
  <si>
    <t>TPR2011</t>
  </si>
  <si>
    <t>4.32-2.31x1.81</t>
  </si>
  <si>
    <t>TPR2029</t>
  </si>
  <si>
    <t>5.30-1.72x1.44</t>
  </si>
  <si>
    <t>TPR1232</t>
  </si>
  <si>
    <t>4.42-2.40x1.80</t>
  </si>
  <si>
    <t>TPR1234</t>
  </si>
  <si>
    <t>4.15-1.91x1.43</t>
  </si>
  <si>
    <t>TPR2035</t>
  </si>
  <si>
    <t>2.07-4.87x1.24</t>
  </si>
  <si>
    <t>TPR1237</t>
  </si>
  <si>
    <t>2.22-6.26x1.24</t>
  </si>
  <si>
    <t>TPR2039</t>
  </si>
  <si>
    <t>4.25-2.31x1.61</t>
  </si>
  <si>
    <t>TPR2040</t>
  </si>
  <si>
    <t>4.44-2.46x1.16</t>
  </si>
  <si>
    <t>MN10AAA</t>
  </si>
  <si>
    <t>2.50-4.59x1.80</t>
  </si>
  <si>
    <t>TPR2042</t>
  </si>
  <si>
    <t>2.54-5.91x1.40</t>
  </si>
  <si>
    <t>TPR1242</t>
  </si>
  <si>
    <t>2.09-4.31x1.47</t>
  </si>
  <si>
    <t>TPR1243</t>
  </si>
  <si>
    <t>2.27-4.52x1.84</t>
  </si>
  <si>
    <t>TPR1244</t>
  </si>
  <si>
    <t>1.73-4.83x1.47</t>
  </si>
  <si>
    <t>TPR1246</t>
  </si>
  <si>
    <t>9.42-4.23x2.28</t>
  </si>
  <si>
    <t>TPR2052</t>
  </si>
  <si>
    <t>8.65-4.16x2.44</t>
  </si>
  <si>
    <t>TPR2053</t>
  </si>
  <si>
    <t>1.89-5.77x1.26</t>
  </si>
  <si>
    <t>TPR2054</t>
  </si>
  <si>
    <t>2.29-7.78x1.24</t>
  </si>
  <si>
    <t>TPR1252</t>
  </si>
  <si>
    <t>2.55-6.79x1.10</t>
  </si>
  <si>
    <t>LEV152414AA</t>
  </si>
  <si>
    <t>3.60-6.77x2.07</t>
  </si>
  <si>
    <t>TPBR14</t>
  </si>
  <si>
    <t>TPR</t>
  </si>
  <si>
    <t>2.29-3.45x1.83</t>
  </si>
  <si>
    <t>MTH8150</t>
  </si>
  <si>
    <t>TR</t>
  </si>
  <si>
    <t>5.26-5.85x2.24</t>
  </si>
  <si>
    <t>MTH8166</t>
  </si>
  <si>
    <t>4.71-4.55x2.52</t>
  </si>
  <si>
    <t>MTH5583</t>
  </si>
  <si>
    <t>4.57-3.70x1.55</t>
  </si>
  <si>
    <t>SHMH006B</t>
  </si>
  <si>
    <t>5.19-5.67x2.17</t>
  </si>
  <si>
    <t>TRNSP01</t>
  </si>
  <si>
    <t>6.44-3.58x2.15</t>
  </si>
  <si>
    <t>TRPZ088N</t>
  </si>
  <si>
    <t>TRAPEZOID</t>
  </si>
  <si>
    <t>3.32-5.44x2.02</t>
  </si>
  <si>
    <t>MTH8007</t>
  </si>
  <si>
    <t>3.29-6.45x2.41</t>
  </si>
  <si>
    <t>MTH8157</t>
  </si>
  <si>
    <t>4.46-2.15x1.72</t>
  </si>
  <si>
    <t>MTH5534</t>
  </si>
  <si>
    <t>yellow</t>
  </si>
  <si>
    <t>6.31-3.62x2.75</t>
  </si>
  <si>
    <t>MTH524A</t>
  </si>
  <si>
    <t>4.58-2.93x1.66</t>
  </si>
  <si>
    <t>TRPZ1180C</t>
  </si>
  <si>
    <t>4.28-2.11x1.59</t>
  </si>
  <si>
    <t>PLT7711043</t>
  </si>
  <si>
    <t>7.57-3.48x5.90</t>
  </si>
  <si>
    <t>EZD110AA</t>
  </si>
  <si>
    <t>7.93-3.90x2.18</t>
  </si>
  <si>
    <t>TRPZ1976</t>
  </si>
  <si>
    <t>5.21-3.51x2.11</t>
  </si>
  <si>
    <t>PLT1772014</t>
  </si>
  <si>
    <t>5.88-5.35x2.41</t>
  </si>
  <si>
    <t>TRPZ2011</t>
  </si>
  <si>
    <t>4.60-2.05x1.56</t>
  </si>
  <si>
    <t>TRPZ2081</t>
  </si>
  <si>
    <t>4.10-2.22x1.69</t>
  </si>
  <si>
    <t>TRPZ2190</t>
  </si>
  <si>
    <t>2.17-3.95x1.59</t>
  </si>
  <si>
    <t>SMRG04</t>
  </si>
  <si>
    <t>4.69-2.65x1.52</t>
  </si>
  <si>
    <t>TRPZ2292</t>
  </si>
  <si>
    <t>5.28-2.74x1.90</t>
  </si>
  <si>
    <t>TRPZ2297</t>
  </si>
  <si>
    <t>1.64-3.98x1.15</t>
  </si>
  <si>
    <t>TRPZ2329C</t>
  </si>
  <si>
    <t>5.56-2.98x2.54</t>
  </si>
  <si>
    <t>TRPZ2332</t>
  </si>
  <si>
    <t>3.65-2.23x2.04</t>
  </si>
  <si>
    <t>TRPZ2356</t>
  </si>
  <si>
    <t>5.37-2.63x1.78</t>
  </si>
  <si>
    <t>LILK135AAAA</t>
  </si>
  <si>
    <t>4.82-1.87x2.75</t>
  </si>
  <si>
    <t>LILK144A</t>
  </si>
  <si>
    <t>5.65-3.07x1.98</t>
  </si>
  <si>
    <t>ADKA018AB</t>
  </si>
  <si>
    <t>3.86-2.15x1.62</t>
  </si>
  <si>
    <t>PLT162011A</t>
  </si>
  <si>
    <t>4.46 - 7.32 x 2.58</t>
  </si>
  <si>
    <t>TRPZ2423</t>
  </si>
  <si>
    <t>4.81-2.30x1.60</t>
  </si>
  <si>
    <t>TRPZ2453Q</t>
  </si>
  <si>
    <t>6.04-5.39x2.46</t>
  </si>
  <si>
    <t>TRPZ2467C</t>
  </si>
  <si>
    <t>3.88-2.22x1.31</t>
  </si>
  <si>
    <t>ADIA01AAAA</t>
  </si>
  <si>
    <t>4.53 - 7.20 x 3.10</t>
  </si>
  <si>
    <t>TRPZ2494</t>
  </si>
  <si>
    <t>5.86-3.05x2.91</t>
  </si>
  <si>
    <t>TRPZ2507</t>
  </si>
  <si>
    <t>5.95-3.82x2.24</t>
  </si>
  <si>
    <t>TRPZ2551</t>
  </si>
  <si>
    <t>6.11-3.80x2.22</t>
  </si>
  <si>
    <t>TRPZ2553</t>
  </si>
  <si>
    <t>6.90-4.71x2.93</t>
  </si>
  <si>
    <t>TRPZ2574</t>
  </si>
  <si>
    <t>5.74-2.96x2.15</t>
  </si>
  <si>
    <t>TRPZ2578</t>
  </si>
  <si>
    <t>7.71-4.32x2.49</t>
  </si>
  <si>
    <t>TRPZ2581</t>
  </si>
  <si>
    <t>6.36-3.24x2.26</t>
  </si>
  <si>
    <t>TRPZ2602</t>
  </si>
  <si>
    <t>5.85-3.37x1.92</t>
  </si>
  <si>
    <t>TRPZ2606</t>
  </si>
  <si>
    <t>6.60-3.53x2.61</t>
  </si>
  <si>
    <t>ORY004A</t>
  </si>
  <si>
    <t>4.08 - 9.19 x 2.71</t>
  </si>
  <si>
    <t>TRPZ2641</t>
  </si>
  <si>
    <t>4.77-2.25x1.60</t>
  </si>
  <si>
    <t>TRPZ2639C</t>
  </si>
  <si>
    <t>4.98-2.69x1.90</t>
  </si>
  <si>
    <t>TRPZ2645</t>
  </si>
  <si>
    <t>3.22-7.00x2.21</t>
  </si>
  <si>
    <t>TRPZ2651</t>
  </si>
  <si>
    <t>4.38-2.33x1.48</t>
  </si>
  <si>
    <t>TRPZ2678</t>
  </si>
  <si>
    <t>4.39-2.54x1.33</t>
  </si>
  <si>
    <t>TRPZ2681</t>
  </si>
  <si>
    <t>5.27-2.61x1.83</t>
  </si>
  <si>
    <t>TRPZ2684</t>
  </si>
  <si>
    <t>5.50-2.17x1.67</t>
  </si>
  <si>
    <t>TRPZ2696</t>
  </si>
  <si>
    <t>6.33-3.85x2.20</t>
  </si>
  <si>
    <t>TRPZ2703</t>
  </si>
  <si>
    <t>7.90-3.46x1.98</t>
  </si>
  <si>
    <t>TRPZ2704</t>
  </si>
  <si>
    <t>4.78-2.71x1.88</t>
  </si>
  <si>
    <t>TRPZ2708</t>
  </si>
  <si>
    <t>5.71-3.76x2.15</t>
  </si>
  <si>
    <t>TRPZ2710</t>
  </si>
  <si>
    <t>5.02-2.84x2.01</t>
  </si>
  <si>
    <t>TRPZ2711</t>
  </si>
  <si>
    <t>5.02-2.90x1.94</t>
  </si>
  <si>
    <t>TRPZ2714</t>
  </si>
  <si>
    <t>4.05-2.24x1.55</t>
  </si>
  <si>
    <t>TRPZ2723</t>
  </si>
  <si>
    <t>4.01-1.72x1.47</t>
  </si>
  <si>
    <t>TRPZ2726</t>
  </si>
  <si>
    <t>3.17-2.04x1.76</t>
  </si>
  <si>
    <t>LDRL011AA</t>
  </si>
  <si>
    <t>3.68 - 7.70 x 2.14</t>
  </si>
  <si>
    <t>LDRL010AAA</t>
  </si>
  <si>
    <t>4.78-2.48x1.69</t>
  </si>
  <si>
    <t>TRPZ2733</t>
  </si>
  <si>
    <t>5.02-2.65x1.87</t>
  </si>
  <si>
    <t>TRPZ2737</t>
  </si>
  <si>
    <t>4.03-2.15x1.72</t>
  </si>
  <si>
    <t>TRPZ2743</t>
  </si>
  <si>
    <t>6.28-3.39x2.18</t>
  </si>
  <si>
    <t>TRPZ2745</t>
  </si>
  <si>
    <t>6.26-3.24x2.35</t>
  </si>
  <si>
    <t>TRPZ2753</t>
  </si>
  <si>
    <t>4.82-2.54x1.55</t>
  </si>
  <si>
    <t>OR15AAA</t>
  </si>
  <si>
    <t>7.16-3.59x1.87</t>
  </si>
  <si>
    <t>TRPZ2759</t>
  </si>
  <si>
    <t>4.96-2.49x1.34</t>
  </si>
  <si>
    <t>OR26AAA</t>
  </si>
  <si>
    <t>4.94-2.76x1.86</t>
  </si>
  <si>
    <t>TRPZ2766</t>
  </si>
  <si>
    <t>5.57-2.36x1.85</t>
  </si>
  <si>
    <t>OR16AAA</t>
  </si>
  <si>
    <t>5.99-2.94x1.77</t>
  </si>
  <si>
    <t>NR090AAA</t>
  </si>
  <si>
    <t>6.50-3.27x1.82</t>
  </si>
  <si>
    <t>NR086AAA</t>
  </si>
  <si>
    <t>7.55-3.78x2.21</t>
  </si>
  <si>
    <t>NR039AAAA</t>
  </si>
  <si>
    <t>3.81 - 7.28 x 2.37</t>
  </si>
  <si>
    <t>OR25BAAA</t>
  </si>
  <si>
    <t>5.00-2.60x1.77</t>
  </si>
  <si>
    <t>TRPZ2781</t>
  </si>
  <si>
    <t>6.18-3.19x1.86</t>
  </si>
  <si>
    <t>NR051AAA</t>
  </si>
  <si>
    <t>3.43 - 6.78 x 2.19</t>
  </si>
  <si>
    <t>TRPZ2795</t>
  </si>
  <si>
    <t>4.55-7.89x2.67</t>
  </si>
  <si>
    <t>MN13AAA</t>
  </si>
  <si>
    <t>7.94-3.84x2.04</t>
  </si>
  <si>
    <t>TRPZ2808</t>
  </si>
  <si>
    <t>5.45-3.34x2.28</t>
  </si>
  <si>
    <t>TRPZ2810</t>
  </si>
  <si>
    <t>3.43-5.98x1.96</t>
  </si>
  <si>
    <t>LZ09AA</t>
  </si>
  <si>
    <t>5.10-2.76x1.62</t>
  </si>
  <si>
    <t>YL051AAAA</t>
  </si>
  <si>
    <t>7.02-3.19x2.16</t>
  </si>
  <si>
    <t>TRPZ2811</t>
  </si>
  <si>
    <t>6.64-3.13x2.21</t>
  </si>
  <si>
    <t>TRPZ2813</t>
  </si>
  <si>
    <t>5.52-2.61x1.71</t>
  </si>
  <si>
    <t>TRPZ2814</t>
  </si>
  <si>
    <t>4.97-2.93x1.67</t>
  </si>
  <si>
    <t>TRPZ2816</t>
  </si>
  <si>
    <t>5.29-3.04x1.92</t>
  </si>
  <si>
    <t>TRPZ2822</t>
  </si>
  <si>
    <t>6.67-3.27x2.17</t>
  </si>
  <si>
    <t>AMM02ABAAAA</t>
  </si>
  <si>
    <t>4.46 - 7.67 x 3.09</t>
  </si>
  <si>
    <t>TRPZ2821</t>
  </si>
  <si>
    <t>5.82-3.33x2.35</t>
  </si>
  <si>
    <t>LVP047A</t>
  </si>
  <si>
    <t>6.12-3.63x2.24</t>
  </si>
  <si>
    <t>TRPZ2827</t>
  </si>
  <si>
    <t>5.72-3.41x2.23</t>
  </si>
  <si>
    <t>TRPZ2830</t>
  </si>
  <si>
    <t>5.83-3.29x2.15</t>
  </si>
  <si>
    <t>BLL007AAAAA</t>
  </si>
  <si>
    <t>4.08 - 9.35 x 2.46</t>
  </si>
  <si>
    <t>BLL011AAAAA</t>
  </si>
  <si>
    <t>8.00-3.88x2.14</t>
  </si>
  <si>
    <t>TRPZ1212C</t>
  </si>
  <si>
    <t>3.90-6.80x2.44</t>
  </si>
  <si>
    <t>TRPZ1213C</t>
  </si>
  <si>
    <t>5.55-3.21x2.17</t>
  </si>
  <si>
    <t>TRPZ2832</t>
  </si>
  <si>
    <t>5.98-3.43x2.44</t>
  </si>
  <si>
    <t>TRPZ2833</t>
  </si>
  <si>
    <t>5.75-3.19x2.35</t>
  </si>
  <si>
    <t>LVP058AAAAA</t>
  </si>
  <si>
    <t>8.44-4.15x2.52</t>
  </si>
  <si>
    <t>TRPZ2834</t>
  </si>
  <si>
    <t>6.55-3.32x2.02</t>
  </si>
  <si>
    <t>TRPZ2836</t>
  </si>
  <si>
    <t>6.20-3.27x2.09</t>
  </si>
  <si>
    <t>TRPZ2837</t>
  </si>
  <si>
    <t>6.18-3.28x2.07</t>
  </si>
  <si>
    <t>TRPZ2838</t>
  </si>
  <si>
    <t>5.88-3.44x2.22</t>
  </si>
  <si>
    <t>LVP056AAAAA</t>
  </si>
  <si>
    <t>3.99 - 7.95 x 2.78</t>
  </si>
  <si>
    <t>LVP057AAAA</t>
  </si>
  <si>
    <t>4.52 - 8.21 x 3.40</t>
  </si>
  <si>
    <t>TRPZ2840</t>
  </si>
  <si>
    <t>2.84-6.15x2.14</t>
  </si>
  <si>
    <t>TRPZ2842</t>
  </si>
  <si>
    <t>3.28-6.58x2.08</t>
  </si>
  <si>
    <t>TRPZ2844</t>
  </si>
  <si>
    <t>5.98-2.91x1.92</t>
  </si>
  <si>
    <t>TRPZ2845</t>
  </si>
  <si>
    <t>4.03-6.54x2.46</t>
  </si>
  <si>
    <t>TRPZ2849</t>
  </si>
  <si>
    <t>3.87-6.83x2.70</t>
  </si>
  <si>
    <t>TRPZ2853</t>
  </si>
  <si>
    <t>4.61-7.60x2.62</t>
  </si>
  <si>
    <t>TRPZ2854</t>
  </si>
  <si>
    <t>3.26-6.47x2.12</t>
  </si>
  <si>
    <t>TRPZ2855</t>
  </si>
  <si>
    <t>8.43-4.46x3.58</t>
  </si>
  <si>
    <t>LEV2422A</t>
  </si>
  <si>
    <t>5.82-3.73x2.07</t>
  </si>
  <si>
    <t>LEV2424A</t>
  </si>
  <si>
    <t>3.40 - 7.33 x 2.39</t>
  </si>
  <si>
    <t>ALNRD06BAA</t>
  </si>
  <si>
    <t>5.45-2.22x1.47</t>
  </si>
  <si>
    <t>LEV2412AAAA</t>
  </si>
  <si>
    <t>6.07-3.25x1.97</t>
  </si>
  <si>
    <t>BLA004AAA</t>
  </si>
  <si>
    <t>6.70-2.79x1.74</t>
  </si>
  <si>
    <t>BLHL09AAA</t>
  </si>
  <si>
    <t>4.01 - 7.69 x 2.92</t>
  </si>
  <si>
    <t>TRPZ2856</t>
  </si>
  <si>
    <t>5.65-3.11x2.01</t>
  </si>
  <si>
    <t>LEV152411AAAA</t>
  </si>
  <si>
    <t>6.58-2.76x1.86</t>
  </si>
  <si>
    <t>TRPZ2858</t>
  </si>
  <si>
    <t>6.05-3.30x1.84</t>
  </si>
  <si>
    <t>TRPZ2859</t>
  </si>
  <si>
    <t>5.87-3.63x2.21</t>
  </si>
  <si>
    <t>BLHL09BA</t>
  </si>
  <si>
    <t>5.98-3.31x2.01</t>
  </si>
  <si>
    <t>LEV2420A</t>
  </si>
  <si>
    <t>6.22-3.57x1.89</t>
  </si>
  <si>
    <t>LEV2403A</t>
  </si>
  <si>
    <t>6.76-3.35x2.13</t>
  </si>
  <si>
    <t>TRPZ2860</t>
  </si>
  <si>
    <t>5.55-2.92x1.93</t>
  </si>
  <si>
    <t>TRPZ2866</t>
  </si>
  <si>
    <t>3.79-7.62x2.20</t>
  </si>
  <si>
    <t>LEV2407A</t>
  </si>
  <si>
    <t>6.29-3.63x2.00</t>
  </si>
  <si>
    <t>TRPZ2868</t>
  </si>
  <si>
    <t>5.51-3.40x2.28</t>
  </si>
  <si>
    <t>TRPZ2867</t>
  </si>
  <si>
    <t>6.01-3.20x1.89</t>
  </si>
  <si>
    <t>TRPZ2865</t>
  </si>
  <si>
    <t>7.06-2.76x1.98</t>
  </si>
  <si>
    <t>TRPZ2864</t>
  </si>
  <si>
    <t>6.08-3.07x2.20</t>
  </si>
  <si>
    <t>TRPZ2863</t>
  </si>
  <si>
    <t>6.04-2.43x1.87</t>
  </si>
  <si>
    <t>TRPZ2862</t>
  </si>
  <si>
    <t>5.85-3.09x1.76</t>
  </si>
  <si>
    <t>TRPZ2861</t>
  </si>
  <si>
    <t>6.19-2.48x1.49</t>
  </si>
  <si>
    <t>BLHL11AAAAAA</t>
  </si>
  <si>
    <t>7.72-4.03x2.61</t>
  </si>
  <si>
    <t>TRPZ2869</t>
  </si>
  <si>
    <t>6.28-3.64x2.50</t>
  </si>
  <si>
    <t>TRPZ2870</t>
  </si>
  <si>
    <t>5.43-3.03x2.02</t>
  </si>
  <si>
    <t>LIL05</t>
  </si>
  <si>
    <t>TRAPEZOID STEP CUT</t>
  </si>
  <si>
    <t>4.54 - 8.05 x 2.50</t>
  </si>
  <si>
    <t>PLT229</t>
  </si>
  <si>
    <t>4.26 - 10.02 x 2.57</t>
  </si>
  <si>
    <t>BAG733A</t>
  </si>
  <si>
    <t>3.93 - 7.06 x 2.71</t>
  </si>
  <si>
    <t>TRPZS931</t>
  </si>
  <si>
    <t>4.30-2.38x1.37</t>
  </si>
  <si>
    <t>TRPZS956</t>
  </si>
  <si>
    <t>2.07-3.96x1.68</t>
  </si>
  <si>
    <t>TRPZS1021</t>
  </si>
  <si>
    <t>3.53-2.79x1.98</t>
  </si>
  <si>
    <t>TRPZS1022Q</t>
  </si>
  <si>
    <t>5.84-2.77x2.18</t>
  </si>
  <si>
    <t>PLT4082003A</t>
  </si>
  <si>
    <t>8.01-3.60x1.87</t>
  </si>
  <si>
    <t>ZIBB001A</t>
  </si>
  <si>
    <t>4.81-3.33x1.65</t>
  </si>
  <si>
    <t>TRPZS1034L</t>
  </si>
  <si>
    <t>FB1</t>
  </si>
  <si>
    <t>4.63-1.90x1.17</t>
  </si>
  <si>
    <t>YRB020AA</t>
  </si>
  <si>
    <t>6.60-3.18x2.16</t>
  </si>
  <si>
    <t>TRPZS1055</t>
  </si>
  <si>
    <t>5.43-3.29x2.11</t>
  </si>
  <si>
    <t>TRPZS1056</t>
  </si>
  <si>
    <t>5.11-2.03x1.20</t>
  </si>
  <si>
    <t>TRPZS1068</t>
  </si>
  <si>
    <t>6.58-3.32x2.04</t>
  </si>
  <si>
    <t>TRPZS1091</t>
  </si>
  <si>
    <t>5.06-1.77x1.21</t>
  </si>
  <si>
    <t>TRPZS1099</t>
  </si>
  <si>
    <t>4.27-2.96x1.78</t>
  </si>
  <si>
    <t>TRPZS1108</t>
  </si>
  <si>
    <t>3.62-2.12x1.67</t>
  </si>
  <si>
    <t>TRPZS1109</t>
  </si>
  <si>
    <t>3.68-1.95x1.65</t>
  </si>
  <si>
    <t>LIR275614A</t>
  </si>
  <si>
    <t>3.69 - 9.14 x 2.58</t>
  </si>
  <si>
    <t>PLT487AA</t>
  </si>
  <si>
    <t>4.42 - 9.64 x 2.88</t>
  </si>
  <si>
    <t>TRPZS1107</t>
  </si>
  <si>
    <t>3.62-2.28x1.88</t>
  </si>
  <si>
    <t>TRPZS1105</t>
  </si>
  <si>
    <t>3.99-2.29x1.77</t>
  </si>
  <si>
    <t>TRPZS1119</t>
  </si>
  <si>
    <t>3.99-2.33x1.47</t>
  </si>
  <si>
    <t>TRPZS1125</t>
  </si>
  <si>
    <t>4.06-2.16x1.40</t>
  </si>
  <si>
    <t>TRPZS1129</t>
  </si>
  <si>
    <t>4.77-2.47x1.58</t>
  </si>
  <si>
    <t>TRPZS1136</t>
  </si>
  <si>
    <t>4.75-2.10x1.25</t>
  </si>
  <si>
    <t>TRPZS1141</t>
  </si>
  <si>
    <t>4.83-2.40x1.58</t>
  </si>
  <si>
    <t>PLT3201AA</t>
  </si>
  <si>
    <t>3.39 - 8.25 x 2.51</t>
  </si>
  <si>
    <t>TRPZS1146</t>
  </si>
  <si>
    <t>5.26-2.53x1.60</t>
  </si>
  <si>
    <t>TRPZS1147</t>
  </si>
  <si>
    <t>5.50-2.83x1.29</t>
  </si>
  <si>
    <t>TRPZS1149</t>
  </si>
  <si>
    <t>4.92-3.15x1.36</t>
  </si>
  <si>
    <t>TRPZS1159</t>
  </si>
  <si>
    <t>6.43-2.85x2.01</t>
  </si>
  <si>
    <t>TRPZS1161</t>
  </si>
  <si>
    <t>4.85-2.24x1.17</t>
  </si>
  <si>
    <t>TRPZS1164</t>
  </si>
  <si>
    <t>5.15-2.37x1.35</t>
  </si>
  <si>
    <t>TRPZS1163</t>
  </si>
  <si>
    <t>3.67-2.33x1.88</t>
  </si>
  <si>
    <t>TRPZS1843</t>
  </si>
  <si>
    <t>4.87-2.29x1.37</t>
  </si>
  <si>
    <t>TRPZS1845</t>
  </si>
  <si>
    <t>4.03-2.46x1.27</t>
  </si>
  <si>
    <t>TRPZS1851</t>
  </si>
  <si>
    <t>3.73-6.87x2.07</t>
  </si>
  <si>
    <t>TRPZS1853</t>
  </si>
  <si>
    <t>4.07-8.28x2.09</t>
  </si>
  <si>
    <t>TRPZS1856</t>
  </si>
  <si>
    <t>3.58-6.08x2.07</t>
  </si>
  <si>
    <t>TRPZS1857</t>
  </si>
  <si>
    <t>3.49-5.88x2.08</t>
  </si>
  <si>
    <t>PLT1698001AA</t>
  </si>
  <si>
    <t>4.00 - 9.25 x 2.69</t>
  </si>
  <si>
    <t>NR035AAA</t>
  </si>
  <si>
    <t>3.39 - 6.52 x 1.61</t>
  </si>
  <si>
    <t>TRPZS1862</t>
  </si>
  <si>
    <t>4.70-1.83x1.39</t>
  </si>
  <si>
    <t>TRPZS1863</t>
  </si>
  <si>
    <t>4.15-7.27x2.18</t>
  </si>
  <si>
    <t>YL003AAAA</t>
  </si>
  <si>
    <t>3.88 - 6.95 x 1.92</t>
  </si>
  <si>
    <t>YL066AAA</t>
  </si>
  <si>
    <t>5.50-2.60x1.39</t>
  </si>
  <si>
    <t>TRPZS1869</t>
  </si>
  <si>
    <t>5.66-2.71x1.71</t>
  </si>
  <si>
    <t>TRPZS1870</t>
  </si>
  <si>
    <t>4.66-2.41x1.30</t>
  </si>
  <si>
    <t>TRPZS1872</t>
  </si>
  <si>
    <t>5.01-2.90x1.64</t>
  </si>
  <si>
    <t>LVP043BAA</t>
  </si>
  <si>
    <t>5.98-2.75x1.63</t>
  </si>
  <si>
    <t>YL075AAA</t>
  </si>
  <si>
    <t>6.31-3.46x2.01</t>
  </si>
  <si>
    <t>TRPZS1873</t>
  </si>
  <si>
    <t>3.22-6.68x2.01</t>
  </si>
  <si>
    <t>TRPZS1875</t>
  </si>
  <si>
    <t>3.02-5.97x1.87</t>
  </si>
  <si>
    <t>LVP050AA</t>
  </si>
  <si>
    <t>4.04 - 8.98 x 2.40</t>
  </si>
  <si>
    <t>TRPZS1876</t>
  </si>
  <si>
    <t>3.15-6.27x1.90</t>
  </si>
  <si>
    <t>LVP011AAAA</t>
  </si>
  <si>
    <t>4.72 - 9.46 x 2.68</t>
  </si>
  <si>
    <t>TRPZS1878</t>
  </si>
  <si>
    <t>5.64-2.61x1.75</t>
  </si>
  <si>
    <t>LVP034AA</t>
  </si>
  <si>
    <t>5.38-2.40x1.58</t>
  </si>
  <si>
    <t>TRPZS1881</t>
  </si>
  <si>
    <t>5.75-2.45x1.68</t>
  </si>
  <si>
    <t>LEV55503</t>
  </si>
  <si>
    <t>4.07 - 9.93 x 1.85</t>
  </si>
  <si>
    <t>TRPZS1885</t>
  </si>
  <si>
    <t>5.07-3.26x2.44</t>
  </si>
  <si>
    <t>TRPZS1886</t>
  </si>
  <si>
    <t>7.86-4.08x2.57</t>
  </si>
  <si>
    <t>LVP028AA</t>
  </si>
  <si>
    <t>5.43-2.60x1.53</t>
  </si>
  <si>
    <t>TRPZS1887</t>
  </si>
  <si>
    <t>7.50-3.26x1.58</t>
  </si>
  <si>
    <t>Fluo</t>
  </si>
  <si>
    <t>Matched Pair</t>
  </si>
  <si>
    <t>Weight min</t>
  </si>
  <si>
    <t>Weight max</t>
  </si>
  <si>
    <t>Length min</t>
  </si>
  <si>
    <t>Length max</t>
  </si>
  <si>
    <t>Width min</t>
  </si>
  <si>
    <t>Width max</t>
  </si>
  <si>
    <t>Height min</t>
  </si>
  <si>
    <t>Height max</t>
  </si>
  <si>
    <t>is matched</t>
  </si>
  <si>
    <t>Loose</t>
  </si>
  <si>
    <t>Pair</t>
  </si>
  <si>
    <t>Selected</t>
  </si>
  <si>
    <t>Stock#</t>
  </si>
  <si>
    <t>Is matched pair</t>
  </si>
  <si>
    <t>Certificate</t>
  </si>
  <si>
    <t>Qty</t>
  </si>
  <si>
    <t>For select click x on the choiced row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</si>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</sst>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charset val="177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FF0000"/>
      <name val="Calibri"/>
      <family val="2"/>
      <charset val="177"/>
      <scheme val="minor"/>
    </font>
    <font>
      <u/>
      <sz val="11"/>
      <color rgb="FF0000FF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0" fillId="0" borderId="7" xfId="0" applyBorder="1" applyProtection="1">
      <protection locked="0"/>
    </xf>
    <xf numFmtId="0" fontId="2" fillId="3" borderId="0" xfId="0" applyFont="1" applyFill="1"/>
    <xf numFmtId="0" fontId="2" fillId="2" borderId="2" xfId="0" applyFont="1" applyFill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/>
    <xf numFmtId="0" fontId="5" fillId="0" borderId="0" xfId="0" applyFont="1" applyAlignment="1">
      <alignment horizontal="left"/>
    </xf>
    <xf numFmtId="0" fontId="6" fillId="0" borderId="0" xfId="0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142875</xdr:rowOff>
        </xdr:from>
        <xdr:to>
          <xdr:col>6</xdr:col>
          <xdr:colOff>457200</xdr:colOff>
          <xdr:row>5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FILTER</a:t>
              </a:r>
            </a:p>
            <a:p>
              <a:pPr algn="ctr" rtl="0">
                <a:defRPr sz="1000"/>
              </a:pPr>
              <a:endParaRPr lang="LID4096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</a:t>
              </a:r>
            </a:p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0</xdr:rowOff>
        </xdr:from>
        <xdr:to>
          <xdr:col>4</xdr:col>
          <xdr:colOff>438150</xdr:colOff>
          <xdr:row>5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  <a:p>
              <a:pPr algn="ctr" rtl="0">
                <a:defRPr sz="1000"/>
              </a:pPr>
              <a:endParaRPr lang="LID4096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171450</xdr:rowOff>
        </xdr:from>
        <xdr:to>
          <xdr:col>9</xdr:col>
          <xdr:colOff>723900</xdr:colOff>
          <xdr:row>5</xdr:row>
          <xdr:rowOff>95250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3</xdr:row>
          <xdr:rowOff>152400</xdr:rowOff>
        </xdr:from>
        <xdr:to>
          <xdr:col>12</xdr:col>
          <xdr:colOff>9525</xdr:colOff>
          <xdr:row>5</xdr:row>
          <xdr:rowOff>85725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VIA EMAIL</a:t>
              </a:r>
            </a:p>
            <a:p>
              <a:pPr algn="ctr" rtl="0">
                <a:defRPr sz="1000"/>
              </a:pPr>
              <a:endParaRPr lang="LID4096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8A0A0-B86B-48DF-9FFB-4B56C198B512}">
  <sheetPr codeName="Sheet5"/>
  <dimension ref="A1:AC932"/>
  <sheetViews>
    <sheetView topLeftCell="G1" workbookViewId="0">
      <pane ySplit="1" topLeftCell="A831" activePane="bottomLeft" state="frozen"/>
      <selection pane="bottomLeft" activeCell="T883" sqref="T883"/>
    </sheetView>
  </sheetViews>
  <sheetFormatPr defaultRowHeight="15" x14ac:dyDescent="0.25"/>
  <cols>
    <col min="4" max="4" width="19.7109375" bestFit="1" customWidth="1"/>
    <col min="17" max="17" width="10.140625" customWidth="1"/>
    <col min="20" max="20" width="14.7109375" style="15" customWidth="1"/>
    <col min="21" max="21" width="13.42578125" customWidth="1"/>
  </cols>
  <sheetData>
    <row r="1" spans="1:29" ht="15.75" x14ac:dyDescent="0.2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2003</v>
      </c>
      <c r="R1" s="8" t="s">
        <v>16</v>
      </c>
      <c r="S1" s="8" t="s">
        <v>17</v>
      </c>
      <c r="T1" s="12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</row>
    <row r="2" spans="1:29" x14ac:dyDescent="0.25">
      <c r="A2" s="1" t="s">
        <v>28</v>
      </c>
      <c r="B2" s="2" t="s">
        <v>29</v>
      </c>
      <c r="C2" s="2"/>
      <c r="D2" s="2"/>
      <c r="E2" s="2" t="s">
        <v>30</v>
      </c>
      <c r="F2" s="2">
        <v>1</v>
      </c>
      <c r="G2" s="2">
        <v>0.24</v>
      </c>
      <c r="H2" s="2" t="s">
        <v>31</v>
      </c>
      <c r="I2" s="2" t="s">
        <v>32</v>
      </c>
      <c r="J2" s="2" t="s">
        <v>33</v>
      </c>
      <c r="K2" s="2"/>
      <c r="L2" s="2"/>
      <c r="M2" s="2"/>
      <c r="N2" s="2"/>
      <c r="O2" s="2" t="s">
        <v>34</v>
      </c>
      <c r="P2" s="2"/>
      <c r="Q2" s="2"/>
      <c r="R2" s="2">
        <v>836</v>
      </c>
      <c r="S2" s="2">
        <v>200.64</v>
      </c>
      <c r="T2" s="13" t="str">
        <f>IF(OR(TRIM(A2&amp;"")="",TRIM(A2&amp;"")="0"),"",HYPERLINK("https://gs.gsdiamonds.com/StoneDetails.aspx?name=" &amp; _xlfn.ENCODEURL(TRIM(A2&amp;"")), TRIM(A2&amp;"")))</f>
        <v>ACHER25</v>
      </c>
      <c r="U2" s="2" t="s">
        <v>35</v>
      </c>
      <c r="V2" s="2"/>
      <c r="W2" s="2">
        <v>3.32</v>
      </c>
      <c r="X2" s="2">
        <v>3.63</v>
      </c>
      <c r="Y2" s="2">
        <v>2.31</v>
      </c>
      <c r="Z2" s="2">
        <v>0</v>
      </c>
      <c r="AA2" s="2">
        <v>0</v>
      </c>
      <c r="AB2" s="2">
        <v>0.91</v>
      </c>
      <c r="AC2" s="3" t="str">
        <f t="shared" ref="AC2:AC65" si="0">IF(F2=2,"Pair","Loose")</f>
        <v>Loose</v>
      </c>
    </row>
    <row r="3" spans="1:29" x14ac:dyDescent="0.25">
      <c r="A3" s="1" t="s">
        <v>36</v>
      </c>
      <c r="B3" s="2" t="s">
        <v>37</v>
      </c>
      <c r="C3" s="2"/>
      <c r="D3" s="2"/>
      <c r="E3" s="2" t="s">
        <v>30</v>
      </c>
      <c r="F3" s="2">
        <v>2</v>
      </c>
      <c r="G3" s="2">
        <v>0.76</v>
      </c>
      <c r="H3" s="2" t="s">
        <v>38</v>
      </c>
      <c r="I3" s="2" t="s">
        <v>39</v>
      </c>
      <c r="J3" s="2" t="s">
        <v>33</v>
      </c>
      <c r="K3" s="2"/>
      <c r="L3" s="2"/>
      <c r="M3" s="2"/>
      <c r="N3" s="2"/>
      <c r="O3" s="2" t="s">
        <v>40</v>
      </c>
      <c r="P3" s="2"/>
      <c r="Q3" s="2"/>
      <c r="R3" s="2">
        <v>1700</v>
      </c>
      <c r="S3" s="2">
        <v>1292</v>
      </c>
      <c r="T3" s="13" t="str">
        <f>IF(OR(TRIM(A3&amp;"")="",TRIM(A3&amp;"")="0"),"",HYPERLINK("https://gs.gsdiamonds.com/StoneDetails.aspx?name=" &amp; _xlfn.ENCODEURL(TRIM(A3&amp;"")), TRIM(A3&amp;"")))</f>
        <v>ASHER03</v>
      </c>
      <c r="U3" s="2" t="s">
        <v>41</v>
      </c>
      <c r="V3" s="2"/>
      <c r="W3" s="2">
        <v>4.07</v>
      </c>
      <c r="X3" s="2">
        <v>4.1399999999999997</v>
      </c>
      <c r="Y3" s="2">
        <v>2.98</v>
      </c>
      <c r="Z3" s="2">
        <v>0</v>
      </c>
      <c r="AA3" s="2">
        <v>0</v>
      </c>
      <c r="AB3" s="2">
        <v>0.98</v>
      </c>
      <c r="AC3" s="3" t="str">
        <f t="shared" si="0"/>
        <v>Pair</v>
      </c>
    </row>
    <row r="4" spans="1:29" x14ac:dyDescent="0.25">
      <c r="A4" s="1" t="s">
        <v>42</v>
      </c>
      <c r="B4" s="2" t="s">
        <v>29</v>
      </c>
      <c r="C4" s="2"/>
      <c r="D4" s="2"/>
      <c r="E4" s="2" t="s">
        <v>30</v>
      </c>
      <c r="F4" s="2">
        <v>1</v>
      </c>
      <c r="G4" s="2">
        <v>0.2</v>
      </c>
      <c r="H4" s="2" t="s">
        <v>43</v>
      </c>
      <c r="I4" s="2" t="s">
        <v>32</v>
      </c>
      <c r="J4" s="2" t="s">
        <v>33</v>
      </c>
      <c r="K4" s="2"/>
      <c r="L4" s="2"/>
      <c r="M4" s="2"/>
      <c r="N4" s="2"/>
      <c r="O4" s="2" t="s">
        <v>34</v>
      </c>
      <c r="P4" s="2"/>
      <c r="Q4" s="2"/>
      <c r="R4" s="2">
        <v>302</v>
      </c>
      <c r="S4" s="2">
        <v>60.4</v>
      </c>
      <c r="T4" s="13" t="str">
        <f>IF(OR(TRIM(A4&amp;"")="",TRIM(A4&amp;"")="0"),"",HYPERLINK("https://gs.gsdiamonds.com/StoneDetails.aspx?name=" &amp; _xlfn.ENCODEURL(TRIM(A4&amp;"")), TRIM(A4&amp;"")))</f>
        <v>ASH1000</v>
      </c>
      <c r="U4" s="2" t="s">
        <v>44</v>
      </c>
      <c r="V4" s="2"/>
      <c r="W4" s="2">
        <v>3.3</v>
      </c>
      <c r="X4" s="2">
        <v>3.31</v>
      </c>
      <c r="Y4" s="2">
        <v>2.13</v>
      </c>
      <c r="Z4" s="2">
        <v>0</v>
      </c>
      <c r="AA4" s="2">
        <v>0</v>
      </c>
      <c r="AB4" s="2">
        <v>1</v>
      </c>
      <c r="AC4" s="3" t="str">
        <f t="shared" si="0"/>
        <v>Loose</v>
      </c>
    </row>
    <row r="5" spans="1:29" x14ac:dyDescent="0.25">
      <c r="A5" s="1" t="s">
        <v>45</v>
      </c>
      <c r="B5" s="2" t="s">
        <v>29</v>
      </c>
      <c r="C5" s="2"/>
      <c r="D5" s="2"/>
      <c r="E5" s="2" t="s">
        <v>30</v>
      </c>
      <c r="F5" s="2">
        <v>1</v>
      </c>
      <c r="G5" s="2">
        <v>0.42</v>
      </c>
      <c r="H5" s="2" t="s">
        <v>43</v>
      </c>
      <c r="I5" s="2" t="s">
        <v>32</v>
      </c>
      <c r="J5" s="2" t="s">
        <v>33</v>
      </c>
      <c r="K5" s="2"/>
      <c r="L5" s="2"/>
      <c r="M5" s="2"/>
      <c r="N5" s="2"/>
      <c r="O5" s="2" t="s">
        <v>46</v>
      </c>
      <c r="P5" s="2"/>
      <c r="Q5" s="2"/>
      <c r="R5" s="2">
        <v>1400</v>
      </c>
      <c r="S5" s="2">
        <v>588</v>
      </c>
      <c r="T5" s="13" t="str">
        <f>IF(OR(TRIM(A5&amp;"")="",TRIM(A5&amp;"")="0"),"",HYPERLINK("https://gs.gsdiamonds.com/StoneDetails.aspx?name=" &amp; _xlfn.ENCODEURL(TRIM(A5&amp;"")), TRIM(A5&amp;"")))</f>
        <v>ASH2001</v>
      </c>
      <c r="U5" s="2" t="s">
        <v>47</v>
      </c>
      <c r="V5" s="2"/>
      <c r="W5" s="2">
        <v>4.25</v>
      </c>
      <c r="X5" s="2">
        <v>4.3600000000000003</v>
      </c>
      <c r="Y5" s="2">
        <v>2.82</v>
      </c>
      <c r="Z5" s="2">
        <v>0</v>
      </c>
      <c r="AA5" s="2">
        <v>0</v>
      </c>
      <c r="AB5" s="2">
        <v>0.97</v>
      </c>
      <c r="AC5" s="3" t="str">
        <f t="shared" si="0"/>
        <v>Loose</v>
      </c>
    </row>
    <row r="6" spans="1:29" x14ac:dyDescent="0.25">
      <c r="A6" s="1" t="s">
        <v>48</v>
      </c>
      <c r="B6" s="2" t="s">
        <v>29</v>
      </c>
      <c r="C6" s="2"/>
      <c r="D6" s="2"/>
      <c r="E6" s="2" t="s">
        <v>30</v>
      </c>
      <c r="F6" s="2">
        <v>1</v>
      </c>
      <c r="G6" s="2">
        <v>0.26</v>
      </c>
      <c r="H6" s="2" t="s">
        <v>49</v>
      </c>
      <c r="I6" s="2" t="s">
        <v>50</v>
      </c>
      <c r="J6" s="2" t="s">
        <v>33</v>
      </c>
      <c r="K6" s="2"/>
      <c r="L6" s="2"/>
      <c r="M6" s="2"/>
      <c r="N6" s="2"/>
      <c r="O6" s="2" t="s">
        <v>34</v>
      </c>
      <c r="P6" s="2"/>
      <c r="Q6" s="2"/>
      <c r="R6" s="2">
        <v>1100</v>
      </c>
      <c r="S6" s="2">
        <v>286</v>
      </c>
      <c r="T6" s="13" t="str">
        <f>IF(OR(TRIM(A6&amp;"")="",TRIM(A6&amp;"")="0"),"",HYPERLINK("https://gs.gsdiamonds.com/StoneDetails.aspx?name=" &amp; _xlfn.ENCODEURL(TRIM(A6&amp;"")), TRIM(A6&amp;"")))</f>
        <v>ASH2002</v>
      </c>
      <c r="U6" s="2" t="s">
        <v>51</v>
      </c>
      <c r="V6" s="2"/>
      <c r="W6" s="2">
        <v>3.58</v>
      </c>
      <c r="X6" s="2">
        <v>3.67</v>
      </c>
      <c r="Y6" s="2">
        <v>2.4700000000000002</v>
      </c>
      <c r="Z6" s="2">
        <v>0</v>
      </c>
      <c r="AA6" s="2">
        <v>0</v>
      </c>
      <c r="AB6" s="2">
        <v>0.98</v>
      </c>
      <c r="AC6" s="3" t="str">
        <f t="shared" si="0"/>
        <v>Loose</v>
      </c>
    </row>
    <row r="7" spans="1:29" x14ac:dyDescent="0.25">
      <c r="A7" s="1" t="s">
        <v>52</v>
      </c>
      <c r="B7" s="2" t="s">
        <v>29</v>
      </c>
      <c r="C7" s="2"/>
      <c r="D7" s="2"/>
      <c r="E7" s="2" t="s">
        <v>30</v>
      </c>
      <c r="F7" s="2">
        <v>1</v>
      </c>
      <c r="G7" s="2">
        <v>0.3</v>
      </c>
      <c r="H7" s="2" t="s">
        <v>31</v>
      </c>
      <c r="I7" s="2" t="s">
        <v>53</v>
      </c>
      <c r="J7" s="2" t="s">
        <v>33</v>
      </c>
      <c r="K7" s="2"/>
      <c r="L7" s="2"/>
      <c r="M7" s="2"/>
      <c r="N7" s="2"/>
      <c r="O7" s="2" t="s">
        <v>54</v>
      </c>
      <c r="P7" s="2"/>
      <c r="Q7" s="2"/>
      <c r="R7" s="2">
        <v>1500</v>
      </c>
      <c r="S7" s="2">
        <v>450</v>
      </c>
      <c r="T7" s="13" t="str">
        <f t="shared" ref="T7:T70" si="1">IF(OR(TRIM(A7&amp;"")="",TRIM(A7&amp;"")="0"),"",HYPERLINK("https://gs.gsdiamonds.com/StoneDetails.aspx?name=" &amp; _xlfn.ENCODEURL(TRIM(A7&amp;"")), TRIM(A7&amp;"")))</f>
        <v>ASH2003</v>
      </c>
      <c r="U7" s="2" t="s">
        <v>55</v>
      </c>
      <c r="V7" s="2"/>
      <c r="W7" s="2">
        <v>3.83</v>
      </c>
      <c r="X7" s="2">
        <v>3.96</v>
      </c>
      <c r="Y7" s="2">
        <v>2.59</v>
      </c>
      <c r="Z7" s="2">
        <v>0</v>
      </c>
      <c r="AA7" s="2">
        <v>0</v>
      </c>
      <c r="AB7" s="2">
        <v>0.97</v>
      </c>
      <c r="AC7" s="3" t="str">
        <f t="shared" si="0"/>
        <v>Loose</v>
      </c>
    </row>
    <row r="8" spans="1:29" x14ac:dyDescent="0.25">
      <c r="A8" s="1" t="s">
        <v>56</v>
      </c>
      <c r="B8" s="2" t="s">
        <v>29</v>
      </c>
      <c r="C8" s="2"/>
      <c r="D8" s="2"/>
      <c r="E8" s="2" t="s">
        <v>30</v>
      </c>
      <c r="F8" s="2">
        <v>1</v>
      </c>
      <c r="G8" s="2">
        <v>0.28000000000000003</v>
      </c>
      <c r="H8" s="2" t="s">
        <v>43</v>
      </c>
      <c r="I8" s="2" t="s">
        <v>57</v>
      </c>
      <c r="J8" s="2" t="s">
        <v>33</v>
      </c>
      <c r="K8" s="2"/>
      <c r="L8" s="2"/>
      <c r="M8" s="2"/>
      <c r="N8" s="2"/>
      <c r="O8" s="2" t="s">
        <v>58</v>
      </c>
      <c r="P8" s="2"/>
      <c r="Q8" s="2"/>
      <c r="R8" s="2">
        <v>1400</v>
      </c>
      <c r="S8" s="2">
        <v>392</v>
      </c>
      <c r="T8" s="13" t="str">
        <f t="shared" si="1"/>
        <v>ASH2004</v>
      </c>
      <c r="U8" s="2" t="s">
        <v>59</v>
      </c>
      <c r="V8" s="2"/>
      <c r="W8" s="2">
        <v>3.72</v>
      </c>
      <c r="X8" s="2">
        <v>3.85</v>
      </c>
      <c r="Y8" s="2">
        <v>2.4900000000000002</v>
      </c>
      <c r="Z8" s="2">
        <v>0</v>
      </c>
      <c r="AA8" s="2">
        <v>0</v>
      </c>
      <c r="AB8" s="2">
        <v>0.97</v>
      </c>
      <c r="AC8" s="3" t="str">
        <f t="shared" si="0"/>
        <v>Loose</v>
      </c>
    </row>
    <row r="9" spans="1:29" x14ac:dyDescent="0.25">
      <c r="A9" s="1" t="s">
        <v>60</v>
      </c>
      <c r="B9" s="2" t="s">
        <v>29</v>
      </c>
      <c r="C9" s="2"/>
      <c r="D9" s="2"/>
      <c r="E9" s="2" t="s">
        <v>30</v>
      </c>
      <c r="F9" s="2">
        <v>1</v>
      </c>
      <c r="G9" s="2">
        <v>0.16</v>
      </c>
      <c r="H9" s="2" t="s">
        <v>49</v>
      </c>
      <c r="I9" s="2" t="s">
        <v>57</v>
      </c>
      <c r="J9" s="2" t="s">
        <v>33</v>
      </c>
      <c r="K9" s="2"/>
      <c r="L9" s="2"/>
      <c r="M9" s="2"/>
      <c r="N9" s="2"/>
      <c r="O9" s="2" t="s">
        <v>61</v>
      </c>
      <c r="P9" s="2"/>
      <c r="Q9" s="2"/>
      <c r="R9" s="2">
        <v>1100</v>
      </c>
      <c r="S9" s="2">
        <v>176</v>
      </c>
      <c r="T9" s="13" t="str">
        <f t="shared" si="1"/>
        <v>ASH2005</v>
      </c>
      <c r="U9" s="2" t="s">
        <v>62</v>
      </c>
      <c r="V9" s="2"/>
      <c r="W9" s="2">
        <v>3.18</v>
      </c>
      <c r="X9" s="2">
        <v>3.25</v>
      </c>
      <c r="Y9" s="2">
        <v>1.99</v>
      </c>
      <c r="Z9" s="2">
        <v>0</v>
      </c>
      <c r="AA9" s="2">
        <v>0</v>
      </c>
      <c r="AB9" s="2">
        <v>0.98</v>
      </c>
      <c r="AC9" s="3" t="str">
        <f t="shared" si="0"/>
        <v>Loose</v>
      </c>
    </row>
    <row r="10" spans="1:29" x14ac:dyDescent="0.25">
      <c r="A10" s="1" t="s">
        <v>63</v>
      </c>
      <c r="B10" s="2" t="s">
        <v>29</v>
      </c>
      <c r="C10" s="2"/>
      <c r="D10" s="2"/>
      <c r="E10" s="2" t="s">
        <v>64</v>
      </c>
      <c r="F10" s="2">
        <v>1</v>
      </c>
      <c r="G10" s="2">
        <v>0.3</v>
      </c>
      <c r="H10" s="2" t="s">
        <v>49</v>
      </c>
      <c r="I10" s="2" t="s">
        <v>57</v>
      </c>
      <c r="J10" s="2" t="s">
        <v>33</v>
      </c>
      <c r="K10" s="2"/>
      <c r="L10" s="2"/>
      <c r="M10" s="2"/>
      <c r="N10" s="2"/>
      <c r="O10" s="2" t="s">
        <v>34</v>
      </c>
      <c r="P10" s="2"/>
      <c r="Q10" s="2"/>
      <c r="R10" s="2">
        <v>1000</v>
      </c>
      <c r="S10" s="2">
        <v>300</v>
      </c>
      <c r="T10" s="13" t="str">
        <f t="shared" si="1"/>
        <v>BAG0028</v>
      </c>
      <c r="U10" s="2" t="s">
        <v>65</v>
      </c>
      <c r="V10" s="2"/>
      <c r="W10" s="2">
        <v>4.22</v>
      </c>
      <c r="X10" s="2">
        <v>2.2400000000000002</v>
      </c>
      <c r="Y10" s="2">
        <v>3.45</v>
      </c>
      <c r="Z10" s="2">
        <v>0</v>
      </c>
      <c r="AA10" s="2">
        <v>0</v>
      </c>
      <c r="AB10" s="2">
        <v>1.88</v>
      </c>
      <c r="AC10" s="3" t="str">
        <f t="shared" si="0"/>
        <v>Loose</v>
      </c>
    </row>
    <row r="11" spans="1:29" x14ac:dyDescent="0.25">
      <c r="A11" s="1" t="s">
        <v>66</v>
      </c>
      <c r="B11" s="2" t="s">
        <v>29</v>
      </c>
      <c r="C11" s="2"/>
      <c r="D11" s="2"/>
      <c r="E11" s="2" t="s">
        <v>64</v>
      </c>
      <c r="F11" s="2">
        <v>1</v>
      </c>
      <c r="G11" s="2">
        <v>0.25</v>
      </c>
      <c r="H11" s="2" t="s">
        <v>67</v>
      </c>
      <c r="I11" s="2" t="s">
        <v>68</v>
      </c>
      <c r="J11" s="2" t="s">
        <v>69</v>
      </c>
      <c r="K11" s="2"/>
      <c r="L11" s="2"/>
      <c r="M11" s="2"/>
      <c r="N11" s="2"/>
      <c r="O11" s="2" t="s">
        <v>70</v>
      </c>
      <c r="P11" s="2"/>
      <c r="Q11" s="2"/>
      <c r="R11" s="2">
        <v>800</v>
      </c>
      <c r="S11" s="2">
        <v>200</v>
      </c>
      <c r="T11" s="13" t="str">
        <f t="shared" si="1"/>
        <v>BAG1035</v>
      </c>
      <c r="U11" s="2" t="s">
        <v>71</v>
      </c>
      <c r="V11" s="2"/>
      <c r="W11" s="2">
        <v>4.54</v>
      </c>
      <c r="X11" s="2">
        <v>2.63</v>
      </c>
      <c r="Y11" s="2">
        <v>2.12</v>
      </c>
      <c r="Z11" s="2">
        <v>0</v>
      </c>
      <c r="AA11" s="2">
        <v>0</v>
      </c>
      <c r="AB11" s="2">
        <v>1.73</v>
      </c>
      <c r="AC11" s="3" t="str">
        <f t="shared" si="0"/>
        <v>Loose</v>
      </c>
    </row>
    <row r="12" spans="1:29" x14ac:dyDescent="0.25">
      <c r="A12" s="1" t="s">
        <v>72</v>
      </c>
      <c r="B12" s="2" t="s">
        <v>29</v>
      </c>
      <c r="C12" s="2"/>
      <c r="D12" s="2"/>
      <c r="E12" s="2" t="s">
        <v>64</v>
      </c>
      <c r="F12" s="2">
        <v>1</v>
      </c>
      <c r="G12" s="2">
        <v>0.33</v>
      </c>
      <c r="H12" s="2" t="s">
        <v>73</v>
      </c>
      <c r="I12" s="2" t="s">
        <v>68</v>
      </c>
      <c r="J12" s="2" t="s">
        <v>33</v>
      </c>
      <c r="K12" s="2"/>
      <c r="L12" s="2"/>
      <c r="M12" s="2"/>
      <c r="N12" s="2"/>
      <c r="O12" s="2" t="s">
        <v>70</v>
      </c>
      <c r="P12" s="2"/>
      <c r="Q12" s="2"/>
      <c r="R12" s="2">
        <v>800</v>
      </c>
      <c r="S12" s="2">
        <v>264</v>
      </c>
      <c r="T12" s="13" t="str">
        <f t="shared" si="1"/>
        <v>BAG1056</v>
      </c>
      <c r="U12" s="2" t="s">
        <v>74</v>
      </c>
      <c r="V12" s="2"/>
      <c r="W12" s="2">
        <v>5.01</v>
      </c>
      <c r="X12" s="2">
        <v>3.16</v>
      </c>
      <c r="Y12" s="2">
        <v>2.1</v>
      </c>
      <c r="Z12" s="2">
        <v>0</v>
      </c>
      <c r="AA12" s="2">
        <v>0</v>
      </c>
      <c r="AB12" s="2">
        <v>1.59</v>
      </c>
      <c r="AC12" s="3" t="str">
        <f t="shared" si="0"/>
        <v>Loose</v>
      </c>
    </row>
    <row r="13" spans="1:29" x14ac:dyDescent="0.25">
      <c r="A13" s="1" t="s">
        <v>75</v>
      </c>
      <c r="B13" s="2" t="s">
        <v>29</v>
      </c>
      <c r="C13" s="2"/>
      <c r="D13" s="2"/>
      <c r="E13" s="2" t="s">
        <v>64</v>
      </c>
      <c r="F13" s="2">
        <v>1</v>
      </c>
      <c r="G13" s="2">
        <v>0.23</v>
      </c>
      <c r="H13" s="2" t="s">
        <v>76</v>
      </c>
      <c r="I13" s="2" t="s">
        <v>68</v>
      </c>
      <c r="J13" s="2" t="s">
        <v>33</v>
      </c>
      <c r="K13" s="2"/>
      <c r="L13" s="2"/>
      <c r="M13" s="2"/>
      <c r="N13" s="2"/>
      <c r="O13" s="2" t="s">
        <v>77</v>
      </c>
      <c r="P13" s="2"/>
      <c r="Q13" s="2"/>
      <c r="R13" s="2">
        <v>1000</v>
      </c>
      <c r="S13" s="2">
        <v>230</v>
      </c>
      <c r="T13" s="13" t="str">
        <f t="shared" si="1"/>
        <v>BAG1060</v>
      </c>
      <c r="U13" s="2" t="s">
        <v>78</v>
      </c>
      <c r="V13" s="2"/>
      <c r="W13" s="2">
        <v>5.25</v>
      </c>
      <c r="X13" s="2">
        <v>2.2999999999999998</v>
      </c>
      <c r="Y13" s="2">
        <v>1.85</v>
      </c>
      <c r="Z13" s="2">
        <v>0</v>
      </c>
      <c r="AA13" s="2">
        <v>0</v>
      </c>
      <c r="AB13" s="2">
        <v>2.2799999999999998</v>
      </c>
      <c r="AC13" s="3" t="str">
        <f t="shared" si="0"/>
        <v>Loose</v>
      </c>
    </row>
    <row r="14" spans="1:29" x14ac:dyDescent="0.25">
      <c r="A14" s="1" t="s">
        <v>79</v>
      </c>
      <c r="B14" s="2" t="s">
        <v>29</v>
      </c>
      <c r="C14" s="2"/>
      <c r="D14" s="2"/>
      <c r="E14" s="2" t="s">
        <v>64</v>
      </c>
      <c r="F14" s="2">
        <v>1</v>
      </c>
      <c r="G14" s="2">
        <v>0.11</v>
      </c>
      <c r="H14" s="2" t="s">
        <v>76</v>
      </c>
      <c r="I14" s="2" t="s">
        <v>68</v>
      </c>
      <c r="J14" s="2" t="s">
        <v>33</v>
      </c>
      <c r="K14" s="2"/>
      <c r="L14" s="2"/>
      <c r="M14" s="2"/>
      <c r="N14" s="2"/>
      <c r="O14" s="2" t="s">
        <v>34</v>
      </c>
      <c r="P14" s="2"/>
      <c r="Q14" s="2"/>
      <c r="R14" s="2">
        <v>300</v>
      </c>
      <c r="S14" s="2">
        <v>33</v>
      </c>
      <c r="T14" s="13" t="str">
        <f t="shared" si="1"/>
        <v>BAG1082</v>
      </c>
      <c r="U14" s="2" t="s">
        <v>80</v>
      </c>
      <c r="V14" s="2"/>
      <c r="W14" s="2">
        <v>3.25</v>
      </c>
      <c r="X14" s="2">
        <v>2.0099999999999998</v>
      </c>
      <c r="Y14" s="2">
        <v>1.66</v>
      </c>
      <c r="Z14" s="2">
        <v>0</v>
      </c>
      <c r="AA14" s="2">
        <v>0</v>
      </c>
      <c r="AB14" s="2">
        <v>1.62</v>
      </c>
      <c r="AC14" s="3" t="str">
        <f t="shared" si="0"/>
        <v>Loose</v>
      </c>
    </row>
    <row r="15" spans="1:29" x14ac:dyDescent="0.25">
      <c r="A15" s="1" t="s">
        <v>81</v>
      </c>
      <c r="B15" s="2" t="s">
        <v>29</v>
      </c>
      <c r="C15" s="2"/>
      <c r="D15" s="2"/>
      <c r="E15" s="2" t="s">
        <v>64</v>
      </c>
      <c r="F15" s="2">
        <v>1</v>
      </c>
      <c r="G15" s="2">
        <v>0.12</v>
      </c>
      <c r="H15" s="2" t="s">
        <v>31</v>
      </c>
      <c r="I15" s="2" t="s">
        <v>68</v>
      </c>
      <c r="J15" s="2" t="s">
        <v>33</v>
      </c>
      <c r="K15" s="2"/>
      <c r="L15" s="2"/>
      <c r="M15" s="2"/>
      <c r="N15" s="2"/>
      <c r="O15" s="2" t="s">
        <v>61</v>
      </c>
      <c r="P15" s="2"/>
      <c r="Q15" s="2"/>
      <c r="R15" s="2">
        <v>350</v>
      </c>
      <c r="S15" s="2">
        <v>42</v>
      </c>
      <c r="T15" s="13" t="str">
        <f t="shared" si="1"/>
        <v>BAG1105</v>
      </c>
      <c r="U15" s="2" t="s">
        <v>82</v>
      </c>
      <c r="V15" s="2"/>
      <c r="W15" s="2">
        <v>3.43</v>
      </c>
      <c r="X15" s="2">
        <v>1.87</v>
      </c>
      <c r="Y15" s="2">
        <v>1.63</v>
      </c>
      <c r="Z15" s="2">
        <v>0</v>
      </c>
      <c r="AA15" s="2">
        <v>0</v>
      </c>
      <c r="AB15" s="2">
        <v>1.83</v>
      </c>
      <c r="AC15" s="3" t="str">
        <f t="shared" si="0"/>
        <v>Loose</v>
      </c>
    </row>
    <row r="16" spans="1:29" x14ac:dyDescent="0.25">
      <c r="A16" s="1" t="s">
        <v>83</v>
      </c>
      <c r="B16" s="2" t="s">
        <v>29</v>
      </c>
      <c r="C16" s="2"/>
      <c r="D16" s="2"/>
      <c r="E16" s="2" t="s">
        <v>64</v>
      </c>
      <c r="F16" s="2">
        <v>1</v>
      </c>
      <c r="G16" s="2">
        <v>0.13</v>
      </c>
      <c r="H16" s="2" t="s">
        <v>38</v>
      </c>
      <c r="I16" s="2" t="s">
        <v>68</v>
      </c>
      <c r="J16" s="2" t="s">
        <v>33</v>
      </c>
      <c r="K16" s="2"/>
      <c r="L16" s="2"/>
      <c r="M16" s="2"/>
      <c r="N16" s="2"/>
      <c r="O16" s="2" t="s">
        <v>34</v>
      </c>
      <c r="P16" s="2"/>
      <c r="Q16" s="2"/>
      <c r="R16" s="2">
        <v>700</v>
      </c>
      <c r="S16" s="2">
        <v>91</v>
      </c>
      <c r="T16" s="13" t="str">
        <f t="shared" si="1"/>
        <v>TPBR13</v>
      </c>
      <c r="U16" s="2" t="s">
        <v>84</v>
      </c>
      <c r="V16" s="2"/>
      <c r="W16" s="2">
        <v>2.06</v>
      </c>
      <c r="X16" s="2">
        <v>3.7</v>
      </c>
      <c r="Y16" s="2">
        <v>1.85</v>
      </c>
      <c r="Z16" s="2">
        <v>0</v>
      </c>
      <c r="AA16" s="2">
        <v>0</v>
      </c>
      <c r="AB16" s="2">
        <v>0.56000000000000005</v>
      </c>
      <c r="AC16" s="3" t="str">
        <f t="shared" si="0"/>
        <v>Loose</v>
      </c>
    </row>
    <row r="17" spans="1:29" x14ac:dyDescent="0.25">
      <c r="A17" s="1" t="s">
        <v>85</v>
      </c>
      <c r="B17" s="2" t="s">
        <v>37</v>
      </c>
      <c r="C17" s="2"/>
      <c r="D17" s="2"/>
      <c r="E17" s="2" t="s">
        <v>64</v>
      </c>
      <c r="F17" s="2">
        <v>2</v>
      </c>
      <c r="G17" s="2">
        <v>0.17</v>
      </c>
      <c r="H17" s="2" t="s">
        <v>38</v>
      </c>
      <c r="I17" s="2" t="s">
        <v>68</v>
      </c>
      <c r="J17" s="2" t="s">
        <v>33</v>
      </c>
      <c r="K17" s="2"/>
      <c r="L17" s="2"/>
      <c r="M17" s="2"/>
      <c r="N17" s="2"/>
      <c r="O17" s="2" t="s">
        <v>34</v>
      </c>
      <c r="P17" s="2"/>
      <c r="Q17" s="2"/>
      <c r="R17" s="2">
        <v>1300</v>
      </c>
      <c r="S17" s="2">
        <v>221</v>
      </c>
      <c r="T17" s="13" t="str">
        <f t="shared" si="1"/>
        <v>TPBR2324</v>
      </c>
      <c r="U17" s="2" t="s">
        <v>86</v>
      </c>
      <c r="V17" s="2"/>
      <c r="W17" s="2">
        <v>1.99</v>
      </c>
      <c r="X17" s="2">
        <v>4.08</v>
      </c>
      <c r="Y17" s="2">
        <v>1.58</v>
      </c>
      <c r="Z17" s="2">
        <v>0</v>
      </c>
      <c r="AA17" s="2">
        <v>0</v>
      </c>
      <c r="AB17" s="2">
        <v>0.49</v>
      </c>
      <c r="AC17" s="3" t="str">
        <f t="shared" si="0"/>
        <v>Pair</v>
      </c>
    </row>
    <row r="18" spans="1:29" x14ac:dyDescent="0.25">
      <c r="A18" s="1" t="s">
        <v>87</v>
      </c>
      <c r="B18" s="2" t="s">
        <v>37</v>
      </c>
      <c r="C18" s="2"/>
      <c r="D18" s="2"/>
      <c r="E18" s="2" t="s">
        <v>64</v>
      </c>
      <c r="F18" s="2">
        <v>2</v>
      </c>
      <c r="G18" s="2">
        <v>0.3</v>
      </c>
      <c r="H18" s="2" t="s">
        <v>38</v>
      </c>
      <c r="I18" s="2" t="s">
        <v>68</v>
      </c>
      <c r="J18" s="2" t="s">
        <v>33</v>
      </c>
      <c r="K18" s="2"/>
      <c r="L18" s="2"/>
      <c r="M18" s="2"/>
      <c r="N18" s="2"/>
      <c r="O18" s="2" t="s">
        <v>34</v>
      </c>
      <c r="P18" s="2"/>
      <c r="Q18" s="2"/>
      <c r="R18" s="2">
        <v>1500</v>
      </c>
      <c r="S18" s="2">
        <v>450</v>
      </c>
      <c r="T18" s="13" t="str">
        <f t="shared" si="1"/>
        <v>TPBR1215</v>
      </c>
      <c r="U18" s="2" t="s">
        <v>88</v>
      </c>
      <c r="V18" s="2"/>
      <c r="W18" s="2">
        <v>2.71</v>
      </c>
      <c r="X18" s="2">
        <v>4.2300000000000004</v>
      </c>
      <c r="Y18" s="2">
        <v>1.85</v>
      </c>
      <c r="Z18" s="2">
        <v>0</v>
      </c>
      <c r="AA18" s="2">
        <v>0</v>
      </c>
      <c r="AB18" s="2">
        <v>0.64</v>
      </c>
      <c r="AC18" s="3" t="str">
        <f t="shared" si="0"/>
        <v>Pair</v>
      </c>
    </row>
    <row r="19" spans="1:29" x14ac:dyDescent="0.25">
      <c r="A19" s="1" t="s">
        <v>89</v>
      </c>
      <c r="B19" s="2" t="s">
        <v>29</v>
      </c>
      <c r="C19" s="2"/>
      <c r="D19" s="2"/>
      <c r="E19" s="2" t="s">
        <v>64</v>
      </c>
      <c r="F19" s="2">
        <v>1</v>
      </c>
      <c r="G19" s="2">
        <v>0.14000000000000001</v>
      </c>
      <c r="H19" s="2" t="s">
        <v>43</v>
      </c>
      <c r="I19" s="2" t="s">
        <v>39</v>
      </c>
      <c r="J19" s="2" t="s">
        <v>33</v>
      </c>
      <c r="K19" s="2"/>
      <c r="L19" s="2"/>
      <c r="M19" s="2"/>
      <c r="N19" s="2"/>
      <c r="O19" s="2" t="s">
        <v>34</v>
      </c>
      <c r="P19" s="2"/>
      <c r="Q19" s="2"/>
      <c r="R19" s="2">
        <v>600</v>
      </c>
      <c r="S19" s="2">
        <v>84</v>
      </c>
      <c r="T19" s="13" t="str">
        <f t="shared" si="1"/>
        <v>BAG7002</v>
      </c>
      <c r="U19" s="2" t="s">
        <v>90</v>
      </c>
      <c r="V19" s="2"/>
      <c r="W19" s="2">
        <v>2.57</v>
      </c>
      <c r="X19" s="2">
        <v>3.07</v>
      </c>
      <c r="Y19" s="2">
        <v>1.88</v>
      </c>
      <c r="Z19" s="2">
        <v>0</v>
      </c>
      <c r="AA19" s="2">
        <v>0</v>
      </c>
      <c r="AB19" s="2">
        <v>0.84</v>
      </c>
      <c r="AC19" s="3" t="str">
        <f t="shared" si="0"/>
        <v>Loose</v>
      </c>
    </row>
    <row r="20" spans="1:29" x14ac:dyDescent="0.25">
      <c r="A20" s="1" t="s">
        <v>91</v>
      </c>
      <c r="B20" s="2" t="s">
        <v>29</v>
      </c>
      <c r="C20" s="2"/>
      <c r="D20" s="2"/>
      <c r="E20" s="2" t="s">
        <v>64</v>
      </c>
      <c r="F20" s="2">
        <v>1</v>
      </c>
      <c r="G20" s="2">
        <v>0.16</v>
      </c>
      <c r="H20" s="2" t="s">
        <v>73</v>
      </c>
      <c r="I20" s="2" t="s">
        <v>68</v>
      </c>
      <c r="J20" s="2" t="s">
        <v>33</v>
      </c>
      <c r="K20" s="2"/>
      <c r="L20" s="2"/>
      <c r="M20" s="2"/>
      <c r="N20" s="2"/>
      <c r="O20" s="2" t="s">
        <v>61</v>
      </c>
      <c r="P20" s="2"/>
      <c r="Q20" s="2"/>
      <c r="R20" s="2">
        <v>400</v>
      </c>
      <c r="S20" s="2">
        <v>64</v>
      </c>
      <c r="T20" s="13" t="str">
        <f t="shared" si="1"/>
        <v>BAG3005</v>
      </c>
      <c r="U20" s="2" t="s">
        <v>92</v>
      </c>
      <c r="V20" s="2"/>
      <c r="W20" s="2">
        <v>2.25</v>
      </c>
      <c r="X20" s="2">
        <v>4.12</v>
      </c>
      <c r="Y20" s="2">
        <v>1.85</v>
      </c>
      <c r="Z20" s="2">
        <v>0</v>
      </c>
      <c r="AA20" s="2">
        <v>0</v>
      </c>
      <c r="AB20" s="2">
        <v>0.55000000000000004</v>
      </c>
      <c r="AC20" s="3" t="str">
        <f t="shared" si="0"/>
        <v>Loose</v>
      </c>
    </row>
    <row r="21" spans="1:29" x14ac:dyDescent="0.25">
      <c r="A21" s="1" t="s">
        <v>93</v>
      </c>
      <c r="B21" s="2" t="s">
        <v>29</v>
      </c>
      <c r="C21" s="2"/>
      <c r="D21" s="2"/>
      <c r="E21" s="2" t="s">
        <v>64</v>
      </c>
      <c r="F21" s="2">
        <v>1</v>
      </c>
      <c r="G21" s="2">
        <v>0.15</v>
      </c>
      <c r="H21" s="2" t="s">
        <v>49</v>
      </c>
      <c r="I21" s="2" t="s">
        <v>68</v>
      </c>
      <c r="J21" s="2" t="s">
        <v>33</v>
      </c>
      <c r="K21" s="2"/>
      <c r="L21" s="2"/>
      <c r="M21" s="2"/>
      <c r="N21" s="2"/>
      <c r="O21" s="2" t="s">
        <v>61</v>
      </c>
      <c r="P21" s="2"/>
      <c r="Q21" s="2"/>
      <c r="R21" s="2">
        <v>400</v>
      </c>
      <c r="S21" s="2">
        <v>60</v>
      </c>
      <c r="T21" s="13" t="str">
        <f t="shared" si="1"/>
        <v>BAG3008</v>
      </c>
      <c r="U21" s="2" t="s">
        <v>94</v>
      </c>
      <c r="V21" s="2"/>
      <c r="W21" s="2">
        <v>2.08</v>
      </c>
      <c r="X21" s="2">
        <v>4.08</v>
      </c>
      <c r="Y21" s="2">
        <v>1.71</v>
      </c>
      <c r="Z21" s="2">
        <v>0</v>
      </c>
      <c r="AA21" s="2">
        <v>0</v>
      </c>
      <c r="AB21" s="2">
        <v>0.51</v>
      </c>
      <c r="AC21" s="3" t="str">
        <f t="shared" si="0"/>
        <v>Loose</v>
      </c>
    </row>
    <row r="22" spans="1:29" x14ac:dyDescent="0.25">
      <c r="A22" s="1" t="s">
        <v>95</v>
      </c>
      <c r="B22" s="2" t="s">
        <v>29</v>
      </c>
      <c r="C22" s="2"/>
      <c r="D22" s="2"/>
      <c r="E22" s="2" t="s">
        <v>64</v>
      </c>
      <c r="F22" s="2">
        <v>1</v>
      </c>
      <c r="G22" s="2">
        <v>0.1</v>
      </c>
      <c r="H22" s="2" t="s">
        <v>43</v>
      </c>
      <c r="I22" s="2" t="s">
        <v>57</v>
      </c>
      <c r="J22" s="2" t="s">
        <v>33</v>
      </c>
      <c r="K22" s="2"/>
      <c r="L22" s="2"/>
      <c r="M22" s="2"/>
      <c r="N22" s="2"/>
      <c r="O22" s="2" t="s">
        <v>34</v>
      </c>
      <c r="P22" s="2"/>
      <c r="Q22" s="2"/>
      <c r="R22" s="2">
        <v>526</v>
      </c>
      <c r="S22" s="2">
        <v>52.6</v>
      </c>
      <c r="T22" s="13" t="str">
        <f t="shared" si="1"/>
        <v>BAG3009</v>
      </c>
      <c r="U22" s="2" t="s">
        <v>96</v>
      </c>
      <c r="V22" s="2"/>
      <c r="W22" s="2">
        <v>1.6</v>
      </c>
      <c r="X22" s="2">
        <v>4.32</v>
      </c>
      <c r="Y22" s="2">
        <v>1.31</v>
      </c>
      <c r="Z22" s="2">
        <v>0</v>
      </c>
      <c r="AA22" s="2">
        <v>0</v>
      </c>
      <c r="AB22" s="2">
        <v>0.37</v>
      </c>
      <c r="AC22" s="3" t="str">
        <f t="shared" si="0"/>
        <v>Loose</v>
      </c>
    </row>
    <row r="23" spans="1:29" x14ac:dyDescent="0.25">
      <c r="A23" s="1" t="s">
        <v>97</v>
      </c>
      <c r="B23" s="2" t="s">
        <v>37</v>
      </c>
      <c r="C23" s="2"/>
      <c r="D23" s="2"/>
      <c r="E23" s="2" t="s">
        <v>64</v>
      </c>
      <c r="F23" s="2">
        <v>1</v>
      </c>
      <c r="G23" s="2">
        <v>0.14000000000000001</v>
      </c>
      <c r="H23" s="2" t="s">
        <v>31</v>
      </c>
      <c r="I23" s="2" t="s">
        <v>68</v>
      </c>
      <c r="J23" s="2" t="s">
        <v>33</v>
      </c>
      <c r="K23" s="2"/>
      <c r="L23" s="2"/>
      <c r="M23" s="2"/>
      <c r="N23" s="2"/>
      <c r="O23" s="2" t="s">
        <v>61</v>
      </c>
      <c r="P23" s="2"/>
      <c r="Q23" s="2"/>
      <c r="R23" s="2">
        <v>1000</v>
      </c>
      <c r="S23" s="2">
        <v>140</v>
      </c>
      <c r="T23" s="13" t="str">
        <f t="shared" si="1"/>
        <v>DLT0084B</v>
      </c>
      <c r="U23" s="2" t="s">
        <v>98</v>
      </c>
      <c r="V23" s="2"/>
      <c r="W23" s="2">
        <v>3.65</v>
      </c>
      <c r="X23" s="2">
        <v>2.19</v>
      </c>
      <c r="Y23" s="2">
        <v>1.98</v>
      </c>
      <c r="Z23" s="2">
        <v>0</v>
      </c>
      <c r="AA23" s="2">
        <v>0</v>
      </c>
      <c r="AB23" s="2">
        <v>1.67</v>
      </c>
      <c r="AC23" s="3" t="str">
        <f t="shared" si="0"/>
        <v>Loose</v>
      </c>
    </row>
    <row r="24" spans="1:29" x14ac:dyDescent="0.25">
      <c r="A24" s="1" t="s">
        <v>99</v>
      </c>
      <c r="B24" s="2" t="s">
        <v>37</v>
      </c>
      <c r="C24" s="2"/>
      <c r="D24" s="2"/>
      <c r="E24" s="2" t="s">
        <v>64</v>
      </c>
      <c r="F24" s="2">
        <v>1</v>
      </c>
      <c r="G24" s="2">
        <v>0.12</v>
      </c>
      <c r="H24" s="2" t="s">
        <v>100</v>
      </c>
      <c r="I24" s="2" t="s">
        <v>32</v>
      </c>
      <c r="J24" s="2" t="s">
        <v>69</v>
      </c>
      <c r="K24" s="2"/>
      <c r="L24" s="2"/>
      <c r="M24" s="2"/>
      <c r="N24" s="2"/>
      <c r="O24" s="2" t="s">
        <v>61</v>
      </c>
      <c r="P24" s="2"/>
      <c r="Q24" s="2"/>
      <c r="R24" s="2">
        <v>200</v>
      </c>
      <c r="S24" s="2">
        <v>24</v>
      </c>
      <c r="T24" s="13" t="str">
        <f t="shared" si="1"/>
        <v>KARMXNEW1</v>
      </c>
      <c r="U24" s="2" t="s">
        <v>101</v>
      </c>
      <c r="V24" s="2"/>
      <c r="W24" s="2">
        <v>2.91</v>
      </c>
      <c r="X24" s="2">
        <v>2.4300000000000002</v>
      </c>
      <c r="Y24" s="2">
        <v>1.88</v>
      </c>
      <c r="Z24" s="2">
        <v>0</v>
      </c>
      <c r="AA24" s="2">
        <v>0</v>
      </c>
      <c r="AB24" s="2">
        <v>1.2</v>
      </c>
      <c r="AC24" s="3" t="str">
        <f t="shared" si="0"/>
        <v>Loose</v>
      </c>
    </row>
    <row r="25" spans="1:29" x14ac:dyDescent="0.25">
      <c r="A25" s="1" t="s">
        <v>102</v>
      </c>
      <c r="B25" s="2" t="s">
        <v>29</v>
      </c>
      <c r="C25" s="2"/>
      <c r="D25" s="2"/>
      <c r="E25" s="2" t="s">
        <v>64</v>
      </c>
      <c r="F25" s="2">
        <v>1</v>
      </c>
      <c r="G25" s="2">
        <v>0.12</v>
      </c>
      <c r="H25" s="2" t="s">
        <v>73</v>
      </c>
      <c r="I25" s="2" t="s">
        <v>32</v>
      </c>
      <c r="J25" s="2" t="s">
        <v>33</v>
      </c>
      <c r="K25" s="2"/>
      <c r="L25" s="2"/>
      <c r="M25" s="2"/>
      <c r="N25" s="2"/>
      <c r="O25" s="2" t="s">
        <v>34</v>
      </c>
      <c r="P25" s="2"/>
      <c r="Q25" s="2"/>
      <c r="R25" s="2">
        <v>400</v>
      </c>
      <c r="S25" s="2">
        <v>48</v>
      </c>
      <c r="T25" s="13" t="str">
        <f t="shared" si="1"/>
        <v>BAG4001</v>
      </c>
      <c r="U25" s="2" t="s">
        <v>103</v>
      </c>
      <c r="V25" s="2"/>
      <c r="W25" s="2">
        <v>2.19</v>
      </c>
      <c r="X25" s="2">
        <v>3.66</v>
      </c>
      <c r="Y25" s="2">
        <v>1.67</v>
      </c>
      <c r="Z25" s="2">
        <v>0</v>
      </c>
      <c r="AA25" s="2">
        <v>0</v>
      </c>
      <c r="AB25" s="2">
        <v>0.6</v>
      </c>
      <c r="AC25" s="3" t="str">
        <f t="shared" si="0"/>
        <v>Loose</v>
      </c>
    </row>
    <row r="26" spans="1:29" x14ac:dyDescent="0.25">
      <c r="A26" s="1" t="s">
        <v>104</v>
      </c>
      <c r="B26" s="2" t="s">
        <v>29</v>
      </c>
      <c r="C26" s="2"/>
      <c r="D26" s="2"/>
      <c r="E26" s="2" t="s">
        <v>64</v>
      </c>
      <c r="F26" s="2">
        <v>1</v>
      </c>
      <c r="G26" s="2">
        <v>0.38</v>
      </c>
      <c r="H26" s="2" t="s">
        <v>43</v>
      </c>
      <c r="I26" s="2" t="s">
        <v>105</v>
      </c>
      <c r="J26" s="2" t="s">
        <v>69</v>
      </c>
      <c r="K26" s="2"/>
      <c r="L26" s="2"/>
      <c r="M26" s="2"/>
      <c r="N26" s="2"/>
      <c r="O26" s="2" t="s">
        <v>70</v>
      </c>
      <c r="P26" s="2"/>
      <c r="Q26" s="2"/>
      <c r="R26" s="2">
        <v>500</v>
      </c>
      <c r="S26" s="2">
        <v>190</v>
      </c>
      <c r="T26" s="13" t="str">
        <f t="shared" si="1"/>
        <v>BAG4002</v>
      </c>
      <c r="U26" s="2" t="s">
        <v>106</v>
      </c>
      <c r="V26" s="2"/>
      <c r="W26" s="2">
        <v>2.2000000000000002</v>
      </c>
      <c r="X26" s="2">
        <v>9.0299999999999994</v>
      </c>
      <c r="Y26" s="2">
        <v>1.62</v>
      </c>
      <c r="Z26" s="2">
        <v>0</v>
      </c>
      <c r="AA26" s="2">
        <v>0</v>
      </c>
      <c r="AB26" s="2">
        <v>0.24</v>
      </c>
      <c r="AC26" s="3" t="str">
        <f t="shared" si="0"/>
        <v>Loose</v>
      </c>
    </row>
    <row r="27" spans="1:29" x14ac:dyDescent="0.25">
      <c r="A27" s="1" t="s">
        <v>107</v>
      </c>
      <c r="B27" s="2" t="s">
        <v>29</v>
      </c>
      <c r="C27" s="2"/>
      <c r="D27" s="2"/>
      <c r="E27" s="2" t="s">
        <v>64</v>
      </c>
      <c r="F27" s="2">
        <v>1</v>
      </c>
      <c r="G27" s="2">
        <v>0.19</v>
      </c>
      <c r="H27" s="2" t="s">
        <v>108</v>
      </c>
      <c r="I27" s="2" t="s">
        <v>32</v>
      </c>
      <c r="J27" s="2" t="s">
        <v>69</v>
      </c>
      <c r="K27" s="2"/>
      <c r="L27" s="2"/>
      <c r="M27" s="2"/>
      <c r="N27" s="2"/>
      <c r="O27" s="2" t="s">
        <v>61</v>
      </c>
      <c r="P27" s="2"/>
      <c r="Q27" s="2"/>
      <c r="R27" s="2">
        <v>400</v>
      </c>
      <c r="S27" s="2">
        <v>76</v>
      </c>
      <c r="T27" s="13" t="str">
        <f t="shared" si="1"/>
        <v>BAG4004</v>
      </c>
      <c r="U27" s="2" t="s">
        <v>109</v>
      </c>
      <c r="V27" s="2"/>
      <c r="W27" s="2">
        <v>2.46</v>
      </c>
      <c r="X27" s="2">
        <v>4.03</v>
      </c>
      <c r="Y27" s="2">
        <v>1.91</v>
      </c>
      <c r="Z27" s="2">
        <v>0</v>
      </c>
      <c r="AA27" s="2">
        <v>0</v>
      </c>
      <c r="AB27" s="2">
        <v>0.61</v>
      </c>
      <c r="AC27" s="3" t="str">
        <f t="shared" si="0"/>
        <v>Loose</v>
      </c>
    </row>
    <row r="28" spans="1:29" x14ac:dyDescent="0.25">
      <c r="A28" s="1" t="s">
        <v>110</v>
      </c>
      <c r="B28" s="2" t="s">
        <v>29</v>
      </c>
      <c r="C28" s="2"/>
      <c r="D28" s="2"/>
      <c r="E28" s="2" t="s">
        <v>64</v>
      </c>
      <c r="F28" s="2">
        <v>1</v>
      </c>
      <c r="G28" s="2">
        <v>0.15</v>
      </c>
      <c r="H28" s="2" t="s">
        <v>73</v>
      </c>
      <c r="I28" s="2" t="s">
        <v>32</v>
      </c>
      <c r="J28" s="2" t="s">
        <v>33</v>
      </c>
      <c r="K28" s="2"/>
      <c r="L28" s="2"/>
      <c r="M28" s="2"/>
      <c r="N28" s="2"/>
      <c r="O28" s="2" t="s">
        <v>34</v>
      </c>
      <c r="P28" s="2"/>
      <c r="Q28" s="2"/>
      <c r="R28" s="2">
        <v>500</v>
      </c>
      <c r="S28" s="2">
        <v>75</v>
      </c>
      <c r="T28" s="13" t="str">
        <f t="shared" si="1"/>
        <v>BAG4006</v>
      </c>
      <c r="U28" s="2" t="s">
        <v>111</v>
      </c>
      <c r="V28" s="2"/>
      <c r="W28" s="2">
        <v>2.36</v>
      </c>
      <c r="X28" s="2">
        <v>3.7</v>
      </c>
      <c r="Y28" s="2">
        <v>1.85</v>
      </c>
      <c r="Z28" s="2">
        <v>0</v>
      </c>
      <c r="AA28" s="2">
        <v>0</v>
      </c>
      <c r="AB28" s="2">
        <v>0.64</v>
      </c>
      <c r="AC28" s="3" t="str">
        <f t="shared" si="0"/>
        <v>Loose</v>
      </c>
    </row>
    <row r="29" spans="1:29" x14ac:dyDescent="0.25">
      <c r="A29" s="1" t="s">
        <v>112</v>
      </c>
      <c r="B29" s="2" t="s">
        <v>29</v>
      </c>
      <c r="C29" s="2"/>
      <c r="D29" s="2"/>
      <c r="E29" s="2" t="s">
        <v>64</v>
      </c>
      <c r="F29" s="2">
        <v>1</v>
      </c>
      <c r="G29" s="2">
        <v>0.16</v>
      </c>
      <c r="H29" s="2" t="s">
        <v>67</v>
      </c>
      <c r="I29" s="2" t="s">
        <v>32</v>
      </c>
      <c r="J29" s="2" t="s">
        <v>69</v>
      </c>
      <c r="K29" s="2"/>
      <c r="L29" s="2"/>
      <c r="M29" s="2"/>
      <c r="N29" s="2"/>
      <c r="O29" s="2" t="s">
        <v>34</v>
      </c>
      <c r="P29" s="2"/>
      <c r="Q29" s="2"/>
      <c r="R29" s="2">
        <v>400</v>
      </c>
      <c r="S29" s="2">
        <v>64</v>
      </c>
      <c r="T29" s="13" t="str">
        <f t="shared" si="1"/>
        <v>BAG4007</v>
      </c>
      <c r="U29" s="2" t="s">
        <v>113</v>
      </c>
      <c r="V29" s="2"/>
      <c r="W29" s="2">
        <v>2.5</v>
      </c>
      <c r="X29" s="2">
        <v>3.46</v>
      </c>
      <c r="Y29" s="2">
        <v>1.89</v>
      </c>
      <c r="Z29" s="2">
        <v>0</v>
      </c>
      <c r="AA29" s="2">
        <v>0</v>
      </c>
      <c r="AB29" s="2">
        <v>0.72</v>
      </c>
      <c r="AC29" s="3" t="str">
        <f t="shared" si="0"/>
        <v>Loose</v>
      </c>
    </row>
    <row r="30" spans="1:29" x14ac:dyDescent="0.25">
      <c r="A30" s="1" t="s">
        <v>114</v>
      </c>
      <c r="B30" s="2" t="s">
        <v>29</v>
      </c>
      <c r="C30" s="2"/>
      <c r="D30" s="2"/>
      <c r="E30" s="2" t="s">
        <v>64</v>
      </c>
      <c r="F30" s="2">
        <v>1</v>
      </c>
      <c r="G30" s="2">
        <v>0.11</v>
      </c>
      <c r="H30" s="2" t="s">
        <v>43</v>
      </c>
      <c r="I30" s="2" t="s">
        <v>53</v>
      </c>
      <c r="J30" s="2" t="s">
        <v>33</v>
      </c>
      <c r="K30" s="2"/>
      <c r="L30" s="2"/>
      <c r="M30" s="2"/>
      <c r="N30" s="2"/>
      <c r="O30" s="2" t="s">
        <v>70</v>
      </c>
      <c r="P30" s="2"/>
      <c r="Q30" s="2"/>
      <c r="R30" s="2">
        <v>800</v>
      </c>
      <c r="S30" s="2">
        <v>88</v>
      </c>
      <c r="T30" s="13" t="str">
        <f t="shared" si="1"/>
        <v>BAG5006</v>
      </c>
      <c r="U30" s="2" t="s">
        <v>115</v>
      </c>
      <c r="V30" s="2"/>
      <c r="W30" s="2">
        <v>1.92</v>
      </c>
      <c r="X30" s="2">
        <v>3.97</v>
      </c>
      <c r="Y30" s="2">
        <v>1.48</v>
      </c>
      <c r="Z30" s="2">
        <v>0</v>
      </c>
      <c r="AA30" s="2">
        <v>0</v>
      </c>
      <c r="AB30" s="2">
        <v>0.48</v>
      </c>
      <c r="AC30" s="3" t="str">
        <f t="shared" si="0"/>
        <v>Loose</v>
      </c>
    </row>
    <row r="31" spans="1:29" x14ac:dyDescent="0.25">
      <c r="A31" s="1" t="s">
        <v>116</v>
      </c>
      <c r="B31" s="2" t="s">
        <v>29</v>
      </c>
      <c r="C31" s="2"/>
      <c r="D31" s="2"/>
      <c r="E31" s="2" t="s">
        <v>64</v>
      </c>
      <c r="F31" s="2">
        <v>1</v>
      </c>
      <c r="G31" s="2">
        <v>0.17</v>
      </c>
      <c r="H31" s="2" t="s">
        <v>43</v>
      </c>
      <c r="I31" s="2" t="s">
        <v>68</v>
      </c>
      <c r="J31" s="2" t="s">
        <v>33</v>
      </c>
      <c r="K31" s="2"/>
      <c r="L31" s="2"/>
      <c r="M31" s="2"/>
      <c r="N31" s="2"/>
      <c r="O31" s="2" t="s">
        <v>34</v>
      </c>
      <c r="P31" s="2"/>
      <c r="Q31" s="2"/>
      <c r="R31" s="2">
        <v>800</v>
      </c>
      <c r="S31" s="2">
        <v>136</v>
      </c>
      <c r="T31" s="13" t="str">
        <f t="shared" si="1"/>
        <v>BAG5023</v>
      </c>
      <c r="U31" s="2" t="s">
        <v>117</v>
      </c>
      <c r="V31" s="2"/>
      <c r="W31" s="2">
        <v>2.33</v>
      </c>
      <c r="X31" s="2">
        <v>4.0199999999999996</v>
      </c>
      <c r="Y31" s="2">
        <v>1.8</v>
      </c>
      <c r="Z31" s="2">
        <v>0</v>
      </c>
      <c r="AA31" s="2">
        <v>0</v>
      </c>
      <c r="AB31" s="2">
        <v>0.57999999999999996</v>
      </c>
      <c r="AC31" s="3" t="str">
        <f t="shared" si="0"/>
        <v>Loose</v>
      </c>
    </row>
    <row r="32" spans="1:29" x14ac:dyDescent="0.25">
      <c r="A32" s="1" t="s">
        <v>118</v>
      </c>
      <c r="B32" s="2" t="s">
        <v>29</v>
      </c>
      <c r="C32" s="2"/>
      <c r="D32" s="2"/>
      <c r="E32" s="2" t="s">
        <v>64</v>
      </c>
      <c r="F32" s="2">
        <v>1</v>
      </c>
      <c r="G32" s="2">
        <v>0.13</v>
      </c>
      <c r="H32" s="2" t="s">
        <v>31</v>
      </c>
      <c r="I32" s="2" t="s">
        <v>68</v>
      </c>
      <c r="J32" s="2" t="s">
        <v>33</v>
      </c>
      <c r="K32" s="2"/>
      <c r="L32" s="2"/>
      <c r="M32" s="2"/>
      <c r="N32" s="2"/>
      <c r="O32" s="2" t="s">
        <v>34</v>
      </c>
      <c r="P32" s="2"/>
      <c r="Q32" s="2"/>
      <c r="R32" s="2">
        <v>400</v>
      </c>
      <c r="S32" s="2">
        <v>52</v>
      </c>
      <c r="T32" s="13" t="str">
        <f t="shared" si="1"/>
        <v>BAG5024</v>
      </c>
      <c r="U32" s="2" t="s">
        <v>119</v>
      </c>
      <c r="V32" s="2"/>
      <c r="W32" s="2">
        <v>3.95</v>
      </c>
      <c r="X32" s="2">
        <v>1.63</v>
      </c>
      <c r="Y32" s="2">
        <v>1.96</v>
      </c>
      <c r="Z32" s="2">
        <v>0</v>
      </c>
      <c r="AA32" s="2">
        <v>0</v>
      </c>
      <c r="AB32" s="2">
        <v>2.42</v>
      </c>
      <c r="AC32" s="3" t="str">
        <f t="shared" si="0"/>
        <v>Loose</v>
      </c>
    </row>
    <row r="33" spans="1:29" x14ac:dyDescent="0.25">
      <c r="A33" s="1" t="s">
        <v>120</v>
      </c>
      <c r="B33" s="2" t="s">
        <v>29</v>
      </c>
      <c r="C33" s="2"/>
      <c r="D33" s="2"/>
      <c r="E33" s="2" t="s">
        <v>64</v>
      </c>
      <c r="F33" s="2">
        <v>1</v>
      </c>
      <c r="G33" s="2">
        <v>0.13</v>
      </c>
      <c r="H33" s="2" t="s">
        <v>31</v>
      </c>
      <c r="I33" s="2" t="s">
        <v>39</v>
      </c>
      <c r="J33" s="2" t="s">
        <v>33</v>
      </c>
      <c r="K33" s="2"/>
      <c r="L33" s="2"/>
      <c r="M33" s="2"/>
      <c r="N33" s="2"/>
      <c r="O33" s="2" t="s">
        <v>70</v>
      </c>
      <c r="P33" s="2"/>
      <c r="Q33" s="2"/>
      <c r="R33" s="2">
        <v>500</v>
      </c>
      <c r="S33" s="2">
        <v>65</v>
      </c>
      <c r="T33" s="13" t="str">
        <f t="shared" si="1"/>
        <v>BAG5026</v>
      </c>
      <c r="U33" s="2" t="s">
        <v>121</v>
      </c>
      <c r="V33" s="2"/>
      <c r="W33" s="2">
        <v>1.94</v>
      </c>
      <c r="X33" s="2">
        <v>3.71</v>
      </c>
      <c r="Y33" s="2">
        <v>1.64</v>
      </c>
      <c r="Z33" s="2">
        <v>0</v>
      </c>
      <c r="AA33" s="2">
        <v>0</v>
      </c>
      <c r="AB33" s="2">
        <v>0.52</v>
      </c>
      <c r="AC33" s="3" t="str">
        <f t="shared" si="0"/>
        <v>Loose</v>
      </c>
    </row>
    <row r="34" spans="1:29" x14ac:dyDescent="0.25">
      <c r="A34" s="1" t="s">
        <v>122</v>
      </c>
      <c r="B34" s="2" t="s">
        <v>29</v>
      </c>
      <c r="C34" s="2"/>
      <c r="D34" s="2"/>
      <c r="E34" s="2" t="s">
        <v>64</v>
      </c>
      <c r="F34" s="2">
        <v>1</v>
      </c>
      <c r="G34" s="2">
        <v>0.1</v>
      </c>
      <c r="H34" s="2" t="s">
        <v>31</v>
      </c>
      <c r="I34" s="2" t="s">
        <v>39</v>
      </c>
      <c r="J34" s="2" t="s">
        <v>33</v>
      </c>
      <c r="K34" s="2"/>
      <c r="L34" s="2"/>
      <c r="M34" s="2"/>
      <c r="N34" s="2"/>
      <c r="O34" s="2" t="s">
        <v>46</v>
      </c>
      <c r="P34" s="2"/>
      <c r="Q34" s="2"/>
      <c r="R34" s="2">
        <v>702</v>
      </c>
      <c r="S34" s="2">
        <v>70.2</v>
      </c>
      <c r="T34" s="13" t="str">
        <f t="shared" si="1"/>
        <v>BAG5027</v>
      </c>
      <c r="U34" s="2" t="s">
        <v>123</v>
      </c>
      <c r="V34" s="2"/>
      <c r="W34" s="2">
        <v>1.9</v>
      </c>
      <c r="X34" s="2">
        <v>3.8</v>
      </c>
      <c r="Y34" s="2">
        <v>1.36</v>
      </c>
      <c r="Z34" s="2">
        <v>0</v>
      </c>
      <c r="AA34" s="2">
        <v>0</v>
      </c>
      <c r="AB34" s="2">
        <v>0.5</v>
      </c>
      <c r="AC34" s="3" t="str">
        <f t="shared" si="0"/>
        <v>Loose</v>
      </c>
    </row>
    <row r="35" spans="1:29" x14ac:dyDescent="0.25">
      <c r="A35" s="1" t="s">
        <v>124</v>
      </c>
      <c r="B35" s="2" t="s">
        <v>29</v>
      </c>
      <c r="C35" s="2"/>
      <c r="D35" s="2"/>
      <c r="E35" s="2" t="s">
        <v>64</v>
      </c>
      <c r="F35" s="2">
        <v>1</v>
      </c>
      <c r="G35" s="2">
        <v>0.1</v>
      </c>
      <c r="H35" s="2" t="s">
        <v>43</v>
      </c>
      <c r="I35" s="2" t="s">
        <v>68</v>
      </c>
      <c r="J35" s="2" t="s">
        <v>33</v>
      </c>
      <c r="K35" s="2"/>
      <c r="L35" s="2"/>
      <c r="M35" s="2"/>
      <c r="N35" s="2"/>
      <c r="O35" s="2" t="s">
        <v>34</v>
      </c>
      <c r="P35" s="2"/>
      <c r="Q35" s="2"/>
      <c r="R35" s="2">
        <v>702</v>
      </c>
      <c r="S35" s="2">
        <v>70.2</v>
      </c>
      <c r="T35" s="13" t="str">
        <f t="shared" si="1"/>
        <v>BAG5029</v>
      </c>
      <c r="U35" s="2" t="s">
        <v>125</v>
      </c>
      <c r="V35" s="2"/>
      <c r="W35" s="2">
        <v>2.15</v>
      </c>
      <c r="X35" s="2">
        <v>3.82</v>
      </c>
      <c r="Y35" s="2">
        <v>1.27</v>
      </c>
      <c r="Z35" s="2">
        <v>0</v>
      </c>
      <c r="AA35" s="2">
        <v>0</v>
      </c>
      <c r="AB35" s="2">
        <v>0.56000000000000005</v>
      </c>
      <c r="AC35" s="3" t="str">
        <f t="shared" si="0"/>
        <v>Loose</v>
      </c>
    </row>
    <row r="36" spans="1:29" x14ac:dyDescent="0.25">
      <c r="A36" s="1" t="s">
        <v>126</v>
      </c>
      <c r="B36" s="2" t="s">
        <v>29</v>
      </c>
      <c r="C36" s="2"/>
      <c r="D36" s="2"/>
      <c r="E36" s="2" t="s">
        <v>64</v>
      </c>
      <c r="F36" s="2">
        <v>1</v>
      </c>
      <c r="G36" s="2">
        <v>0.13</v>
      </c>
      <c r="H36" s="2" t="s">
        <v>31</v>
      </c>
      <c r="I36" s="2" t="s">
        <v>68</v>
      </c>
      <c r="J36" s="2" t="s">
        <v>33</v>
      </c>
      <c r="K36" s="2"/>
      <c r="L36" s="2"/>
      <c r="M36" s="2"/>
      <c r="N36" s="2"/>
      <c r="O36" s="2" t="s">
        <v>34</v>
      </c>
      <c r="P36" s="2"/>
      <c r="Q36" s="2"/>
      <c r="R36" s="2">
        <v>500</v>
      </c>
      <c r="S36" s="2">
        <v>65</v>
      </c>
      <c r="T36" s="13" t="str">
        <f t="shared" si="1"/>
        <v>BAG5032</v>
      </c>
      <c r="U36" s="2" t="s">
        <v>127</v>
      </c>
      <c r="V36" s="2"/>
      <c r="W36" s="2">
        <v>2.31</v>
      </c>
      <c r="X36" s="2">
        <v>3.51</v>
      </c>
      <c r="Y36" s="2">
        <v>1.7</v>
      </c>
      <c r="Z36" s="2">
        <v>0</v>
      </c>
      <c r="AA36" s="2">
        <v>0</v>
      </c>
      <c r="AB36" s="2">
        <v>0.66</v>
      </c>
      <c r="AC36" s="3" t="str">
        <f t="shared" si="0"/>
        <v>Loose</v>
      </c>
    </row>
    <row r="37" spans="1:29" x14ac:dyDescent="0.25">
      <c r="A37" s="1" t="s">
        <v>128</v>
      </c>
      <c r="B37" s="2" t="s">
        <v>29</v>
      </c>
      <c r="C37" s="2"/>
      <c r="D37" s="2"/>
      <c r="E37" s="2" t="s">
        <v>64</v>
      </c>
      <c r="F37" s="2">
        <v>1</v>
      </c>
      <c r="G37" s="2">
        <v>0.15</v>
      </c>
      <c r="H37" s="2" t="s">
        <v>31</v>
      </c>
      <c r="I37" s="2" t="s">
        <v>39</v>
      </c>
      <c r="J37" s="2" t="s">
        <v>33</v>
      </c>
      <c r="K37" s="2"/>
      <c r="L37" s="2"/>
      <c r="M37" s="2"/>
      <c r="N37" s="2"/>
      <c r="O37" s="2" t="s">
        <v>61</v>
      </c>
      <c r="P37" s="2"/>
      <c r="Q37" s="2"/>
      <c r="R37" s="2">
        <v>600</v>
      </c>
      <c r="S37" s="2">
        <v>90</v>
      </c>
      <c r="T37" s="13" t="str">
        <f t="shared" si="1"/>
        <v>BAG5033</v>
      </c>
      <c r="U37" s="2" t="s">
        <v>129</v>
      </c>
      <c r="V37" s="2"/>
      <c r="W37" s="2">
        <v>2.31</v>
      </c>
      <c r="X37" s="2">
        <v>3.88</v>
      </c>
      <c r="Y37" s="2">
        <v>1.69</v>
      </c>
      <c r="Z37" s="2">
        <v>0</v>
      </c>
      <c r="AA37" s="2">
        <v>0</v>
      </c>
      <c r="AB37" s="2">
        <v>0.6</v>
      </c>
      <c r="AC37" s="3" t="str">
        <f t="shared" si="0"/>
        <v>Loose</v>
      </c>
    </row>
    <row r="38" spans="1:29" x14ac:dyDescent="0.25">
      <c r="A38" s="1" t="s">
        <v>130</v>
      </c>
      <c r="B38" s="2" t="s">
        <v>29</v>
      </c>
      <c r="C38" s="2"/>
      <c r="D38" s="2"/>
      <c r="E38" s="2" t="s">
        <v>64</v>
      </c>
      <c r="F38" s="2">
        <v>1</v>
      </c>
      <c r="G38" s="2">
        <v>0.21</v>
      </c>
      <c r="H38" s="2" t="s">
        <v>31</v>
      </c>
      <c r="I38" s="2" t="s">
        <v>39</v>
      </c>
      <c r="J38" s="2" t="s">
        <v>33</v>
      </c>
      <c r="K38" s="2"/>
      <c r="L38" s="2"/>
      <c r="M38" s="2"/>
      <c r="N38" s="2"/>
      <c r="O38" s="2" t="s">
        <v>34</v>
      </c>
      <c r="P38" s="2"/>
      <c r="Q38" s="2"/>
      <c r="R38" s="2">
        <v>800</v>
      </c>
      <c r="S38" s="2">
        <v>168</v>
      </c>
      <c r="T38" s="13" t="str">
        <f t="shared" si="1"/>
        <v>BAG5035</v>
      </c>
      <c r="U38" s="2" t="s">
        <v>131</v>
      </c>
      <c r="V38" s="2"/>
      <c r="W38" s="2">
        <v>1.92</v>
      </c>
      <c r="X38" s="2">
        <v>5.39</v>
      </c>
      <c r="Y38" s="2">
        <v>1.9</v>
      </c>
      <c r="Z38" s="2">
        <v>0</v>
      </c>
      <c r="AA38" s="2">
        <v>0</v>
      </c>
      <c r="AB38" s="2">
        <v>0.36</v>
      </c>
      <c r="AC38" s="3" t="str">
        <f t="shared" si="0"/>
        <v>Loose</v>
      </c>
    </row>
    <row r="39" spans="1:29" x14ac:dyDescent="0.25">
      <c r="A39" s="1" t="s">
        <v>132</v>
      </c>
      <c r="B39" s="2" t="s">
        <v>29</v>
      </c>
      <c r="C39" s="2"/>
      <c r="D39" s="2"/>
      <c r="E39" s="2" t="s">
        <v>64</v>
      </c>
      <c r="F39" s="2">
        <v>1</v>
      </c>
      <c r="G39" s="2">
        <v>0.11</v>
      </c>
      <c r="H39" s="2" t="s">
        <v>43</v>
      </c>
      <c r="I39" s="2" t="s">
        <v>39</v>
      </c>
      <c r="J39" s="2" t="s">
        <v>33</v>
      </c>
      <c r="K39" s="2"/>
      <c r="L39" s="2"/>
      <c r="M39" s="2"/>
      <c r="N39" s="2"/>
      <c r="O39" s="2" t="s">
        <v>34</v>
      </c>
      <c r="P39" s="2"/>
      <c r="Q39" s="2"/>
      <c r="R39" s="2">
        <v>700</v>
      </c>
      <c r="S39" s="2">
        <v>77</v>
      </c>
      <c r="T39" s="13" t="str">
        <f t="shared" si="1"/>
        <v>BAG5041</v>
      </c>
      <c r="U39" s="2" t="s">
        <v>133</v>
      </c>
      <c r="V39" s="2"/>
      <c r="W39" s="2">
        <v>1.99</v>
      </c>
      <c r="X39" s="2">
        <v>3.88</v>
      </c>
      <c r="Y39" s="2">
        <v>1.45</v>
      </c>
      <c r="Z39" s="2">
        <v>0</v>
      </c>
      <c r="AA39" s="2">
        <v>0</v>
      </c>
      <c r="AB39" s="2">
        <v>0.51</v>
      </c>
      <c r="AC39" s="3" t="str">
        <f t="shared" si="0"/>
        <v>Loose</v>
      </c>
    </row>
    <row r="40" spans="1:29" x14ac:dyDescent="0.25">
      <c r="A40" s="1" t="s">
        <v>134</v>
      </c>
      <c r="B40" s="2" t="s">
        <v>29</v>
      </c>
      <c r="C40" s="2"/>
      <c r="D40" s="2"/>
      <c r="E40" s="2" t="s">
        <v>64</v>
      </c>
      <c r="F40" s="2">
        <v>1</v>
      </c>
      <c r="G40" s="2">
        <v>0.13</v>
      </c>
      <c r="H40" s="2" t="s">
        <v>38</v>
      </c>
      <c r="I40" s="2" t="s">
        <v>39</v>
      </c>
      <c r="J40" s="2" t="s">
        <v>33</v>
      </c>
      <c r="K40" s="2"/>
      <c r="L40" s="2"/>
      <c r="M40" s="2"/>
      <c r="N40" s="2"/>
      <c r="O40" s="2" t="s">
        <v>34</v>
      </c>
      <c r="P40" s="2"/>
      <c r="Q40" s="2"/>
      <c r="R40" s="2">
        <v>600</v>
      </c>
      <c r="S40" s="2">
        <v>78</v>
      </c>
      <c r="T40" s="13" t="str">
        <f t="shared" si="1"/>
        <v>BAG5042</v>
      </c>
      <c r="U40" s="2" t="s">
        <v>135</v>
      </c>
      <c r="V40" s="2"/>
      <c r="W40" s="2">
        <v>2.12</v>
      </c>
      <c r="X40" s="2">
        <v>3.65</v>
      </c>
      <c r="Y40" s="2">
        <v>1.64</v>
      </c>
      <c r="Z40" s="2">
        <v>0</v>
      </c>
      <c r="AA40" s="2">
        <v>0</v>
      </c>
      <c r="AB40" s="2">
        <v>0.57999999999999996</v>
      </c>
      <c r="AC40" s="3" t="str">
        <f t="shared" si="0"/>
        <v>Loose</v>
      </c>
    </row>
    <row r="41" spans="1:29" x14ac:dyDescent="0.25">
      <c r="A41" s="1" t="s">
        <v>136</v>
      </c>
      <c r="B41" s="2" t="s">
        <v>29</v>
      </c>
      <c r="C41" s="2"/>
      <c r="D41" s="2"/>
      <c r="E41" s="2" t="s">
        <v>64</v>
      </c>
      <c r="F41" s="2">
        <v>1</v>
      </c>
      <c r="G41" s="2">
        <v>0.15</v>
      </c>
      <c r="H41" s="2" t="s">
        <v>137</v>
      </c>
      <c r="I41" s="2" t="s">
        <v>57</v>
      </c>
      <c r="J41" s="2" t="s">
        <v>33</v>
      </c>
      <c r="K41" s="2"/>
      <c r="L41" s="2"/>
      <c r="M41" s="2"/>
      <c r="N41" s="2"/>
      <c r="O41" s="2" t="s">
        <v>70</v>
      </c>
      <c r="P41" s="2"/>
      <c r="Q41" s="2"/>
      <c r="R41" s="2">
        <v>600</v>
      </c>
      <c r="S41" s="2">
        <v>90</v>
      </c>
      <c r="T41" s="13" t="str">
        <f t="shared" si="1"/>
        <v>BAG5046</v>
      </c>
      <c r="U41" s="2" t="s">
        <v>138</v>
      </c>
      <c r="V41" s="2"/>
      <c r="W41" s="2">
        <v>2.23</v>
      </c>
      <c r="X41" s="2">
        <v>3.76</v>
      </c>
      <c r="Y41" s="2">
        <v>1.8</v>
      </c>
      <c r="Z41" s="2">
        <v>0</v>
      </c>
      <c r="AA41" s="2">
        <v>0</v>
      </c>
      <c r="AB41" s="2">
        <v>0.59</v>
      </c>
      <c r="AC41" s="3" t="str">
        <f t="shared" si="0"/>
        <v>Loose</v>
      </c>
    </row>
    <row r="42" spans="1:29" x14ac:dyDescent="0.25">
      <c r="A42" s="1" t="s">
        <v>139</v>
      </c>
      <c r="B42" s="2" t="s">
        <v>29</v>
      </c>
      <c r="C42" s="2"/>
      <c r="D42" s="2"/>
      <c r="E42" s="2" t="s">
        <v>64</v>
      </c>
      <c r="F42" s="2">
        <v>1</v>
      </c>
      <c r="G42" s="2">
        <v>0.12</v>
      </c>
      <c r="H42" s="2" t="s">
        <v>38</v>
      </c>
      <c r="I42" s="2" t="s">
        <v>68</v>
      </c>
      <c r="J42" s="2" t="s">
        <v>33</v>
      </c>
      <c r="K42" s="2"/>
      <c r="L42" s="2"/>
      <c r="M42" s="2"/>
      <c r="N42" s="2"/>
      <c r="O42" s="2" t="s">
        <v>34</v>
      </c>
      <c r="P42" s="2"/>
      <c r="Q42" s="2"/>
      <c r="R42" s="2">
        <v>700</v>
      </c>
      <c r="S42" s="2">
        <v>84</v>
      </c>
      <c r="T42" s="13" t="str">
        <f t="shared" si="1"/>
        <v>BAG5049</v>
      </c>
      <c r="U42" s="2" t="s">
        <v>140</v>
      </c>
      <c r="V42" s="2"/>
      <c r="W42" s="2">
        <v>1.84</v>
      </c>
      <c r="X42" s="2">
        <v>3.88</v>
      </c>
      <c r="Y42" s="2">
        <v>1.62</v>
      </c>
      <c r="Z42" s="2">
        <v>0</v>
      </c>
      <c r="AA42" s="2">
        <v>0</v>
      </c>
      <c r="AB42" s="2">
        <v>0.47</v>
      </c>
      <c r="AC42" s="3" t="str">
        <f t="shared" si="0"/>
        <v>Loose</v>
      </c>
    </row>
    <row r="43" spans="1:29" x14ac:dyDescent="0.25">
      <c r="A43" s="1" t="s">
        <v>141</v>
      </c>
      <c r="B43" s="2" t="s">
        <v>29</v>
      </c>
      <c r="C43" s="2"/>
      <c r="D43" s="2"/>
      <c r="E43" s="2" t="s">
        <v>64</v>
      </c>
      <c r="F43" s="2">
        <v>1</v>
      </c>
      <c r="G43" s="2">
        <v>0.12</v>
      </c>
      <c r="H43" s="2" t="s">
        <v>43</v>
      </c>
      <c r="I43" s="2" t="s">
        <v>57</v>
      </c>
      <c r="J43" s="2" t="s">
        <v>33</v>
      </c>
      <c r="K43" s="2"/>
      <c r="L43" s="2"/>
      <c r="M43" s="2"/>
      <c r="N43" s="2"/>
      <c r="O43" s="2" t="s">
        <v>34</v>
      </c>
      <c r="P43" s="2"/>
      <c r="Q43" s="2"/>
      <c r="R43" s="2">
        <v>700</v>
      </c>
      <c r="S43" s="2">
        <v>84</v>
      </c>
      <c r="T43" s="13" t="str">
        <f t="shared" si="1"/>
        <v>BAG5050</v>
      </c>
      <c r="U43" s="2" t="s">
        <v>142</v>
      </c>
      <c r="V43" s="2"/>
      <c r="W43" s="2">
        <v>2.14</v>
      </c>
      <c r="X43" s="2">
        <v>3.71</v>
      </c>
      <c r="Y43" s="2">
        <v>1.62</v>
      </c>
      <c r="Z43" s="2">
        <v>0</v>
      </c>
      <c r="AA43" s="2">
        <v>0</v>
      </c>
      <c r="AB43" s="2">
        <v>0.57999999999999996</v>
      </c>
      <c r="AC43" s="3" t="str">
        <f t="shared" si="0"/>
        <v>Loose</v>
      </c>
    </row>
    <row r="44" spans="1:29" x14ac:dyDescent="0.25">
      <c r="A44" s="1" t="s">
        <v>143</v>
      </c>
      <c r="B44" s="2" t="s">
        <v>29</v>
      </c>
      <c r="C44" s="2"/>
      <c r="D44" s="2"/>
      <c r="E44" s="2" t="s">
        <v>64</v>
      </c>
      <c r="F44" s="2">
        <v>1</v>
      </c>
      <c r="G44" s="2">
        <v>0.15</v>
      </c>
      <c r="H44" s="2" t="s">
        <v>43</v>
      </c>
      <c r="I44" s="2" t="s">
        <v>53</v>
      </c>
      <c r="J44" s="2" t="s">
        <v>33</v>
      </c>
      <c r="K44" s="2"/>
      <c r="L44" s="2"/>
      <c r="M44" s="2"/>
      <c r="N44" s="2"/>
      <c r="O44" s="2" t="s">
        <v>34</v>
      </c>
      <c r="P44" s="2"/>
      <c r="Q44" s="2"/>
      <c r="R44" s="2">
        <v>700</v>
      </c>
      <c r="S44" s="2">
        <v>105</v>
      </c>
      <c r="T44" s="13" t="str">
        <f t="shared" si="1"/>
        <v>BAG5052</v>
      </c>
      <c r="U44" s="2" t="s">
        <v>144</v>
      </c>
      <c r="V44" s="2"/>
      <c r="W44" s="2">
        <v>2.33</v>
      </c>
      <c r="X44" s="2">
        <v>3.67</v>
      </c>
      <c r="Y44" s="2">
        <v>1.73</v>
      </c>
      <c r="Z44" s="2">
        <v>0</v>
      </c>
      <c r="AA44" s="2">
        <v>0</v>
      </c>
      <c r="AB44" s="2">
        <v>0.63</v>
      </c>
      <c r="AC44" s="3" t="str">
        <f t="shared" si="0"/>
        <v>Loose</v>
      </c>
    </row>
    <row r="45" spans="1:29" x14ac:dyDescent="0.25">
      <c r="A45" s="1" t="s">
        <v>145</v>
      </c>
      <c r="B45" s="2" t="s">
        <v>29</v>
      </c>
      <c r="C45" s="2"/>
      <c r="D45" s="2"/>
      <c r="E45" s="2" t="s">
        <v>64</v>
      </c>
      <c r="F45" s="2">
        <v>1</v>
      </c>
      <c r="G45" s="2">
        <v>0.12</v>
      </c>
      <c r="H45" s="2" t="s">
        <v>38</v>
      </c>
      <c r="I45" s="2" t="s">
        <v>57</v>
      </c>
      <c r="J45" s="2" t="s">
        <v>33</v>
      </c>
      <c r="K45" s="2"/>
      <c r="L45" s="2"/>
      <c r="M45" s="2"/>
      <c r="N45" s="2"/>
      <c r="O45" s="2" t="s">
        <v>34</v>
      </c>
      <c r="P45" s="2"/>
      <c r="Q45" s="2"/>
      <c r="R45" s="2">
        <v>600</v>
      </c>
      <c r="S45" s="2">
        <v>72</v>
      </c>
      <c r="T45" s="13" t="str">
        <f t="shared" si="1"/>
        <v>BAG5053</v>
      </c>
      <c r="U45" s="2" t="s">
        <v>146</v>
      </c>
      <c r="V45" s="2"/>
      <c r="W45" s="2">
        <v>2.31</v>
      </c>
      <c r="X45" s="2">
        <v>3.63</v>
      </c>
      <c r="Y45" s="2">
        <v>1.57</v>
      </c>
      <c r="Z45" s="2">
        <v>0</v>
      </c>
      <c r="AA45" s="2">
        <v>0</v>
      </c>
      <c r="AB45" s="2">
        <v>0.64</v>
      </c>
      <c r="AC45" s="3" t="str">
        <f t="shared" si="0"/>
        <v>Loose</v>
      </c>
    </row>
    <row r="46" spans="1:29" x14ac:dyDescent="0.25">
      <c r="A46" s="1" t="s">
        <v>147</v>
      </c>
      <c r="B46" s="2" t="s">
        <v>29</v>
      </c>
      <c r="C46" s="2"/>
      <c r="D46" s="2"/>
      <c r="E46" s="2" t="s">
        <v>64</v>
      </c>
      <c r="F46" s="2">
        <v>1</v>
      </c>
      <c r="G46" s="2">
        <v>0.17</v>
      </c>
      <c r="H46" s="2" t="s">
        <v>73</v>
      </c>
      <c r="I46" s="2" t="s">
        <v>148</v>
      </c>
      <c r="J46" s="2" t="s">
        <v>69</v>
      </c>
      <c r="K46" s="2"/>
      <c r="L46" s="2"/>
      <c r="M46" s="2"/>
      <c r="N46" s="2"/>
      <c r="O46" s="2" t="s">
        <v>70</v>
      </c>
      <c r="P46" s="2"/>
      <c r="Q46" s="2"/>
      <c r="R46" s="2">
        <v>150</v>
      </c>
      <c r="S46" s="2">
        <v>25.5</v>
      </c>
      <c r="T46" s="13" t="str">
        <f t="shared" si="1"/>
        <v>BAG6000</v>
      </c>
      <c r="U46" s="2" t="s">
        <v>149</v>
      </c>
      <c r="V46" s="2"/>
      <c r="W46" s="2">
        <v>2.7</v>
      </c>
      <c r="X46" s="2">
        <v>3.37</v>
      </c>
      <c r="Y46" s="2">
        <v>2.04</v>
      </c>
      <c r="Z46" s="2">
        <v>0</v>
      </c>
      <c r="AA46" s="2">
        <v>0</v>
      </c>
      <c r="AB46" s="2">
        <v>0.8</v>
      </c>
      <c r="AC46" s="3" t="str">
        <f t="shared" si="0"/>
        <v>Loose</v>
      </c>
    </row>
    <row r="47" spans="1:29" x14ac:dyDescent="0.25">
      <c r="A47" s="1" t="s">
        <v>150</v>
      </c>
      <c r="B47" s="2" t="s">
        <v>29</v>
      </c>
      <c r="C47" s="2"/>
      <c r="D47" s="2"/>
      <c r="E47" s="2" t="s">
        <v>64</v>
      </c>
      <c r="F47" s="2">
        <v>1</v>
      </c>
      <c r="G47" s="2">
        <v>0.18</v>
      </c>
      <c r="H47" s="2" t="s">
        <v>73</v>
      </c>
      <c r="I47" s="2" t="s">
        <v>151</v>
      </c>
      <c r="J47" s="2" t="s">
        <v>69</v>
      </c>
      <c r="K47" s="2"/>
      <c r="L47" s="2"/>
      <c r="M47" s="2"/>
      <c r="N47" s="2"/>
      <c r="O47" s="2" t="s">
        <v>70</v>
      </c>
      <c r="P47" s="2"/>
      <c r="Q47" s="2"/>
      <c r="R47" s="2">
        <v>400</v>
      </c>
      <c r="S47" s="2">
        <v>72</v>
      </c>
      <c r="T47" s="13" t="str">
        <f t="shared" si="1"/>
        <v>BAG6001</v>
      </c>
      <c r="U47" s="2" t="s">
        <v>152</v>
      </c>
      <c r="V47" s="2"/>
      <c r="W47" s="2">
        <v>2.65</v>
      </c>
      <c r="X47" s="2">
        <v>3.26</v>
      </c>
      <c r="Y47" s="2">
        <v>2.19</v>
      </c>
      <c r="Z47" s="2">
        <v>0</v>
      </c>
      <c r="AA47" s="2">
        <v>0</v>
      </c>
      <c r="AB47" s="2">
        <v>0.81</v>
      </c>
      <c r="AC47" s="3" t="str">
        <f t="shared" si="0"/>
        <v>Loose</v>
      </c>
    </row>
    <row r="48" spans="1:29" x14ac:dyDescent="0.25">
      <c r="A48" s="1" t="s">
        <v>153</v>
      </c>
      <c r="B48" s="2" t="s">
        <v>29</v>
      </c>
      <c r="C48" s="2"/>
      <c r="D48" s="2"/>
      <c r="E48" s="2" t="s">
        <v>64</v>
      </c>
      <c r="F48" s="2">
        <v>1</v>
      </c>
      <c r="G48" s="2">
        <v>0.1</v>
      </c>
      <c r="H48" s="2" t="s">
        <v>67</v>
      </c>
      <c r="I48" s="2" t="s">
        <v>151</v>
      </c>
      <c r="J48" s="2" t="s">
        <v>69</v>
      </c>
      <c r="K48" s="2"/>
      <c r="L48" s="2"/>
      <c r="M48" s="2"/>
      <c r="N48" s="2"/>
      <c r="O48" s="2" t="s">
        <v>70</v>
      </c>
      <c r="P48" s="2"/>
      <c r="Q48" s="2"/>
      <c r="R48" s="2">
        <v>252</v>
      </c>
      <c r="S48" s="2">
        <v>25.2</v>
      </c>
      <c r="T48" s="13" t="str">
        <f t="shared" si="1"/>
        <v>BAG6008</v>
      </c>
      <c r="U48" s="2" t="s">
        <v>154</v>
      </c>
      <c r="V48" s="2"/>
      <c r="W48" s="2">
        <v>1.99</v>
      </c>
      <c r="X48" s="2">
        <v>3.19</v>
      </c>
      <c r="Y48" s="2">
        <v>1.53</v>
      </c>
      <c r="Z48" s="2">
        <v>0</v>
      </c>
      <c r="AA48" s="2">
        <v>0</v>
      </c>
      <c r="AB48" s="2">
        <v>0.62</v>
      </c>
      <c r="AC48" s="3" t="str">
        <f t="shared" si="0"/>
        <v>Loose</v>
      </c>
    </row>
    <row r="49" spans="1:29" x14ac:dyDescent="0.25">
      <c r="A49" s="1" t="s">
        <v>155</v>
      </c>
      <c r="B49" s="2" t="s">
        <v>29</v>
      </c>
      <c r="C49" s="2"/>
      <c r="D49" s="2"/>
      <c r="E49" s="2" t="s">
        <v>64</v>
      </c>
      <c r="F49" s="2">
        <v>1</v>
      </c>
      <c r="G49" s="2">
        <v>0.12</v>
      </c>
      <c r="H49" s="2" t="s">
        <v>67</v>
      </c>
      <c r="I49" s="2" t="s">
        <v>151</v>
      </c>
      <c r="J49" s="2" t="s">
        <v>69</v>
      </c>
      <c r="K49" s="2"/>
      <c r="L49" s="2"/>
      <c r="M49" s="2"/>
      <c r="N49" s="2"/>
      <c r="O49" s="2" t="s">
        <v>34</v>
      </c>
      <c r="P49" s="2"/>
      <c r="Q49" s="2"/>
      <c r="R49" s="2">
        <v>200</v>
      </c>
      <c r="S49" s="2">
        <v>24</v>
      </c>
      <c r="T49" s="13" t="str">
        <f t="shared" si="1"/>
        <v>BAG6011</v>
      </c>
      <c r="U49" s="2" t="s">
        <v>156</v>
      </c>
      <c r="V49" s="2"/>
      <c r="W49" s="2">
        <v>2.36</v>
      </c>
      <c r="X49" s="2">
        <v>3.07</v>
      </c>
      <c r="Y49" s="2">
        <v>1.91</v>
      </c>
      <c r="Z49" s="2">
        <v>0</v>
      </c>
      <c r="AA49" s="2">
        <v>0</v>
      </c>
      <c r="AB49" s="2">
        <v>0.77</v>
      </c>
      <c r="AC49" s="3" t="str">
        <f t="shared" si="0"/>
        <v>Loose</v>
      </c>
    </row>
    <row r="50" spans="1:29" x14ac:dyDescent="0.25">
      <c r="A50" s="1" t="s">
        <v>157</v>
      </c>
      <c r="B50" s="2" t="s">
        <v>29</v>
      </c>
      <c r="C50" s="2"/>
      <c r="D50" s="2"/>
      <c r="E50" s="2" t="s">
        <v>64</v>
      </c>
      <c r="F50" s="2">
        <v>1</v>
      </c>
      <c r="G50" s="2">
        <v>0.12</v>
      </c>
      <c r="H50" s="2" t="s">
        <v>67</v>
      </c>
      <c r="I50" s="2" t="s">
        <v>32</v>
      </c>
      <c r="J50" s="2" t="s">
        <v>69</v>
      </c>
      <c r="K50" s="2"/>
      <c r="L50" s="2"/>
      <c r="M50" s="2"/>
      <c r="N50" s="2"/>
      <c r="O50" s="2" t="s">
        <v>34</v>
      </c>
      <c r="P50" s="2"/>
      <c r="Q50" s="2"/>
      <c r="R50" s="2">
        <v>300</v>
      </c>
      <c r="S50" s="2">
        <v>36</v>
      </c>
      <c r="T50" s="13" t="str">
        <f t="shared" si="1"/>
        <v>BAG6012</v>
      </c>
      <c r="U50" s="2" t="s">
        <v>158</v>
      </c>
      <c r="V50" s="2"/>
      <c r="W50" s="2">
        <v>2.34</v>
      </c>
      <c r="X50" s="2">
        <v>3.32</v>
      </c>
      <c r="Y50" s="2">
        <v>1.79</v>
      </c>
      <c r="Z50" s="2">
        <v>0</v>
      </c>
      <c r="AA50" s="2">
        <v>0</v>
      </c>
      <c r="AB50" s="2">
        <v>0.7</v>
      </c>
      <c r="AC50" s="3" t="str">
        <f t="shared" si="0"/>
        <v>Loose</v>
      </c>
    </row>
    <row r="51" spans="1:29" x14ac:dyDescent="0.25">
      <c r="A51" s="1" t="s">
        <v>159</v>
      </c>
      <c r="B51" s="2" t="s">
        <v>29</v>
      </c>
      <c r="C51" s="2"/>
      <c r="D51" s="2"/>
      <c r="E51" s="2" t="s">
        <v>64</v>
      </c>
      <c r="F51" s="2">
        <v>1</v>
      </c>
      <c r="G51" s="2">
        <v>0.1</v>
      </c>
      <c r="H51" s="2" t="s">
        <v>67</v>
      </c>
      <c r="I51" s="2" t="s">
        <v>50</v>
      </c>
      <c r="J51" s="2" t="s">
        <v>69</v>
      </c>
      <c r="K51" s="2"/>
      <c r="L51" s="2"/>
      <c r="M51" s="2"/>
      <c r="N51" s="2"/>
      <c r="O51" s="2" t="s">
        <v>70</v>
      </c>
      <c r="P51" s="2"/>
      <c r="Q51" s="2"/>
      <c r="R51" s="2">
        <v>252</v>
      </c>
      <c r="S51" s="2">
        <v>25.2</v>
      </c>
      <c r="T51" s="13" t="str">
        <f t="shared" si="1"/>
        <v>BAG6013</v>
      </c>
      <c r="U51" s="2" t="s">
        <v>160</v>
      </c>
      <c r="V51" s="2"/>
      <c r="W51" s="2">
        <v>1.92</v>
      </c>
      <c r="X51" s="2">
        <v>3.3</v>
      </c>
      <c r="Y51" s="2">
        <v>1.73</v>
      </c>
      <c r="Z51" s="2">
        <v>0</v>
      </c>
      <c r="AA51" s="2">
        <v>0</v>
      </c>
      <c r="AB51" s="2">
        <v>0.57999999999999996</v>
      </c>
      <c r="AC51" s="3" t="str">
        <f t="shared" si="0"/>
        <v>Loose</v>
      </c>
    </row>
    <row r="52" spans="1:29" x14ac:dyDescent="0.25">
      <c r="A52" s="1" t="s">
        <v>161</v>
      </c>
      <c r="B52" s="2" t="s">
        <v>29</v>
      </c>
      <c r="C52" s="2"/>
      <c r="D52" s="2"/>
      <c r="E52" s="2" t="s">
        <v>64</v>
      </c>
      <c r="F52" s="2">
        <v>1</v>
      </c>
      <c r="G52" s="2">
        <v>0.14000000000000001</v>
      </c>
      <c r="H52" s="2" t="s">
        <v>73</v>
      </c>
      <c r="I52" s="2" t="s">
        <v>50</v>
      </c>
      <c r="J52" s="2" t="s">
        <v>33</v>
      </c>
      <c r="K52" s="2"/>
      <c r="L52" s="2"/>
      <c r="M52" s="2"/>
      <c r="N52" s="2"/>
      <c r="O52" s="2" t="s">
        <v>34</v>
      </c>
      <c r="P52" s="2"/>
      <c r="Q52" s="2"/>
      <c r="R52" s="2">
        <v>300</v>
      </c>
      <c r="S52" s="2">
        <v>42</v>
      </c>
      <c r="T52" s="13" t="str">
        <f t="shared" si="1"/>
        <v>BAG6014</v>
      </c>
      <c r="U52" s="2" t="s">
        <v>162</v>
      </c>
      <c r="V52" s="2"/>
      <c r="W52" s="2">
        <v>2.5499999999999998</v>
      </c>
      <c r="X52" s="2">
        <v>3.2</v>
      </c>
      <c r="Y52" s="2">
        <v>1.97</v>
      </c>
      <c r="Z52" s="2">
        <v>0</v>
      </c>
      <c r="AA52" s="2">
        <v>0</v>
      </c>
      <c r="AB52" s="2">
        <v>0.8</v>
      </c>
      <c r="AC52" s="3" t="str">
        <f t="shared" si="0"/>
        <v>Loose</v>
      </c>
    </row>
    <row r="53" spans="1:29" x14ac:dyDescent="0.25">
      <c r="A53" s="1" t="s">
        <v>163</v>
      </c>
      <c r="B53" s="2" t="s">
        <v>29</v>
      </c>
      <c r="C53" s="2"/>
      <c r="D53" s="2"/>
      <c r="E53" s="2" t="s">
        <v>64</v>
      </c>
      <c r="F53" s="2">
        <v>1</v>
      </c>
      <c r="G53" s="2">
        <v>0.11</v>
      </c>
      <c r="H53" s="2" t="s">
        <v>67</v>
      </c>
      <c r="I53" s="2" t="s">
        <v>151</v>
      </c>
      <c r="J53" s="2" t="s">
        <v>69</v>
      </c>
      <c r="K53" s="2"/>
      <c r="L53" s="2"/>
      <c r="M53" s="2"/>
      <c r="N53" s="2"/>
      <c r="O53" s="2" t="s">
        <v>34</v>
      </c>
      <c r="P53" s="2"/>
      <c r="Q53" s="2"/>
      <c r="R53" s="2">
        <v>300</v>
      </c>
      <c r="S53" s="2">
        <v>33</v>
      </c>
      <c r="T53" s="13" t="str">
        <f t="shared" si="1"/>
        <v>BAG6017</v>
      </c>
      <c r="U53" s="2" t="s">
        <v>164</v>
      </c>
      <c r="V53" s="2"/>
      <c r="W53" s="2">
        <v>1.94</v>
      </c>
      <c r="X53" s="2">
        <v>3.39</v>
      </c>
      <c r="Y53" s="2">
        <v>1.57</v>
      </c>
      <c r="Z53" s="2">
        <v>0</v>
      </c>
      <c r="AA53" s="2">
        <v>0</v>
      </c>
      <c r="AB53" s="2">
        <v>0.56999999999999995</v>
      </c>
      <c r="AC53" s="3" t="str">
        <f t="shared" si="0"/>
        <v>Loose</v>
      </c>
    </row>
    <row r="54" spans="1:29" x14ac:dyDescent="0.25">
      <c r="A54" s="1" t="s">
        <v>165</v>
      </c>
      <c r="B54" s="2" t="s">
        <v>29</v>
      </c>
      <c r="C54" s="2"/>
      <c r="D54" s="2"/>
      <c r="E54" s="2" t="s">
        <v>64</v>
      </c>
      <c r="F54" s="2">
        <v>1</v>
      </c>
      <c r="G54" s="2">
        <v>0.1</v>
      </c>
      <c r="H54" s="2" t="s">
        <v>76</v>
      </c>
      <c r="I54" s="2" t="s">
        <v>166</v>
      </c>
      <c r="J54" s="2" t="s">
        <v>33</v>
      </c>
      <c r="K54" s="2"/>
      <c r="L54" s="2"/>
      <c r="M54" s="2"/>
      <c r="N54" s="2"/>
      <c r="O54" s="2" t="s">
        <v>34</v>
      </c>
      <c r="P54" s="2"/>
      <c r="Q54" s="2"/>
      <c r="R54" s="2">
        <v>252</v>
      </c>
      <c r="S54" s="2">
        <v>25.2</v>
      </c>
      <c r="T54" s="13" t="str">
        <f t="shared" si="1"/>
        <v>BAG6018</v>
      </c>
      <c r="U54" s="2" t="s">
        <v>167</v>
      </c>
      <c r="V54" s="2"/>
      <c r="W54" s="2">
        <v>1.92</v>
      </c>
      <c r="X54" s="2">
        <v>3.27</v>
      </c>
      <c r="Y54" s="2">
        <v>1.45</v>
      </c>
      <c r="Z54" s="2">
        <v>0</v>
      </c>
      <c r="AA54" s="2">
        <v>0</v>
      </c>
      <c r="AB54" s="2">
        <v>0.59</v>
      </c>
      <c r="AC54" s="3" t="str">
        <f t="shared" si="0"/>
        <v>Loose</v>
      </c>
    </row>
    <row r="55" spans="1:29" x14ac:dyDescent="0.25">
      <c r="A55" s="1" t="s">
        <v>168</v>
      </c>
      <c r="B55" s="2" t="s">
        <v>29</v>
      </c>
      <c r="C55" s="2"/>
      <c r="D55" s="2"/>
      <c r="E55" s="2" t="s">
        <v>64</v>
      </c>
      <c r="F55" s="2">
        <v>1</v>
      </c>
      <c r="G55" s="2">
        <v>0.12</v>
      </c>
      <c r="H55" s="2" t="s">
        <v>73</v>
      </c>
      <c r="I55" s="2" t="s">
        <v>151</v>
      </c>
      <c r="J55" s="2" t="s">
        <v>69</v>
      </c>
      <c r="K55" s="2"/>
      <c r="L55" s="2"/>
      <c r="M55" s="2"/>
      <c r="N55" s="2"/>
      <c r="O55" s="2" t="s">
        <v>34</v>
      </c>
      <c r="P55" s="2"/>
      <c r="Q55" s="2"/>
      <c r="R55" s="2">
        <v>250</v>
      </c>
      <c r="S55" s="2">
        <v>30</v>
      </c>
      <c r="T55" s="13" t="str">
        <f t="shared" si="1"/>
        <v>BAG6021</v>
      </c>
      <c r="U55" s="2" t="s">
        <v>169</v>
      </c>
      <c r="V55" s="2"/>
      <c r="W55" s="2">
        <v>2.09</v>
      </c>
      <c r="X55" s="2">
        <v>3.59</v>
      </c>
      <c r="Y55" s="2">
        <v>1.55</v>
      </c>
      <c r="Z55" s="2">
        <v>0</v>
      </c>
      <c r="AA55" s="2">
        <v>0</v>
      </c>
      <c r="AB55" s="2">
        <v>0.57999999999999996</v>
      </c>
      <c r="AC55" s="3" t="str">
        <f t="shared" si="0"/>
        <v>Loose</v>
      </c>
    </row>
    <row r="56" spans="1:29" x14ac:dyDescent="0.25">
      <c r="A56" s="1" t="s">
        <v>170</v>
      </c>
      <c r="B56" s="2" t="s">
        <v>29</v>
      </c>
      <c r="C56" s="2"/>
      <c r="D56" s="2"/>
      <c r="E56" s="2" t="s">
        <v>64</v>
      </c>
      <c r="F56" s="2">
        <v>1</v>
      </c>
      <c r="G56" s="2">
        <v>0.12</v>
      </c>
      <c r="H56" s="2" t="s">
        <v>73</v>
      </c>
      <c r="I56" s="2" t="s">
        <v>148</v>
      </c>
      <c r="J56" s="2" t="s">
        <v>69</v>
      </c>
      <c r="K56" s="2"/>
      <c r="L56" s="2"/>
      <c r="M56" s="2"/>
      <c r="N56" s="2"/>
      <c r="O56" s="2" t="s">
        <v>70</v>
      </c>
      <c r="P56" s="2"/>
      <c r="Q56" s="2"/>
      <c r="R56" s="2">
        <v>100</v>
      </c>
      <c r="S56" s="2">
        <v>12</v>
      </c>
      <c r="T56" s="13" t="str">
        <f t="shared" si="1"/>
        <v>BAG6023</v>
      </c>
      <c r="U56" s="2" t="s">
        <v>171</v>
      </c>
      <c r="V56" s="2"/>
      <c r="W56" s="2">
        <v>2.02</v>
      </c>
      <c r="X56" s="2">
        <v>3.66</v>
      </c>
      <c r="Y56" s="2">
        <v>1.55</v>
      </c>
      <c r="Z56" s="2">
        <v>0</v>
      </c>
      <c r="AA56" s="2">
        <v>0</v>
      </c>
      <c r="AB56" s="2">
        <v>0.55000000000000004</v>
      </c>
      <c r="AC56" s="3" t="str">
        <f t="shared" si="0"/>
        <v>Loose</v>
      </c>
    </row>
    <row r="57" spans="1:29" x14ac:dyDescent="0.25">
      <c r="A57" s="1" t="s">
        <v>172</v>
      </c>
      <c r="B57" s="2" t="s">
        <v>29</v>
      </c>
      <c r="C57" s="2"/>
      <c r="D57" s="2"/>
      <c r="E57" s="2" t="s">
        <v>64</v>
      </c>
      <c r="F57" s="2">
        <v>1</v>
      </c>
      <c r="G57" s="2">
        <v>0.1</v>
      </c>
      <c r="H57" s="2" t="s">
        <v>73</v>
      </c>
      <c r="I57" s="2" t="s">
        <v>151</v>
      </c>
      <c r="J57" s="2" t="s">
        <v>69</v>
      </c>
      <c r="K57" s="2"/>
      <c r="L57" s="2"/>
      <c r="M57" s="2"/>
      <c r="N57" s="2"/>
      <c r="O57" s="2" t="s">
        <v>34</v>
      </c>
      <c r="P57" s="2"/>
      <c r="Q57" s="2"/>
      <c r="R57" s="2">
        <v>252</v>
      </c>
      <c r="S57" s="2">
        <v>25.2</v>
      </c>
      <c r="T57" s="13" t="str">
        <f t="shared" si="1"/>
        <v>BAG6025</v>
      </c>
      <c r="U57" s="2" t="s">
        <v>173</v>
      </c>
      <c r="V57" s="2"/>
      <c r="W57" s="2">
        <v>1.9</v>
      </c>
      <c r="X57" s="2">
        <v>3.46</v>
      </c>
      <c r="Y57" s="2">
        <v>1.42</v>
      </c>
      <c r="Z57" s="2">
        <v>0</v>
      </c>
      <c r="AA57" s="2">
        <v>0</v>
      </c>
      <c r="AB57" s="2">
        <v>0.55000000000000004</v>
      </c>
      <c r="AC57" s="3" t="str">
        <f t="shared" si="0"/>
        <v>Loose</v>
      </c>
    </row>
    <row r="58" spans="1:29" x14ac:dyDescent="0.25">
      <c r="A58" s="1" t="s">
        <v>174</v>
      </c>
      <c r="B58" s="2" t="s">
        <v>29</v>
      </c>
      <c r="C58" s="2"/>
      <c r="D58" s="2"/>
      <c r="E58" s="2" t="s">
        <v>64</v>
      </c>
      <c r="F58" s="2">
        <v>1</v>
      </c>
      <c r="G58" s="2">
        <v>0.1</v>
      </c>
      <c r="H58" s="2" t="s">
        <v>73</v>
      </c>
      <c r="I58" s="2" t="s">
        <v>175</v>
      </c>
      <c r="J58" s="2" t="s">
        <v>69</v>
      </c>
      <c r="K58" s="2"/>
      <c r="L58" s="2"/>
      <c r="M58" s="2"/>
      <c r="N58" s="2"/>
      <c r="O58" s="2" t="s">
        <v>34</v>
      </c>
      <c r="P58" s="2"/>
      <c r="Q58" s="2"/>
      <c r="R58" s="2">
        <v>252</v>
      </c>
      <c r="S58" s="2">
        <v>25.2</v>
      </c>
      <c r="T58" s="13" t="str">
        <f t="shared" si="1"/>
        <v>BAG6026</v>
      </c>
      <c r="U58" s="2" t="s">
        <v>176</v>
      </c>
      <c r="V58" s="2"/>
      <c r="W58" s="2">
        <v>2.02</v>
      </c>
      <c r="X58" s="2">
        <v>3.48</v>
      </c>
      <c r="Y58" s="2">
        <v>1.56</v>
      </c>
      <c r="Z58" s="2">
        <v>0</v>
      </c>
      <c r="AA58" s="2">
        <v>0</v>
      </c>
      <c r="AB58" s="2">
        <v>0.57999999999999996</v>
      </c>
      <c r="AC58" s="3" t="str">
        <f t="shared" si="0"/>
        <v>Loose</v>
      </c>
    </row>
    <row r="59" spans="1:29" x14ac:dyDescent="0.25">
      <c r="A59" s="1" t="s">
        <v>177</v>
      </c>
      <c r="B59" s="2" t="s">
        <v>29</v>
      </c>
      <c r="C59" s="2"/>
      <c r="D59" s="2"/>
      <c r="E59" s="2" t="s">
        <v>64</v>
      </c>
      <c r="F59" s="2">
        <v>1</v>
      </c>
      <c r="G59" s="2">
        <v>0.11</v>
      </c>
      <c r="H59" s="2" t="s">
        <v>73</v>
      </c>
      <c r="I59" s="2" t="s">
        <v>175</v>
      </c>
      <c r="J59" s="2" t="s">
        <v>69</v>
      </c>
      <c r="K59" s="2"/>
      <c r="L59" s="2"/>
      <c r="M59" s="2"/>
      <c r="N59" s="2"/>
      <c r="O59" s="2" t="s">
        <v>34</v>
      </c>
      <c r="P59" s="2"/>
      <c r="Q59" s="2"/>
      <c r="R59" s="2">
        <v>250</v>
      </c>
      <c r="S59" s="2">
        <v>27.5</v>
      </c>
      <c r="T59" s="13" t="str">
        <f t="shared" si="1"/>
        <v>BAG6027</v>
      </c>
      <c r="U59" s="2" t="s">
        <v>178</v>
      </c>
      <c r="V59" s="2"/>
      <c r="W59" s="2">
        <v>2.1</v>
      </c>
      <c r="X59" s="2">
        <v>3.3</v>
      </c>
      <c r="Y59" s="2">
        <v>1.61</v>
      </c>
      <c r="Z59" s="2">
        <v>0</v>
      </c>
      <c r="AA59" s="2">
        <v>0</v>
      </c>
      <c r="AB59" s="2">
        <v>0.64</v>
      </c>
      <c r="AC59" s="3" t="str">
        <f t="shared" si="0"/>
        <v>Loose</v>
      </c>
    </row>
    <row r="60" spans="1:29" x14ac:dyDescent="0.25">
      <c r="A60" s="1" t="s">
        <v>179</v>
      </c>
      <c r="B60" s="2" t="s">
        <v>29</v>
      </c>
      <c r="C60" s="2"/>
      <c r="D60" s="2"/>
      <c r="E60" s="2" t="s">
        <v>64</v>
      </c>
      <c r="F60" s="2">
        <v>1</v>
      </c>
      <c r="G60" s="2">
        <v>0.13</v>
      </c>
      <c r="H60" s="2" t="s">
        <v>73</v>
      </c>
      <c r="I60" s="2" t="s">
        <v>151</v>
      </c>
      <c r="J60" s="2" t="s">
        <v>69</v>
      </c>
      <c r="K60" s="2"/>
      <c r="L60" s="2"/>
      <c r="M60" s="2"/>
      <c r="N60" s="2"/>
      <c r="O60" s="2" t="s">
        <v>70</v>
      </c>
      <c r="P60" s="2"/>
      <c r="Q60" s="2"/>
      <c r="R60" s="2">
        <v>300</v>
      </c>
      <c r="S60" s="2">
        <v>39</v>
      </c>
      <c r="T60" s="13" t="str">
        <f t="shared" si="1"/>
        <v>BAG6028</v>
      </c>
      <c r="U60" s="2" t="s">
        <v>180</v>
      </c>
      <c r="V60" s="2"/>
      <c r="W60" s="2">
        <v>2.42</v>
      </c>
      <c r="X60" s="2">
        <v>3.28</v>
      </c>
      <c r="Y60" s="2">
        <v>1.68</v>
      </c>
      <c r="Z60" s="2">
        <v>0</v>
      </c>
      <c r="AA60" s="2">
        <v>0</v>
      </c>
      <c r="AB60" s="2">
        <v>0.74</v>
      </c>
      <c r="AC60" s="3" t="str">
        <f t="shared" si="0"/>
        <v>Loose</v>
      </c>
    </row>
    <row r="61" spans="1:29" x14ac:dyDescent="0.25">
      <c r="A61" s="1" t="s">
        <v>181</v>
      </c>
      <c r="B61" s="2" t="s">
        <v>29</v>
      </c>
      <c r="C61" s="2"/>
      <c r="D61" s="2"/>
      <c r="E61" s="2" t="s">
        <v>64</v>
      </c>
      <c r="F61" s="2">
        <v>1</v>
      </c>
      <c r="G61" s="2">
        <v>0.12</v>
      </c>
      <c r="H61" s="2" t="s">
        <v>73</v>
      </c>
      <c r="I61" s="2" t="s">
        <v>175</v>
      </c>
      <c r="J61" s="2" t="s">
        <v>69</v>
      </c>
      <c r="K61" s="2"/>
      <c r="L61" s="2"/>
      <c r="M61" s="2"/>
      <c r="N61" s="2"/>
      <c r="O61" s="2" t="s">
        <v>70</v>
      </c>
      <c r="P61" s="2"/>
      <c r="Q61" s="2"/>
      <c r="R61" s="2">
        <v>120</v>
      </c>
      <c r="S61" s="2">
        <v>14.4</v>
      </c>
      <c r="T61" s="13" t="str">
        <f t="shared" si="1"/>
        <v>BAG6029</v>
      </c>
      <c r="U61" s="2" t="s">
        <v>182</v>
      </c>
      <c r="V61" s="2"/>
      <c r="W61" s="2">
        <v>2.02</v>
      </c>
      <c r="X61" s="2">
        <v>3.31</v>
      </c>
      <c r="Y61" s="2">
        <v>1.69</v>
      </c>
      <c r="Z61" s="2">
        <v>0</v>
      </c>
      <c r="AA61" s="2">
        <v>0</v>
      </c>
      <c r="AB61" s="2">
        <v>0.61</v>
      </c>
      <c r="AC61" s="3" t="str">
        <f t="shared" si="0"/>
        <v>Loose</v>
      </c>
    </row>
    <row r="62" spans="1:29" x14ac:dyDescent="0.25">
      <c r="A62" s="1" t="s">
        <v>183</v>
      </c>
      <c r="B62" s="2" t="s">
        <v>29</v>
      </c>
      <c r="C62" s="2"/>
      <c r="D62" s="2"/>
      <c r="E62" s="2" t="s">
        <v>64</v>
      </c>
      <c r="F62" s="2">
        <v>1</v>
      </c>
      <c r="G62" s="2">
        <v>0.1</v>
      </c>
      <c r="H62" s="2" t="s">
        <v>67</v>
      </c>
      <c r="I62" s="2" t="s">
        <v>175</v>
      </c>
      <c r="J62" s="2" t="s">
        <v>69</v>
      </c>
      <c r="K62" s="2"/>
      <c r="L62" s="2"/>
      <c r="M62" s="2"/>
      <c r="N62" s="2"/>
      <c r="O62" s="2" t="s">
        <v>34</v>
      </c>
      <c r="P62" s="2"/>
      <c r="Q62" s="2"/>
      <c r="R62" s="2">
        <v>252</v>
      </c>
      <c r="S62" s="2">
        <v>25.2</v>
      </c>
      <c r="T62" s="13" t="str">
        <f t="shared" si="1"/>
        <v>BAG6032</v>
      </c>
      <c r="U62" s="2" t="s">
        <v>184</v>
      </c>
      <c r="V62" s="2"/>
      <c r="W62" s="2">
        <v>1.96</v>
      </c>
      <c r="X62" s="2">
        <v>3.21</v>
      </c>
      <c r="Y62" s="2">
        <v>1.71</v>
      </c>
      <c r="Z62" s="2">
        <v>0</v>
      </c>
      <c r="AA62" s="2">
        <v>0</v>
      </c>
      <c r="AB62" s="2">
        <v>0.61</v>
      </c>
      <c r="AC62" s="3" t="str">
        <f t="shared" si="0"/>
        <v>Loose</v>
      </c>
    </row>
    <row r="63" spans="1:29" x14ac:dyDescent="0.25">
      <c r="A63" s="1" t="s">
        <v>185</v>
      </c>
      <c r="B63" s="2" t="s">
        <v>29</v>
      </c>
      <c r="C63" s="2"/>
      <c r="D63" s="2"/>
      <c r="E63" s="2" t="s">
        <v>64</v>
      </c>
      <c r="F63" s="2">
        <v>1</v>
      </c>
      <c r="G63" s="2">
        <v>0.15</v>
      </c>
      <c r="H63" s="2" t="s">
        <v>73</v>
      </c>
      <c r="I63" s="2" t="s">
        <v>32</v>
      </c>
      <c r="J63" s="2" t="s">
        <v>33</v>
      </c>
      <c r="K63" s="2"/>
      <c r="L63" s="2"/>
      <c r="M63" s="2"/>
      <c r="N63" s="2"/>
      <c r="O63" s="2" t="s">
        <v>34</v>
      </c>
      <c r="P63" s="2"/>
      <c r="Q63" s="2"/>
      <c r="R63" s="2">
        <v>400</v>
      </c>
      <c r="S63" s="2">
        <v>60</v>
      </c>
      <c r="T63" s="13" t="str">
        <f t="shared" si="1"/>
        <v>BAG6034</v>
      </c>
      <c r="U63" s="2" t="s">
        <v>186</v>
      </c>
      <c r="V63" s="2"/>
      <c r="W63" s="2">
        <v>2.54</v>
      </c>
      <c r="X63" s="2">
        <v>3.24</v>
      </c>
      <c r="Y63" s="2">
        <v>1.99</v>
      </c>
      <c r="Z63" s="2">
        <v>0</v>
      </c>
      <c r="AA63" s="2">
        <v>0</v>
      </c>
      <c r="AB63" s="2">
        <v>0.78</v>
      </c>
      <c r="AC63" s="3" t="str">
        <f t="shared" si="0"/>
        <v>Loose</v>
      </c>
    </row>
    <row r="64" spans="1:29" x14ac:dyDescent="0.25">
      <c r="A64" s="1" t="s">
        <v>187</v>
      </c>
      <c r="B64" s="2" t="s">
        <v>29</v>
      </c>
      <c r="C64" s="2"/>
      <c r="D64" s="2"/>
      <c r="E64" s="2" t="s">
        <v>64</v>
      </c>
      <c r="F64" s="2">
        <v>1</v>
      </c>
      <c r="G64" s="2">
        <v>0.1</v>
      </c>
      <c r="H64" s="2" t="s">
        <v>67</v>
      </c>
      <c r="I64" s="2" t="s">
        <v>151</v>
      </c>
      <c r="J64" s="2" t="s">
        <v>69</v>
      </c>
      <c r="K64" s="2"/>
      <c r="L64" s="2"/>
      <c r="M64" s="2"/>
      <c r="N64" s="2"/>
      <c r="O64" s="2" t="s">
        <v>61</v>
      </c>
      <c r="P64" s="2"/>
      <c r="Q64" s="2"/>
      <c r="R64" s="2">
        <v>252</v>
      </c>
      <c r="S64" s="2">
        <v>25.2</v>
      </c>
      <c r="T64" s="13" t="str">
        <f t="shared" si="1"/>
        <v>BAG6036</v>
      </c>
      <c r="U64" s="2" t="s">
        <v>188</v>
      </c>
      <c r="V64" s="2"/>
      <c r="W64" s="2">
        <v>2.08</v>
      </c>
      <c r="X64" s="2">
        <v>3.05</v>
      </c>
      <c r="Y64" s="2">
        <v>1.76</v>
      </c>
      <c r="Z64" s="2">
        <v>0</v>
      </c>
      <c r="AA64" s="2">
        <v>0</v>
      </c>
      <c r="AB64" s="2">
        <v>0.68</v>
      </c>
      <c r="AC64" s="3" t="str">
        <f t="shared" si="0"/>
        <v>Loose</v>
      </c>
    </row>
    <row r="65" spans="1:29" x14ac:dyDescent="0.25">
      <c r="A65" s="1" t="s">
        <v>189</v>
      </c>
      <c r="B65" s="2" t="s">
        <v>29</v>
      </c>
      <c r="C65" s="2"/>
      <c r="D65" s="2"/>
      <c r="E65" s="2" t="s">
        <v>64</v>
      </c>
      <c r="F65" s="2">
        <v>1</v>
      </c>
      <c r="G65" s="2">
        <v>0.1</v>
      </c>
      <c r="H65" s="2" t="s">
        <v>73</v>
      </c>
      <c r="I65" s="2" t="s">
        <v>151</v>
      </c>
      <c r="J65" s="2" t="s">
        <v>69</v>
      </c>
      <c r="K65" s="2"/>
      <c r="L65" s="2"/>
      <c r="M65" s="2"/>
      <c r="N65" s="2"/>
      <c r="O65" s="2" t="s">
        <v>70</v>
      </c>
      <c r="P65" s="2"/>
      <c r="Q65" s="2"/>
      <c r="R65" s="2">
        <v>252</v>
      </c>
      <c r="S65" s="2">
        <v>25.2</v>
      </c>
      <c r="T65" s="13" t="str">
        <f t="shared" si="1"/>
        <v>BAG6037</v>
      </c>
      <c r="U65" s="2" t="s">
        <v>190</v>
      </c>
      <c r="V65" s="2"/>
      <c r="W65" s="2">
        <v>2.0299999999999998</v>
      </c>
      <c r="X65" s="2">
        <v>3.32</v>
      </c>
      <c r="Y65" s="2">
        <v>1.66</v>
      </c>
      <c r="Z65" s="2">
        <v>0</v>
      </c>
      <c r="AA65" s="2">
        <v>0</v>
      </c>
      <c r="AB65" s="2">
        <v>0.61</v>
      </c>
      <c r="AC65" s="3" t="str">
        <f t="shared" si="0"/>
        <v>Loose</v>
      </c>
    </row>
    <row r="66" spans="1:29" x14ac:dyDescent="0.25">
      <c r="A66" s="1" t="s">
        <v>191</v>
      </c>
      <c r="B66" s="2" t="s">
        <v>29</v>
      </c>
      <c r="C66" s="2"/>
      <c r="D66" s="2"/>
      <c r="E66" s="2" t="s">
        <v>64</v>
      </c>
      <c r="F66" s="2">
        <v>1</v>
      </c>
      <c r="G66" s="2">
        <v>0.13</v>
      </c>
      <c r="H66" s="2" t="s">
        <v>73</v>
      </c>
      <c r="I66" s="2" t="s">
        <v>151</v>
      </c>
      <c r="J66" s="2" t="s">
        <v>69</v>
      </c>
      <c r="K66" s="2"/>
      <c r="L66" s="2"/>
      <c r="M66" s="2"/>
      <c r="N66" s="2"/>
      <c r="O66" s="2" t="s">
        <v>61</v>
      </c>
      <c r="P66" s="2"/>
      <c r="Q66" s="2"/>
      <c r="R66" s="2">
        <v>200</v>
      </c>
      <c r="S66" s="2">
        <v>26</v>
      </c>
      <c r="T66" s="13" t="str">
        <f t="shared" si="1"/>
        <v>BAG6038</v>
      </c>
      <c r="U66" s="2" t="s">
        <v>192</v>
      </c>
      <c r="V66" s="2"/>
      <c r="W66" s="2">
        <v>2.19</v>
      </c>
      <c r="X66" s="2">
        <v>3.55</v>
      </c>
      <c r="Y66" s="2">
        <v>1.74</v>
      </c>
      <c r="Z66" s="2">
        <v>0</v>
      </c>
      <c r="AA66" s="2">
        <v>0</v>
      </c>
      <c r="AB66" s="2">
        <v>0.62</v>
      </c>
      <c r="AC66" s="3" t="str">
        <f t="shared" ref="AC66:AC129" si="2">IF(F66=2,"Pair","Loose")</f>
        <v>Loose</v>
      </c>
    </row>
    <row r="67" spans="1:29" x14ac:dyDescent="0.25">
      <c r="A67" s="1" t="s">
        <v>193</v>
      </c>
      <c r="B67" s="2" t="s">
        <v>29</v>
      </c>
      <c r="C67" s="2"/>
      <c r="D67" s="2"/>
      <c r="E67" s="2" t="s">
        <v>64</v>
      </c>
      <c r="F67" s="2">
        <v>1</v>
      </c>
      <c r="G67" s="2">
        <v>0.14000000000000001</v>
      </c>
      <c r="H67" s="2" t="s">
        <v>76</v>
      </c>
      <c r="I67" s="2" t="s">
        <v>151</v>
      </c>
      <c r="J67" s="2" t="s">
        <v>69</v>
      </c>
      <c r="K67" s="2"/>
      <c r="L67" s="2"/>
      <c r="M67" s="2"/>
      <c r="N67" s="2"/>
      <c r="O67" s="2" t="s">
        <v>34</v>
      </c>
      <c r="P67" s="2"/>
      <c r="Q67" s="2"/>
      <c r="R67" s="2">
        <v>200</v>
      </c>
      <c r="S67" s="2">
        <v>28</v>
      </c>
      <c r="T67" s="13" t="str">
        <f t="shared" si="1"/>
        <v>BAG6039</v>
      </c>
      <c r="U67" s="2" t="s">
        <v>194</v>
      </c>
      <c r="V67" s="2"/>
      <c r="W67" s="2">
        <v>2.48</v>
      </c>
      <c r="X67" s="2">
        <v>3.11</v>
      </c>
      <c r="Y67" s="2">
        <v>1.73</v>
      </c>
      <c r="Z67" s="2">
        <v>0</v>
      </c>
      <c r="AA67" s="2">
        <v>0</v>
      </c>
      <c r="AB67" s="2">
        <v>0.8</v>
      </c>
      <c r="AC67" s="3" t="str">
        <f t="shared" si="2"/>
        <v>Loose</v>
      </c>
    </row>
    <row r="68" spans="1:29" x14ac:dyDescent="0.25">
      <c r="A68" s="1" t="s">
        <v>195</v>
      </c>
      <c r="B68" s="2" t="s">
        <v>29</v>
      </c>
      <c r="C68" s="2"/>
      <c r="D68" s="2"/>
      <c r="E68" s="2" t="s">
        <v>64</v>
      </c>
      <c r="F68" s="2">
        <v>1</v>
      </c>
      <c r="G68" s="2">
        <v>0.1</v>
      </c>
      <c r="H68" s="2" t="s">
        <v>67</v>
      </c>
      <c r="I68" s="2" t="s">
        <v>50</v>
      </c>
      <c r="J68" s="2" t="s">
        <v>69</v>
      </c>
      <c r="K68" s="2"/>
      <c r="L68" s="2"/>
      <c r="M68" s="2"/>
      <c r="N68" s="2"/>
      <c r="O68" s="2" t="s">
        <v>70</v>
      </c>
      <c r="P68" s="2"/>
      <c r="Q68" s="2"/>
      <c r="R68" s="2">
        <v>252</v>
      </c>
      <c r="S68" s="2">
        <v>25.2</v>
      </c>
      <c r="T68" s="13" t="str">
        <f t="shared" si="1"/>
        <v>BAG6040</v>
      </c>
      <c r="U68" s="2" t="s">
        <v>196</v>
      </c>
      <c r="V68" s="2"/>
      <c r="W68" s="2">
        <v>2.0699999999999998</v>
      </c>
      <c r="X68" s="2">
        <v>3.1</v>
      </c>
      <c r="Y68" s="2">
        <v>1.63</v>
      </c>
      <c r="Z68" s="2">
        <v>0</v>
      </c>
      <c r="AA68" s="2">
        <v>0</v>
      </c>
      <c r="AB68" s="2">
        <v>0.67</v>
      </c>
      <c r="AC68" s="3" t="str">
        <f t="shared" si="2"/>
        <v>Loose</v>
      </c>
    </row>
    <row r="69" spans="1:29" x14ac:dyDescent="0.25">
      <c r="A69" s="1" t="s">
        <v>197</v>
      </c>
      <c r="B69" s="2" t="s">
        <v>29</v>
      </c>
      <c r="C69" s="2"/>
      <c r="D69" s="2"/>
      <c r="E69" s="2" t="s">
        <v>64</v>
      </c>
      <c r="F69" s="2">
        <v>1</v>
      </c>
      <c r="G69" s="2">
        <v>0.11</v>
      </c>
      <c r="H69" s="2" t="s">
        <v>43</v>
      </c>
      <c r="I69" s="2" t="s">
        <v>32</v>
      </c>
      <c r="J69" s="2" t="s">
        <v>33</v>
      </c>
      <c r="K69" s="2"/>
      <c r="L69" s="2"/>
      <c r="M69" s="2"/>
      <c r="N69" s="2"/>
      <c r="O69" s="2" t="s">
        <v>34</v>
      </c>
      <c r="P69" s="2"/>
      <c r="Q69" s="2"/>
      <c r="R69" s="2">
        <v>300</v>
      </c>
      <c r="S69" s="2">
        <v>33</v>
      </c>
      <c r="T69" s="13" t="str">
        <f t="shared" si="1"/>
        <v>BAG6050</v>
      </c>
      <c r="U69" s="2" t="s">
        <v>198</v>
      </c>
      <c r="V69" s="2"/>
      <c r="W69" s="2">
        <v>2.2200000000000002</v>
      </c>
      <c r="X69" s="2">
        <v>3.17</v>
      </c>
      <c r="Y69" s="2">
        <v>1.59</v>
      </c>
      <c r="Z69" s="2">
        <v>0</v>
      </c>
      <c r="AA69" s="2">
        <v>0</v>
      </c>
      <c r="AB69" s="2">
        <v>0.7</v>
      </c>
      <c r="AC69" s="3" t="str">
        <f t="shared" si="2"/>
        <v>Loose</v>
      </c>
    </row>
    <row r="70" spans="1:29" x14ac:dyDescent="0.25">
      <c r="A70" s="1" t="s">
        <v>199</v>
      </c>
      <c r="B70" s="2" t="s">
        <v>29</v>
      </c>
      <c r="C70" s="2"/>
      <c r="D70" s="2"/>
      <c r="E70" s="2" t="s">
        <v>64</v>
      </c>
      <c r="F70" s="2">
        <v>1</v>
      </c>
      <c r="G70" s="2">
        <v>0.35</v>
      </c>
      <c r="H70" s="2" t="s">
        <v>43</v>
      </c>
      <c r="I70" s="2" t="s">
        <v>50</v>
      </c>
      <c r="J70" s="2" t="s">
        <v>33</v>
      </c>
      <c r="K70" s="2"/>
      <c r="L70" s="2"/>
      <c r="M70" s="2"/>
      <c r="N70" s="2"/>
      <c r="O70" s="2" t="s">
        <v>34</v>
      </c>
      <c r="P70" s="2"/>
      <c r="Q70" s="2"/>
      <c r="R70" s="2">
        <v>1200</v>
      </c>
      <c r="S70" s="2">
        <v>420</v>
      </c>
      <c r="T70" s="13" t="str">
        <f t="shared" si="1"/>
        <v>BAG6054</v>
      </c>
      <c r="U70" s="2" t="s">
        <v>200</v>
      </c>
      <c r="V70" s="2"/>
      <c r="W70" s="2">
        <v>2.4900000000000002</v>
      </c>
      <c r="X70" s="2">
        <v>6.36</v>
      </c>
      <c r="Y70" s="2">
        <v>2.1</v>
      </c>
      <c r="Z70" s="2">
        <v>0</v>
      </c>
      <c r="AA70" s="2">
        <v>0</v>
      </c>
      <c r="AB70" s="2">
        <v>0.39</v>
      </c>
      <c r="AC70" s="3" t="str">
        <f t="shared" si="2"/>
        <v>Loose</v>
      </c>
    </row>
    <row r="71" spans="1:29" x14ac:dyDescent="0.25">
      <c r="A71" s="1" t="s">
        <v>201</v>
      </c>
      <c r="B71" s="2" t="s">
        <v>29</v>
      </c>
      <c r="C71" s="2"/>
      <c r="D71" s="2"/>
      <c r="E71" s="2" t="s">
        <v>64</v>
      </c>
      <c r="F71" s="2">
        <v>1</v>
      </c>
      <c r="G71" s="2">
        <v>0.2</v>
      </c>
      <c r="H71" s="2" t="s">
        <v>31</v>
      </c>
      <c r="I71" s="2" t="s">
        <v>68</v>
      </c>
      <c r="J71" s="2" t="s">
        <v>33</v>
      </c>
      <c r="K71" s="2"/>
      <c r="L71" s="2"/>
      <c r="M71" s="2"/>
      <c r="N71" s="2"/>
      <c r="O71" s="2" t="s">
        <v>34</v>
      </c>
      <c r="P71" s="2"/>
      <c r="Q71" s="2"/>
      <c r="R71" s="2">
        <v>900</v>
      </c>
      <c r="S71" s="2">
        <v>180</v>
      </c>
      <c r="T71" s="13" t="str">
        <f t="shared" ref="T71:T134" si="3">IF(OR(TRIM(A71&amp;"")="",TRIM(A71&amp;"")="0"),"",HYPERLINK("https://gs.gsdiamonds.com/StoneDetails.aspx?name=" &amp; _xlfn.ENCODEURL(TRIM(A71&amp;"")), TRIM(A71&amp;"")))</f>
        <v>BAG6061</v>
      </c>
      <c r="U71" s="2" t="s">
        <v>202</v>
      </c>
      <c r="V71" s="2"/>
      <c r="W71" s="2">
        <v>2.7</v>
      </c>
      <c r="X71" s="2">
        <v>4.63</v>
      </c>
      <c r="Y71" s="2">
        <v>1.74</v>
      </c>
      <c r="Z71" s="2">
        <v>0</v>
      </c>
      <c r="AA71" s="2">
        <v>0</v>
      </c>
      <c r="AB71" s="2">
        <v>0.57999999999999996</v>
      </c>
      <c r="AC71" s="3" t="str">
        <f t="shared" si="2"/>
        <v>Loose</v>
      </c>
    </row>
    <row r="72" spans="1:29" x14ac:dyDescent="0.25">
      <c r="A72" s="1" t="s">
        <v>203</v>
      </c>
      <c r="B72" s="2" t="s">
        <v>29</v>
      </c>
      <c r="C72" s="2"/>
      <c r="D72" s="2"/>
      <c r="E72" s="2" t="s">
        <v>64</v>
      </c>
      <c r="F72" s="2">
        <v>1</v>
      </c>
      <c r="G72" s="2">
        <v>0.1</v>
      </c>
      <c r="H72" s="2" t="s">
        <v>137</v>
      </c>
      <c r="I72" s="2" t="s">
        <v>32</v>
      </c>
      <c r="J72" s="2" t="s">
        <v>33</v>
      </c>
      <c r="K72" s="2"/>
      <c r="L72" s="2"/>
      <c r="M72" s="2"/>
      <c r="N72" s="2"/>
      <c r="O72" s="2" t="s">
        <v>34</v>
      </c>
      <c r="P72" s="2"/>
      <c r="Q72" s="2"/>
      <c r="R72" s="2">
        <v>802</v>
      </c>
      <c r="S72" s="2">
        <v>80.2</v>
      </c>
      <c r="T72" s="13" t="str">
        <f t="shared" si="3"/>
        <v>BAG6069</v>
      </c>
      <c r="U72" s="2" t="s">
        <v>204</v>
      </c>
      <c r="V72" s="2"/>
      <c r="W72" s="2">
        <v>1.89</v>
      </c>
      <c r="X72" s="2">
        <v>3.59</v>
      </c>
      <c r="Y72" s="2">
        <v>1.46</v>
      </c>
      <c r="Z72" s="2">
        <v>0</v>
      </c>
      <c r="AA72" s="2">
        <v>0</v>
      </c>
      <c r="AB72" s="2">
        <v>0.53</v>
      </c>
      <c r="AC72" s="3" t="str">
        <f t="shared" si="2"/>
        <v>Loose</v>
      </c>
    </row>
    <row r="73" spans="1:29" x14ac:dyDescent="0.25">
      <c r="A73" s="1" t="s">
        <v>205</v>
      </c>
      <c r="B73" s="2" t="s">
        <v>29</v>
      </c>
      <c r="C73" s="2"/>
      <c r="D73" s="2"/>
      <c r="E73" s="2" t="s">
        <v>64</v>
      </c>
      <c r="F73" s="2">
        <v>1</v>
      </c>
      <c r="G73" s="2">
        <v>0.12</v>
      </c>
      <c r="H73" s="2" t="s">
        <v>137</v>
      </c>
      <c r="I73" s="2" t="s">
        <v>32</v>
      </c>
      <c r="J73" s="2" t="s">
        <v>33</v>
      </c>
      <c r="K73" s="2"/>
      <c r="L73" s="2"/>
      <c r="M73" s="2"/>
      <c r="N73" s="2"/>
      <c r="O73" s="2" t="s">
        <v>34</v>
      </c>
      <c r="P73" s="2"/>
      <c r="Q73" s="2"/>
      <c r="R73" s="2">
        <v>600</v>
      </c>
      <c r="S73" s="2">
        <v>72</v>
      </c>
      <c r="T73" s="13" t="str">
        <f t="shared" si="3"/>
        <v>BAG6070</v>
      </c>
      <c r="U73" s="2" t="s">
        <v>206</v>
      </c>
      <c r="V73" s="2"/>
      <c r="W73" s="2">
        <v>2.09</v>
      </c>
      <c r="X73" s="2">
        <v>3.61</v>
      </c>
      <c r="Y73" s="2">
        <v>1.62</v>
      </c>
      <c r="Z73" s="2">
        <v>0</v>
      </c>
      <c r="AA73" s="2">
        <v>0</v>
      </c>
      <c r="AB73" s="2">
        <v>0.57999999999999996</v>
      </c>
      <c r="AC73" s="3" t="str">
        <f t="shared" si="2"/>
        <v>Loose</v>
      </c>
    </row>
    <row r="74" spans="1:29" x14ac:dyDescent="0.25">
      <c r="A74" s="1" t="s">
        <v>207</v>
      </c>
      <c r="B74" s="2" t="s">
        <v>29</v>
      </c>
      <c r="C74" s="2"/>
      <c r="D74" s="2"/>
      <c r="E74" s="2" t="s">
        <v>64</v>
      </c>
      <c r="F74" s="2">
        <v>1</v>
      </c>
      <c r="G74" s="2">
        <v>0.11</v>
      </c>
      <c r="H74" s="2" t="s">
        <v>73</v>
      </c>
      <c r="I74" s="2" t="s">
        <v>57</v>
      </c>
      <c r="J74" s="2" t="s">
        <v>33</v>
      </c>
      <c r="K74" s="2"/>
      <c r="L74" s="2"/>
      <c r="M74" s="2"/>
      <c r="N74" s="2"/>
      <c r="O74" s="2" t="s">
        <v>61</v>
      </c>
      <c r="P74" s="2"/>
      <c r="Q74" s="2"/>
      <c r="R74" s="2">
        <v>600</v>
      </c>
      <c r="S74" s="2">
        <v>66</v>
      </c>
      <c r="T74" s="13" t="str">
        <f t="shared" si="3"/>
        <v>BAG6071</v>
      </c>
      <c r="U74" s="2" t="s">
        <v>208</v>
      </c>
      <c r="V74" s="2"/>
      <c r="W74" s="2">
        <v>2.0299999999999998</v>
      </c>
      <c r="X74" s="2">
        <v>3.88</v>
      </c>
      <c r="Y74" s="2">
        <v>1.53</v>
      </c>
      <c r="Z74" s="2">
        <v>0</v>
      </c>
      <c r="AA74" s="2">
        <v>0</v>
      </c>
      <c r="AB74" s="2">
        <v>0.52</v>
      </c>
      <c r="AC74" s="3" t="str">
        <f t="shared" si="2"/>
        <v>Loose</v>
      </c>
    </row>
    <row r="75" spans="1:29" x14ac:dyDescent="0.25">
      <c r="A75" s="1" t="s">
        <v>209</v>
      </c>
      <c r="B75" s="2" t="s">
        <v>29</v>
      </c>
      <c r="C75" s="2"/>
      <c r="D75" s="2"/>
      <c r="E75" s="2" t="s">
        <v>64</v>
      </c>
      <c r="F75" s="2">
        <v>1</v>
      </c>
      <c r="G75" s="2">
        <v>0.12</v>
      </c>
      <c r="H75" s="2" t="s">
        <v>43</v>
      </c>
      <c r="I75" s="2" t="s">
        <v>53</v>
      </c>
      <c r="J75" s="2" t="s">
        <v>33</v>
      </c>
      <c r="K75" s="2"/>
      <c r="L75" s="2"/>
      <c r="M75" s="2"/>
      <c r="N75" s="2"/>
      <c r="O75" s="2" t="s">
        <v>34</v>
      </c>
      <c r="P75" s="2"/>
      <c r="Q75" s="2"/>
      <c r="R75" s="2">
        <v>600</v>
      </c>
      <c r="S75" s="2">
        <v>72</v>
      </c>
      <c r="T75" s="13" t="str">
        <f t="shared" si="3"/>
        <v>BAG6072</v>
      </c>
      <c r="U75" s="2" t="s">
        <v>210</v>
      </c>
      <c r="V75" s="2"/>
      <c r="W75" s="2">
        <v>2.44</v>
      </c>
      <c r="X75" s="2">
        <v>3.41</v>
      </c>
      <c r="Y75" s="2">
        <v>1.64</v>
      </c>
      <c r="Z75" s="2">
        <v>0</v>
      </c>
      <c r="AA75" s="2">
        <v>0</v>
      </c>
      <c r="AB75" s="2">
        <v>0.72</v>
      </c>
      <c r="AC75" s="3" t="str">
        <f t="shared" si="2"/>
        <v>Loose</v>
      </c>
    </row>
    <row r="76" spans="1:29" x14ac:dyDescent="0.25">
      <c r="A76" s="1" t="s">
        <v>211</v>
      </c>
      <c r="B76" s="2" t="s">
        <v>29</v>
      </c>
      <c r="C76" s="2"/>
      <c r="D76" s="2"/>
      <c r="E76" s="2" t="s">
        <v>64</v>
      </c>
      <c r="F76" s="2">
        <v>1</v>
      </c>
      <c r="G76" s="2">
        <v>0.1</v>
      </c>
      <c r="H76" s="2" t="s">
        <v>43</v>
      </c>
      <c r="I76" s="2" t="s">
        <v>53</v>
      </c>
      <c r="J76" s="2" t="s">
        <v>33</v>
      </c>
      <c r="K76" s="2"/>
      <c r="L76" s="2"/>
      <c r="M76" s="2"/>
      <c r="N76" s="2"/>
      <c r="O76" s="2" t="s">
        <v>34</v>
      </c>
      <c r="P76" s="2"/>
      <c r="Q76" s="2"/>
      <c r="R76" s="2">
        <v>802</v>
      </c>
      <c r="S76" s="2">
        <v>80.2</v>
      </c>
      <c r="T76" s="13" t="str">
        <f t="shared" si="3"/>
        <v>BAG6075</v>
      </c>
      <c r="U76" s="2" t="s">
        <v>212</v>
      </c>
      <c r="V76" s="2"/>
      <c r="W76" s="2">
        <v>1.57</v>
      </c>
      <c r="X76" s="2">
        <v>3.98</v>
      </c>
      <c r="Y76" s="2">
        <v>1.46</v>
      </c>
      <c r="Z76" s="2">
        <v>0</v>
      </c>
      <c r="AA76" s="2">
        <v>0</v>
      </c>
      <c r="AB76" s="2">
        <v>0.39</v>
      </c>
      <c r="AC76" s="3" t="str">
        <f t="shared" si="2"/>
        <v>Loose</v>
      </c>
    </row>
    <row r="77" spans="1:29" x14ac:dyDescent="0.25">
      <c r="A77" s="1" t="s">
        <v>213</v>
      </c>
      <c r="B77" s="2" t="s">
        <v>29</v>
      </c>
      <c r="C77" s="2"/>
      <c r="D77" s="2"/>
      <c r="E77" s="2" t="s">
        <v>64</v>
      </c>
      <c r="F77" s="2">
        <v>1</v>
      </c>
      <c r="G77" s="2">
        <v>0.19</v>
      </c>
      <c r="H77" s="2" t="s">
        <v>73</v>
      </c>
      <c r="I77" s="2" t="s">
        <v>39</v>
      </c>
      <c r="J77" s="2" t="s">
        <v>33</v>
      </c>
      <c r="K77" s="2"/>
      <c r="L77" s="2"/>
      <c r="M77" s="2"/>
      <c r="N77" s="2"/>
      <c r="O77" s="2" t="s">
        <v>34</v>
      </c>
      <c r="P77" s="2"/>
      <c r="Q77" s="2"/>
      <c r="R77" s="2">
        <v>700</v>
      </c>
      <c r="S77" s="2">
        <v>133</v>
      </c>
      <c r="T77" s="13" t="str">
        <f t="shared" si="3"/>
        <v>BAG6084</v>
      </c>
      <c r="U77" s="2" t="s">
        <v>214</v>
      </c>
      <c r="V77" s="2"/>
      <c r="W77" s="2">
        <v>2.83</v>
      </c>
      <c r="X77" s="2">
        <v>4.21</v>
      </c>
      <c r="Y77" s="2">
        <v>1.64</v>
      </c>
      <c r="Z77" s="2">
        <v>0</v>
      </c>
      <c r="AA77" s="2">
        <v>0</v>
      </c>
      <c r="AB77" s="2">
        <v>0.67</v>
      </c>
      <c r="AC77" s="3" t="str">
        <f t="shared" si="2"/>
        <v>Loose</v>
      </c>
    </row>
    <row r="78" spans="1:29" x14ac:dyDescent="0.25">
      <c r="A78" s="1" t="s">
        <v>215</v>
      </c>
      <c r="B78" s="2" t="s">
        <v>29</v>
      </c>
      <c r="C78" s="2"/>
      <c r="D78" s="2"/>
      <c r="E78" s="2" t="s">
        <v>64</v>
      </c>
      <c r="F78" s="2">
        <v>1</v>
      </c>
      <c r="G78" s="2">
        <v>0.1</v>
      </c>
      <c r="H78" s="2" t="s">
        <v>73</v>
      </c>
      <c r="I78" s="2" t="s">
        <v>39</v>
      </c>
      <c r="J78" s="2" t="s">
        <v>33</v>
      </c>
      <c r="K78" s="2"/>
      <c r="L78" s="2"/>
      <c r="M78" s="2"/>
      <c r="N78" s="2"/>
      <c r="O78" s="2" t="s">
        <v>34</v>
      </c>
      <c r="P78" s="2"/>
      <c r="Q78" s="2"/>
      <c r="R78" s="2">
        <v>802</v>
      </c>
      <c r="S78" s="2">
        <v>80.2</v>
      </c>
      <c r="T78" s="13" t="str">
        <f t="shared" si="3"/>
        <v>BAG6087</v>
      </c>
      <c r="U78" s="2" t="s">
        <v>216</v>
      </c>
      <c r="V78" s="2"/>
      <c r="W78" s="2">
        <v>1.56</v>
      </c>
      <c r="X78" s="2">
        <v>4.04</v>
      </c>
      <c r="Y78" s="2">
        <v>1.57</v>
      </c>
      <c r="Z78" s="2">
        <v>0</v>
      </c>
      <c r="AA78" s="2">
        <v>0</v>
      </c>
      <c r="AB78" s="2">
        <v>0.39</v>
      </c>
      <c r="AC78" s="3" t="str">
        <f t="shared" si="2"/>
        <v>Loose</v>
      </c>
    </row>
    <row r="79" spans="1:29" x14ac:dyDescent="0.25">
      <c r="A79" s="1" t="s">
        <v>217</v>
      </c>
      <c r="B79" s="2" t="s">
        <v>29</v>
      </c>
      <c r="C79" s="2"/>
      <c r="D79" s="2"/>
      <c r="E79" s="2" t="s">
        <v>64</v>
      </c>
      <c r="F79" s="2">
        <v>1</v>
      </c>
      <c r="G79" s="2">
        <v>0.21</v>
      </c>
      <c r="H79" s="2" t="s">
        <v>43</v>
      </c>
      <c r="I79" s="2" t="s">
        <v>32</v>
      </c>
      <c r="J79" s="2" t="s">
        <v>33</v>
      </c>
      <c r="K79" s="2"/>
      <c r="L79" s="2"/>
      <c r="M79" s="2"/>
      <c r="N79" s="2"/>
      <c r="O79" s="2" t="s">
        <v>70</v>
      </c>
      <c r="P79" s="2"/>
      <c r="Q79" s="2"/>
      <c r="R79" s="2">
        <v>1100</v>
      </c>
      <c r="S79" s="2">
        <v>231</v>
      </c>
      <c r="T79" s="13" t="str">
        <f t="shared" si="3"/>
        <v>BAG6093</v>
      </c>
      <c r="U79" s="2" t="s">
        <v>218</v>
      </c>
      <c r="V79" s="2"/>
      <c r="W79" s="2">
        <v>2.67</v>
      </c>
      <c r="X79" s="2">
        <v>4.51</v>
      </c>
      <c r="Y79" s="2">
        <v>1.77</v>
      </c>
      <c r="Z79" s="2">
        <v>0</v>
      </c>
      <c r="AA79" s="2">
        <v>0</v>
      </c>
      <c r="AB79" s="2">
        <v>0.59</v>
      </c>
      <c r="AC79" s="3" t="str">
        <f t="shared" si="2"/>
        <v>Loose</v>
      </c>
    </row>
    <row r="80" spans="1:29" x14ac:dyDescent="0.25">
      <c r="A80" s="1" t="s">
        <v>219</v>
      </c>
      <c r="B80" s="2" t="s">
        <v>29</v>
      </c>
      <c r="C80" s="2"/>
      <c r="D80" s="2"/>
      <c r="E80" s="2" t="s">
        <v>64</v>
      </c>
      <c r="F80" s="2">
        <v>1</v>
      </c>
      <c r="G80" s="2">
        <v>0.26</v>
      </c>
      <c r="H80" s="2" t="s">
        <v>43</v>
      </c>
      <c r="I80" s="2" t="s">
        <v>57</v>
      </c>
      <c r="J80" s="2" t="s">
        <v>33</v>
      </c>
      <c r="K80" s="2"/>
      <c r="L80" s="2"/>
      <c r="M80" s="2"/>
      <c r="N80" s="2"/>
      <c r="O80" s="2" t="s">
        <v>34</v>
      </c>
      <c r="P80" s="2"/>
      <c r="Q80" s="2"/>
      <c r="R80" s="2">
        <v>1000</v>
      </c>
      <c r="S80" s="2">
        <v>260</v>
      </c>
      <c r="T80" s="13" t="str">
        <f t="shared" si="3"/>
        <v>BAG6094</v>
      </c>
      <c r="U80" s="2" t="s">
        <v>220</v>
      </c>
      <c r="V80" s="2"/>
      <c r="W80" s="2">
        <v>3.15</v>
      </c>
      <c r="X80" s="2">
        <v>4.3</v>
      </c>
      <c r="Y80" s="2">
        <v>2.04</v>
      </c>
      <c r="Z80" s="2">
        <v>0</v>
      </c>
      <c r="AA80" s="2">
        <v>0</v>
      </c>
      <c r="AB80" s="2">
        <v>0.73</v>
      </c>
      <c r="AC80" s="3" t="str">
        <f t="shared" si="2"/>
        <v>Loose</v>
      </c>
    </row>
    <row r="81" spans="1:29" x14ac:dyDescent="0.25">
      <c r="A81" s="1" t="s">
        <v>221</v>
      </c>
      <c r="B81" s="2" t="s">
        <v>29</v>
      </c>
      <c r="C81" s="2"/>
      <c r="D81" s="2"/>
      <c r="E81" s="2" t="s">
        <v>64</v>
      </c>
      <c r="F81" s="2">
        <v>1</v>
      </c>
      <c r="G81" s="2">
        <v>0.11</v>
      </c>
      <c r="H81" s="2" t="s">
        <v>38</v>
      </c>
      <c r="I81" s="2" t="s">
        <v>68</v>
      </c>
      <c r="J81" s="2" t="s">
        <v>33</v>
      </c>
      <c r="K81" s="2"/>
      <c r="L81" s="2"/>
      <c r="M81" s="2"/>
      <c r="N81" s="2"/>
      <c r="O81" s="2" t="s">
        <v>34</v>
      </c>
      <c r="P81" s="2"/>
      <c r="Q81" s="2"/>
      <c r="R81" s="2">
        <v>900</v>
      </c>
      <c r="S81" s="2">
        <v>99</v>
      </c>
      <c r="T81" s="13" t="str">
        <f t="shared" si="3"/>
        <v>BAG6097</v>
      </c>
      <c r="U81" s="2" t="s">
        <v>222</v>
      </c>
      <c r="V81" s="2"/>
      <c r="W81" s="2">
        <v>2.2000000000000002</v>
      </c>
      <c r="X81" s="2">
        <v>3.72</v>
      </c>
      <c r="Y81" s="2">
        <v>1.37</v>
      </c>
      <c r="Z81" s="2">
        <v>0</v>
      </c>
      <c r="AA81" s="2">
        <v>0</v>
      </c>
      <c r="AB81" s="2">
        <v>0.59</v>
      </c>
      <c r="AC81" s="3" t="str">
        <f t="shared" si="2"/>
        <v>Loose</v>
      </c>
    </row>
    <row r="82" spans="1:29" x14ac:dyDescent="0.25">
      <c r="A82" s="1" t="s">
        <v>223</v>
      </c>
      <c r="B82" s="2" t="s">
        <v>29</v>
      </c>
      <c r="C82" s="2"/>
      <c r="D82" s="2"/>
      <c r="E82" s="2" t="s">
        <v>64</v>
      </c>
      <c r="F82" s="2">
        <v>1</v>
      </c>
      <c r="G82" s="2">
        <v>0.1</v>
      </c>
      <c r="H82" s="2" t="s">
        <v>76</v>
      </c>
      <c r="I82" s="2" t="s">
        <v>39</v>
      </c>
      <c r="J82" s="2" t="s">
        <v>33</v>
      </c>
      <c r="K82" s="2"/>
      <c r="L82" s="2"/>
      <c r="M82" s="2"/>
      <c r="N82" s="2"/>
      <c r="O82" s="2" t="s">
        <v>61</v>
      </c>
      <c r="P82" s="2"/>
      <c r="Q82" s="2"/>
      <c r="R82" s="2">
        <v>852</v>
      </c>
      <c r="S82" s="2">
        <v>85.2</v>
      </c>
      <c r="T82" s="13" t="str">
        <f t="shared" si="3"/>
        <v>BAG1113</v>
      </c>
      <c r="U82" s="2" t="s">
        <v>224</v>
      </c>
      <c r="V82" s="2"/>
      <c r="W82" s="2">
        <v>1.73</v>
      </c>
      <c r="X82" s="2">
        <v>4.03</v>
      </c>
      <c r="Y82" s="2">
        <v>1.31</v>
      </c>
      <c r="Z82" s="2">
        <v>0</v>
      </c>
      <c r="AA82" s="2">
        <v>0</v>
      </c>
      <c r="AB82" s="2">
        <v>0.43</v>
      </c>
      <c r="AC82" s="3" t="str">
        <f t="shared" si="2"/>
        <v>Loose</v>
      </c>
    </row>
    <row r="83" spans="1:29" x14ac:dyDescent="0.25">
      <c r="A83" s="1" t="s">
        <v>225</v>
      </c>
      <c r="B83" s="2" t="s">
        <v>29</v>
      </c>
      <c r="C83" s="2"/>
      <c r="D83" s="2"/>
      <c r="E83" s="2" t="s">
        <v>64</v>
      </c>
      <c r="F83" s="2">
        <v>1</v>
      </c>
      <c r="G83" s="2">
        <v>0.1</v>
      </c>
      <c r="H83" s="2" t="s">
        <v>43</v>
      </c>
      <c r="I83" s="2" t="s">
        <v>32</v>
      </c>
      <c r="J83" s="2" t="s">
        <v>33</v>
      </c>
      <c r="K83" s="2"/>
      <c r="L83" s="2"/>
      <c r="M83" s="2"/>
      <c r="N83" s="2"/>
      <c r="O83" s="2" t="s">
        <v>34</v>
      </c>
      <c r="P83" s="2"/>
      <c r="Q83" s="2"/>
      <c r="R83" s="2">
        <v>852</v>
      </c>
      <c r="S83" s="2">
        <v>85.2</v>
      </c>
      <c r="T83" s="13" t="str">
        <f t="shared" si="3"/>
        <v>BAG1130</v>
      </c>
      <c r="U83" s="2" t="s">
        <v>226</v>
      </c>
      <c r="V83" s="2"/>
      <c r="W83" s="2">
        <v>2.35</v>
      </c>
      <c r="X83" s="2">
        <v>2.83</v>
      </c>
      <c r="Y83" s="2">
        <v>1.66</v>
      </c>
      <c r="Z83" s="2">
        <v>0</v>
      </c>
      <c r="AA83" s="2">
        <v>0</v>
      </c>
      <c r="AB83" s="2">
        <v>0.83</v>
      </c>
      <c r="AC83" s="3" t="str">
        <f t="shared" si="2"/>
        <v>Loose</v>
      </c>
    </row>
    <row r="84" spans="1:29" x14ac:dyDescent="0.25">
      <c r="A84" s="1" t="s">
        <v>227</v>
      </c>
      <c r="B84" s="2" t="s">
        <v>29</v>
      </c>
      <c r="C84" s="2"/>
      <c r="D84" s="2"/>
      <c r="E84" s="2" t="s">
        <v>64</v>
      </c>
      <c r="F84" s="2">
        <v>1</v>
      </c>
      <c r="G84" s="2">
        <v>0.12</v>
      </c>
      <c r="H84" s="2" t="s">
        <v>43</v>
      </c>
      <c r="I84" s="2" t="s">
        <v>57</v>
      </c>
      <c r="J84" s="2" t="s">
        <v>33</v>
      </c>
      <c r="K84" s="2"/>
      <c r="L84" s="2"/>
      <c r="M84" s="2"/>
      <c r="N84" s="2"/>
      <c r="O84" s="2" t="s">
        <v>34</v>
      </c>
      <c r="P84" s="2"/>
      <c r="Q84" s="2"/>
      <c r="R84" s="2">
        <v>500</v>
      </c>
      <c r="S84" s="2">
        <v>60</v>
      </c>
      <c r="T84" s="13" t="str">
        <f t="shared" si="3"/>
        <v>BAG1131</v>
      </c>
      <c r="U84" s="2" t="s">
        <v>228</v>
      </c>
      <c r="V84" s="2"/>
      <c r="W84" s="2">
        <v>2.33</v>
      </c>
      <c r="X84" s="2">
        <v>2.75</v>
      </c>
      <c r="Y84" s="2">
        <v>1.82</v>
      </c>
      <c r="Z84" s="2">
        <v>0</v>
      </c>
      <c r="AA84" s="2">
        <v>0</v>
      </c>
      <c r="AB84" s="2">
        <v>0.85</v>
      </c>
      <c r="AC84" s="3" t="str">
        <f t="shared" si="2"/>
        <v>Loose</v>
      </c>
    </row>
    <row r="85" spans="1:29" x14ac:dyDescent="0.25">
      <c r="A85" s="1" t="s">
        <v>229</v>
      </c>
      <c r="B85" s="2" t="s">
        <v>29</v>
      </c>
      <c r="C85" s="2"/>
      <c r="D85" s="2"/>
      <c r="E85" s="2" t="s">
        <v>64</v>
      </c>
      <c r="F85" s="2">
        <v>1</v>
      </c>
      <c r="G85" s="2">
        <v>0.1</v>
      </c>
      <c r="H85" s="2" t="s">
        <v>49</v>
      </c>
      <c r="I85" s="2" t="s">
        <v>57</v>
      </c>
      <c r="J85" s="2" t="s">
        <v>33</v>
      </c>
      <c r="K85" s="2"/>
      <c r="L85" s="2"/>
      <c r="M85" s="2"/>
      <c r="N85" s="2"/>
      <c r="O85" s="2" t="s">
        <v>34</v>
      </c>
      <c r="P85" s="2"/>
      <c r="Q85" s="2"/>
      <c r="R85" s="2">
        <v>500</v>
      </c>
      <c r="S85" s="2">
        <v>50</v>
      </c>
      <c r="T85" s="13" t="str">
        <f t="shared" si="3"/>
        <v>BAG1134</v>
      </c>
      <c r="U85" s="2" t="s">
        <v>230</v>
      </c>
      <c r="V85" s="2"/>
      <c r="W85" s="2">
        <v>1.83</v>
      </c>
      <c r="X85" s="2">
        <v>3.67</v>
      </c>
      <c r="Y85" s="2">
        <v>1.53</v>
      </c>
      <c r="Z85" s="2">
        <v>0</v>
      </c>
      <c r="AA85" s="2">
        <v>0</v>
      </c>
      <c r="AB85" s="2">
        <v>0.5</v>
      </c>
      <c r="AC85" s="3" t="str">
        <f t="shared" si="2"/>
        <v>Loose</v>
      </c>
    </row>
    <row r="86" spans="1:29" x14ac:dyDescent="0.25">
      <c r="A86" s="1" t="s">
        <v>231</v>
      </c>
      <c r="B86" s="2" t="s">
        <v>29</v>
      </c>
      <c r="C86" s="2"/>
      <c r="D86" s="2"/>
      <c r="E86" s="2" t="s">
        <v>64</v>
      </c>
      <c r="F86" s="2">
        <v>1</v>
      </c>
      <c r="G86" s="2">
        <v>0.12</v>
      </c>
      <c r="H86" s="2" t="s">
        <v>43</v>
      </c>
      <c r="I86" s="2" t="s">
        <v>32</v>
      </c>
      <c r="J86" s="2" t="s">
        <v>33</v>
      </c>
      <c r="K86" s="2"/>
      <c r="L86" s="2"/>
      <c r="M86" s="2"/>
      <c r="N86" s="2"/>
      <c r="O86" s="2" t="s">
        <v>34</v>
      </c>
      <c r="P86" s="2"/>
      <c r="Q86" s="2"/>
      <c r="R86" s="2">
        <v>300</v>
      </c>
      <c r="S86" s="2">
        <v>36</v>
      </c>
      <c r="T86" s="13" t="str">
        <f t="shared" si="3"/>
        <v>BAG1141</v>
      </c>
      <c r="U86" s="2" t="s">
        <v>232</v>
      </c>
      <c r="V86" s="2"/>
      <c r="W86" s="2">
        <v>2.16</v>
      </c>
      <c r="X86" s="2">
        <v>3.38</v>
      </c>
      <c r="Y86" s="2">
        <v>1.7</v>
      </c>
      <c r="Z86" s="2">
        <v>0</v>
      </c>
      <c r="AA86" s="2">
        <v>0</v>
      </c>
      <c r="AB86" s="2">
        <v>0.64</v>
      </c>
      <c r="AC86" s="3" t="str">
        <f t="shared" si="2"/>
        <v>Loose</v>
      </c>
    </row>
    <row r="87" spans="1:29" x14ac:dyDescent="0.25">
      <c r="A87" s="1" t="s">
        <v>233</v>
      </c>
      <c r="B87" s="2" t="s">
        <v>29</v>
      </c>
      <c r="C87" s="2"/>
      <c r="D87" s="2"/>
      <c r="E87" s="2" t="s">
        <v>64</v>
      </c>
      <c r="F87" s="2">
        <v>1</v>
      </c>
      <c r="G87" s="2">
        <v>0.15</v>
      </c>
      <c r="H87" s="2" t="s">
        <v>31</v>
      </c>
      <c r="I87" s="2" t="s">
        <v>39</v>
      </c>
      <c r="J87" s="2" t="s">
        <v>33</v>
      </c>
      <c r="K87" s="2"/>
      <c r="L87" s="2"/>
      <c r="M87" s="2"/>
      <c r="N87" s="2"/>
      <c r="O87" s="2" t="s">
        <v>70</v>
      </c>
      <c r="P87" s="2"/>
      <c r="Q87" s="2"/>
      <c r="R87" s="2">
        <v>500</v>
      </c>
      <c r="S87" s="2">
        <v>75</v>
      </c>
      <c r="T87" s="13" t="str">
        <f t="shared" si="3"/>
        <v>BAG1144</v>
      </c>
      <c r="U87" s="2" t="s">
        <v>234</v>
      </c>
      <c r="V87" s="2"/>
      <c r="W87" s="2">
        <v>2.13</v>
      </c>
      <c r="X87" s="2">
        <v>3.7</v>
      </c>
      <c r="Y87" s="2">
        <v>1.85</v>
      </c>
      <c r="Z87" s="2">
        <v>0</v>
      </c>
      <c r="AA87" s="2">
        <v>0</v>
      </c>
      <c r="AB87" s="2">
        <v>0.57999999999999996</v>
      </c>
      <c r="AC87" s="3" t="str">
        <f t="shared" si="2"/>
        <v>Loose</v>
      </c>
    </row>
    <row r="88" spans="1:29" x14ac:dyDescent="0.25">
      <c r="A88" s="1" t="s">
        <v>235</v>
      </c>
      <c r="B88" s="2" t="s">
        <v>29</v>
      </c>
      <c r="C88" s="2"/>
      <c r="D88" s="2"/>
      <c r="E88" s="2" t="s">
        <v>64</v>
      </c>
      <c r="F88" s="2">
        <v>1</v>
      </c>
      <c r="G88" s="2">
        <v>0.1</v>
      </c>
      <c r="H88" s="2" t="s">
        <v>73</v>
      </c>
      <c r="I88" s="2" t="s">
        <v>57</v>
      </c>
      <c r="J88" s="2" t="s">
        <v>33</v>
      </c>
      <c r="K88" s="2"/>
      <c r="L88" s="2"/>
      <c r="M88" s="2"/>
      <c r="N88" s="2"/>
      <c r="O88" s="2" t="s">
        <v>58</v>
      </c>
      <c r="P88" s="2"/>
      <c r="Q88" s="2"/>
      <c r="R88" s="2">
        <v>302</v>
      </c>
      <c r="S88" s="2">
        <v>30.2</v>
      </c>
      <c r="T88" s="13" t="str">
        <f t="shared" si="3"/>
        <v>BAG1170</v>
      </c>
      <c r="U88" s="2" t="s">
        <v>236</v>
      </c>
      <c r="V88" s="2"/>
      <c r="W88" s="2">
        <v>1.84</v>
      </c>
      <c r="X88" s="2">
        <v>3.74</v>
      </c>
      <c r="Y88" s="2">
        <v>1.47</v>
      </c>
      <c r="Z88" s="2">
        <v>0</v>
      </c>
      <c r="AA88" s="2">
        <v>0</v>
      </c>
      <c r="AB88" s="2">
        <v>0.49</v>
      </c>
      <c r="AC88" s="3" t="str">
        <f t="shared" si="2"/>
        <v>Loose</v>
      </c>
    </row>
    <row r="89" spans="1:29" x14ac:dyDescent="0.25">
      <c r="A89" s="1" t="s">
        <v>237</v>
      </c>
      <c r="B89" s="2" t="s">
        <v>29</v>
      </c>
      <c r="C89" s="2"/>
      <c r="D89" s="2"/>
      <c r="E89" s="2" t="s">
        <v>64</v>
      </c>
      <c r="F89" s="2">
        <v>1</v>
      </c>
      <c r="G89" s="2">
        <v>0.1</v>
      </c>
      <c r="H89" s="2" t="s">
        <v>73</v>
      </c>
      <c r="I89" s="2" t="s">
        <v>57</v>
      </c>
      <c r="J89" s="2" t="s">
        <v>33</v>
      </c>
      <c r="K89" s="2"/>
      <c r="L89" s="2"/>
      <c r="M89" s="2"/>
      <c r="N89" s="2"/>
      <c r="O89" s="2" t="s">
        <v>70</v>
      </c>
      <c r="P89" s="2"/>
      <c r="Q89" s="2"/>
      <c r="R89" s="2">
        <v>302</v>
      </c>
      <c r="S89" s="2">
        <v>30.2</v>
      </c>
      <c r="T89" s="13" t="str">
        <f t="shared" si="3"/>
        <v>BAG1171</v>
      </c>
      <c r="U89" s="2" t="s">
        <v>238</v>
      </c>
      <c r="V89" s="2"/>
      <c r="W89" s="2">
        <v>1.91</v>
      </c>
      <c r="X89" s="2">
        <v>3.48</v>
      </c>
      <c r="Y89" s="2">
        <v>1.58</v>
      </c>
      <c r="Z89" s="2">
        <v>0</v>
      </c>
      <c r="AA89" s="2">
        <v>0</v>
      </c>
      <c r="AB89" s="2">
        <v>0.55000000000000004</v>
      </c>
      <c r="AC89" s="3" t="str">
        <f t="shared" si="2"/>
        <v>Loose</v>
      </c>
    </row>
    <row r="90" spans="1:29" x14ac:dyDescent="0.25">
      <c r="A90" s="1" t="s">
        <v>239</v>
      </c>
      <c r="B90" s="2" t="s">
        <v>29</v>
      </c>
      <c r="C90" s="2"/>
      <c r="D90" s="2"/>
      <c r="E90" s="2" t="s">
        <v>64</v>
      </c>
      <c r="F90" s="2">
        <v>1</v>
      </c>
      <c r="G90" s="2">
        <v>0.12</v>
      </c>
      <c r="H90" s="2" t="s">
        <v>73</v>
      </c>
      <c r="I90" s="2" t="s">
        <v>32</v>
      </c>
      <c r="J90" s="2" t="s">
        <v>33</v>
      </c>
      <c r="K90" s="2"/>
      <c r="L90" s="2"/>
      <c r="M90" s="2"/>
      <c r="N90" s="2"/>
      <c r="O90" s="2" t="s">
        <v>34</v>
      </c>
      <c r="P90" s="2"/>
      <c r="Q90" s="2"/>
      <c r="R90" s="2">
        <v>300</v>
      </c>
      <c r="S90" s="2">
        <v>36</v>
      </c>
      <c r="T90" s="13" t="str">
        <f t="shared" si="3"/>
        <v>BAG1173</v>
      </c>
      <c r="U90" s="2" t="s">
        <v>240</v>
      </c>
      <c r="V90" s="2"/>
      <c r="W90" s="2">
        <v>2.19</v>
      </c>
      <c r="X90" s="2">
        <v>3.62</v>
      </c>
      <c r="Y90" s="2">
        <v>1.46</v>
      </c>
      <c r="Z90" s="2">
        <v>0</v>
      </c>
      <c r="AA90" s="2">
        <v>0</v>
      </c>
      <c r="AB90" s="2">
        <v>0.6</v>
      </c>
      <c r="AC90" s="3" t="str">
        <f t="shared" si="2"/>
        <v>Loose</v>
      </c>
    </row>
    <row r="91" spans="1:29" x14ac:dyDescent="0.25">
      <c r="A91" s="1" t="s">
        <v>241</v>
      </c>
      <c r="B91" s="2" t="s">
        <v>29</v>
      </c>
      <c r="C91" s="2"/>
      <c r="D91" s="2"/>
      <c r="E91" s="2" t="s">
        <v>64</v>
      </c>
      <c r="F91" s="2">
        <v>1</v>
      </c>
      <c r="G91" s="2">
        <v>0.12</v>
      </c>
      <c r="H91" s="2" t="s">
        <v>31</v>
      </c>
      <c r="I91" s="2" t="s">
        <v>53</v>
      </c>
      <c r="J91" s="2" t="s">
        <v>33</v>
      </c>
      <c r="K91" s="2"/>
      <c r="L91" s="2"/>
      <c r="M91" s="2"/>
      <c r="N91" s="2"/>
      <c r="O91" s="2" t="s">
        <v>34</v>
      </c>
      <c r="P91" s="2"/>
      <c r="Q91" s="2"/>
      <c r="R91" s="2">
        <v>700</v>
      </c>
      <c r="S91" s="2">
        <v>84</v>
      </c>
      <c r="T91" s="13" t="str">
        <f t="shared" si="3"/>
        <v>BAG1174</v>
      </c>
      <c r="U91" s="2" t="s">
        <v>242</v>
      </c>
      <c r="V91" s="2"/>
      <c r="W91" s="2">
        <v>1.91</v>
      </c>
      <c r="X91" s="2">
        <v>6.64</v>
      </c>
      <c r="Y91" s="2">
        <v>0.94</v>
      </c>
      <c r="Z91" s="2">
        <v>0</v>
      </c>
      <c r="AA91" s="2">
        <v>0</v>
      </c>
      <c r="AB91" s="2">
        <v>0.28999999999999998</v>
      </c>
      <c r="AC91" s="3" t="str">
        <f t="shared" si="2"/>
        <v>Loose</v>
      </c>
    </row>
    <row r="92" spans="1:29" x14ac:dyDescent="0.25">
      <c r="A92" s="1" t="s">
        <v>243</v>
      </c>
      <c r="B92" s="2" t="s">
        <v>29</v>
      </c>
      <c r="C92" s="2"/>
      <c r="D92" s="2"/>
      <c r="E92" s="2" t="s">
        <v>64</v>
      </c>
      <c r="F92" s="2">
        <v>1</v>
      </c>
      <c r="G92" s="2">
        <v>0.1</v>
      </c>
      <c r="H92" s="2" t="s">
        <v>43</v>
      </c>
      <c r="I92" s="2" t="s">
        <v>32</v>
      </c>
      <c r="J92" s="2" t="s">
        <v>33</v>
      </c>
      <c r="K92" s="2"/>
      <c r="L92" s="2"/>
      <c r="M92" s="2"/>
      <c r="N92" s="2"/>
      <c r="O92" s="2" t="s">
        <v>34</v>
      </c>
      <c r="P92" s="2"/>
      <c r="Q92" s="2"/>
      <c r="R92" s="2">
        <v>302</v>
      </c>
      <c r="S92" s="2">
        <v>30.2</v>
      </c>
      <c r="T92" s="13" t="str">
        <f t="shared" si="3"/>
        <v>BAG1175</v>
      </c>
      <c r="U92" s="2" t="s">
        <v>244</v>
      </c>
      <c r="V92" s="2"/>
      <c r="W92" s="2">
        <v>1.96</v>
      </c>
      <c r="X92" s="2">
        <v>3.3</v>
      </c>
      <c r="Y92" s="2">
        <v>1.45</v>
      </c>
      <c r="Z92" s="2">
        <v>0</v>
      </c>
      <c r="AA92" s="2">
        <v>0</v>
      </c>
      <c r="AB92" s="2">
        <v>0.59</v>
      </c>
      <c r="AC92" s="3" t="str">
        <f t="shared" si="2"/>
        <v>Loose</v>
      </c>
    </row>
    <row r="93" spans="1:29" x14ac:dyDescent="0.25">
      <c r="A93" s="1" t="s">
        <v>245</v>
      </c>
      <c r="B93" s="2" t="s">
        <v>29</v>
      </c>
      <c r="C93" s="2"/>
      <c r="D93" s="2"/>
      <c r="E93" s="2" t="s">
        <v>64</v>
      </c>
      <c r="F93" s="2">
        <v>1</v>
      </c>
      <c r="G93" s="2">
        <v>0.18</v>
      </c>
      <c r="H93" s="2" t="s">
        <v>38</v>
      </c>
      <c r="I93" s="2" t="s">
        <v>151</v>
      </c>
      <c r="J93" s="2" t="s">
        <v>69</v>
      </c>
      <c r="K93" s="2"/>
      <c r="L93" s="2"/>
      <c r="M93" s="2"/>
      <c r="N93" s="2"/>
      <c r="O93" s="2" t="s">
        <v>34</v>
      </c>
      <c r="P93" s="2"/>
      <c r="Q93" s="2"/>
      <c r="R93" s="2">
        <v>300</v>
      </c>
      <c r="S93" s="2">
        <v>54</v>
      </c>
      <c r="T93" s="13" t="str">
        <f t="shared" si="3"/>
        <v>BAG1177</v>
      </c>
      <c r="U93" s="2" t="s">
        <v>246</v>
      </c>
      <c r="V93" s="2"/>
      <c r="W93" s="2">
        <v>1.93</v>
      </c>
      <c r="X93" s="2">
        <v>6.51</v>
      </c>
      <c r="Y93" s="2">
        <v>1.36</v>
      </c>
      <c r="Z93" s="2">
        <v>0</v>
      </c>
      <c r="AA93" s="2">
        <v>0</v>
      </c>
      <c r="AB93" s="2">
        <v>0.3</v>
      </c>
      <c r="AC93" s="3" t="str">
        <f t="shared" si="2"/>
        <v>Loose</v>
      </c>
    </row>
    <row r="94" spans="1:29" x14ac:dyDescent="0.25">
      <c r="A94" s="1" t="s">
        <v>247</v>
      </c>
      <c r="B94" s="2" t="s">
        <v>29</v>
      </c>
      <c r="C94" s="2"/>
      <c r="D94" s="2"/>
      <c r="E94" s="2" t="s">
        <v>64</v>
      </c>
      <c r="F94" s="2">
        <v>1</v>
      </c>
      <c r="G94" s="2">
        <v>0.1</v>
      </c>
      <c r="H94" s="2" t="s">
        <v>43</v>
      </c>
      <c r="I94" s="2" t="s">
        <v>39</v>
      </c>
      <c r="J94" s="2" t="s">
        <v>33</v>
      </c>
      <c r="K94" s="2"/>
      <c r="L94" s="2"/>
      <c r="M94" s="2"/>
      <c r="N94" s="2"/>
      <c r="O94" s="2" t="s">
        <v>34</v>
      </c>
      <c r="P94" s="2"/>
      <c r="Q94" s="2"/>
      <c r="R94" s="2">
        <v>302</v>
      </c>
      <c r="S94" s="2">
        <v>30.2</v>
      </c>
      <c r="T94" s="13" t="str">
        <f t="shared" si="3"/>
        <v>BAG1194</v>
      </c>
      <c r="U94" s="2" t="s">
        <v>248</v>
      </c>
      <c r="V94" s="2"/>
      <c r="W94" s="2">
        <v>1.49</v>
      </c>
      <c r="X94" s="2">
        <v>4.88</v>
      </c>
      <c r="Y94" s="2">
        <v>1.25</v>
      </c>
      <c r="Z94" s="2">
        <v>0</v>
      </c>
      <c r="AA94" s="2">
        <v>0</v>
      </c>
      <c r="AB94" s="2">
        <v>0.31</v>
      </c>
      <c r="AC94" s="3" t="str">
        <f t="shared" si="2"/>
        <v>Loose</v>
      </c>
    </row>
    <row r="95" spans="1:29" x14ac:dyDescent="0.25">
      <c r="A95" s="1" t="s">
        <v>249</v>
      </c>
      <c r="B95" s="2" t="s">
        <v>29</v>
      </c>
      <c r="C95" s="2"/>
      <c r="D95" s="2"/>
      <c r="E95" s="2" t="s">
        <v>64</v>
      </c>
      <c r="F95" s="2">
        <v>1</v>
      </c>
      <c r="G95" s="2">
        <v>0.14000000000000001</v>
      </c>
      <c r="H95" s="2" t="s">
        <v>73</v>
      </c>
      <c r="I95" s="2" t="s">
        <v>39</v>
      </c>
      <c r="J95" s="2" t="s">
        <v>33</v>
      </c>
      <c r="K95" s="2"/>
      <c r="L95" s="2"/>
      <c r="M95" s="2"/>
      <c r="N95" s="2"/>
      <c r="O95" s="2" t="s">
        <v>34</v>
      </c>
      <c r="P95" s="2"/>
      <c r="Q95" s="2"/>
      <c r="R95" s="2">
        <v>400</v>
      </c>
      <c r="S95" s="2">
        <v>56</v>
      </c>
      <c r="T95" s="13" t="str">
        <f t="shared" si="3"/>
        <v>BAG1201</v>
      </c>
      <c r="U95" s="2" t="s">
        <v>250</v>
      </c>
      <c r="V95" s="2"/>
      <c r="W95" s="2">
        <v>1.72</v>
      </c>
      <c r="X95" s="2">
        <v>5.15</v>
      </c>
      <c r="Y95" s="2">
        <v>1.43</v>
      </c>
      <c r="Z95" s="2">
        <v>0</v>
      </c>
      <c r="AA95" s="2">
        <v>0</v>
      </c>
      <c r="AB95" s="2">
        <v>0.33</v>
      </c>
      <c r="AC95" s="3" t="str">
        <f t="shared" si="2"/>
        <v>Loose</v>
      </c>
    </row>
    <row r="96" spans="1:29" x14ac:dyDescent="0.25">
      <c r="A96" s="1" t="s">
        <v>251</v>
      </c>
      <c r="B96" s="2" t="s">
        <v>29</v>
      </c>
      <c r="C96" s="2"/>
      <c r="D96" s="2"/>
      <c r="E96" s="2" t="s">
        <v>64</v>
      </c>
      <c r="F96" s="2">
        <v>1</v>
      </c>
      <c r="G96" s="2">
        <v>0.15</v>
      </c>
      <c r="H96" s="2" t="s">
        <v>43</v>
      </c>
      <c r="I96" s="2" t="s">
        <v>39</v>
      </c>
      <c r="J96" s="2" t="s">
        <v>33</v>
      </c>
      <c r="K96" s="2"/>
      <c r="L96" s="2"/>
      <c r="M96" s="2"/>
      <c r="N96" s="2"/>
      <c r="O96" s="2" t="s">
        <v>34</v>
      </c>
      <c r="P96" s="2"/>
      <c r="Q96" s="2"/>
      <c r="R96" s="2">
        <v>700</v>
      </c>
      <c r="S96" s="2">
        <v>105</v>
      </c>
      <c r="T96" s="13" t="str">
        <f t="shared" si="3"/>
        <v>BAG1210</v>
      </c>
      <c r="U96" s="2" t="s">
        <v>252</v>
      </c>
      <c r="V96" s="2"/>
      <c r="W96" s="2">
        <v>2.76</v>
      </c>
      <c r="X96" s="2">
        <v>3.42</v>
      </c>
      <c r="Y96" s="2">
        <v>1.79</v>
      </c>
      <c r="Z96" s="2">
        <v>0</v>
      </c>
      <c r="AA96" s="2">
        <v>0</v>
      </c>
      <c r="AB96" s="2">
        <v>0.81</v>
      </c>
      <c r="AC96" s="3" t="str">
        <f t="shared" si="2"/>
        <v>Loose</v>
      </c>
    </row>
    <row r="97" spans="1:29" x14ac:dyDescent="0.25">
      <c r="A97" s="1" t="s">
        <v>253</v>
      </c>
      <c r="B97" s="2" t="s">
        <v>29</v>
      </c>
      <c r="C97" s="2"/>
      <c r="D97" s="2"/>
      <c r="E97" s="2" t="s">
        <v>64</v>
      </c>
      <c r="F97" s="2">
        <v>1</v>
      </c>
      <c r="G97" s="2">
        <v>0.15</v>
      </c>
      <c r="H97" s="2" t="s">
        <v>137</v>
      </c>
      <c r="I97" s="2" t="s">
        <v>39</v>
      </c>
      <c r="J97" s="2" t="s">
        <v>33</v>
      </c>
      <c r="K97" s="2"/>
      <c r="L97" s="2"/>
      <c r="M97" s="2"/>
      <c r="N97" s="2"/>
      <c r="O97" s="2" t="s">
        <v>34</v>
      </c>
      <c r="P97" s="2"/>
      <c r="Q97" s="2"/>
      <c r="R97" s="2">
        <v>700</v>
      </c>
      <c r="S97" s="2">
        <v>105</v>
      </c>
      <c r="T97" s="13" t="str">
        <f t="shared" si="3"/>
        <v>BAG1213</v>
      </c>
      <c r="U97" s="2" t="s">
        <v>254</v>
      </c>
      <c r="V97" s="2"/>
      <c r="W97" s="2">
        <v>2.56</v>
      </c>
      <c r="X97" s="2">
        <v>3.58</v>
      </c>
      <c r="Y97" s="2">
        <v>1.68</v>
      </c>
      <c r="Z97" s="2">
        <v>0</v>
      </c>
      <c r="AA97" s="2">
        <v>0</v>
      </c>
      <c r="AB97" s="2">
        <v>0.72</v>
      </c>
      <c r="AC97" s="3" t="str">
        <f t="shared" si="2"/>
        <v>Loose</v>
      </c>
    </row>
    <row r="98" spans="1:29" x14ac:dyDescent="0.25">
      <c r="A98" s="1" t="s">
        <v>255</v>
      </c>
      <c r="B98" s="2" t="s">
        <v>29</v>
      </c>
      <c r="C98" s="2"/>
      <c r="D98" s="2"/>
      <c r="E98" s="2" t="s">
        <v>64</v>
      </c>
      <c r="F98" s="2">
        <v>1</v>
      </c>
      <c r="G98" s="2">
        <v>0.1</v>
      </c>
      <c r="H98" s="2" t="s">
        <v>43</v>
      </c>
      <c r="I98" s="2" t="s">
        <v>39</v>
      </c>
      <c r="J98" s="2" t="s">
        <v>33</v>
      </c>
      <c r="K98" s="2"/>
      <c r="L98" s="2"/>
      <c r="M98" s="2"/>
      <c r="N98" s="2"/>
      <c r="O98" s="2" t="s">
        <v>34</v>
      </c>
      <c r="P98" s="2"/>
      <c r="Q98" s="2"/>
      <c r="R98" s="2">
        <v>600</v>
      </c>
      <c r="S98" s="2">
        <v>60</v>
      </c>
      <c r="T98" s="13" t="str">
        <f t="shared" si="3"/>
        <v>BAG1216</v>
      </c>
      <c r="U98" s="2" t="s">
        <v>256</v>
      </c>
      <c r="V98" s="2"/>
      <c r="W98" s="2">
        <v>2.39</v>
      </c>
      <c r="X98" s="2">
        <v>2.98</v>
      </c>
      <c r="Y98" s="2">
        <v>1.52</v>
      </c>
      <c r="Z98" s="2">
        <v>0</v>
      </c>
      <c r="AA98" s="2">
        <v>0</v>
      </c>
      <c r="AB98" s="2">
        <v>0.8</v>
      </c>
      <c r="AC98" s="3" t="str">
        <f t="shared" si="2"/>
        <v>Loose</v>
      </c>
    </row>
    <row r="99" spans="1:29" x14ac:dyDescent="0.25">
      <c r="A99" s="1" t="s">
        <v>257</v>
      </c>
      <c r="B99" s="2" t="s">
        <v>29</v>
      </c>
      <c r="C99" s="2"/>
      <c r="D99" s="2"/>
      <c r="E99" s="2" t="s">
        <v>64</v>
      </c>
      <c r="F99" s="2">
        <v>1</v>
      </c>
      <c r="G99" s="2">
        <v>0.13</v>
      </c>
      <c r="H99" s="2" t="s">
        <v>76</v>
      </c>
      <c r="I99" s="2" t="s">
        <v>68</v>
      </c>
      <c r="J99" s="2" t="s">
        <v>33</v>
      </c>
      <c r="K99" s="2"/>
      <c r="L99" s="2"/>
      <c r="M99" s="2"/>
      <c r="N99" s="2"/>
      <c r="O99" s="2" t="s">
        <v>34</v>
      </c>
      <c r="P99" s="2"/>
      <c r="Q99" s="2"/>
      <c r="R99" s="2">
        <v>500</v>
      </c>
      <c r="S99" s="2">
        <v>65</v>
      </c>
      <c r="T99" s="13" t="str">
        <f t="shared" si="3"/>
        <v>BAG1221</v>
      </c>
      <c r="U99" s="2" t="s">
        <v>258</v>
      </c>
      <c r="V99" s="2"/>
      <c r="W99" s="2">
        <v>1.99</v>
      </c>
      <c r="X99" s="2">
        <v>4.3899999999999997</v>
      </c>
      <c r="Y99" s="2">
        <v>1.36</v>
      </c>
      <c r="Z99" s="2">
        <v>0</v>
      </c>
      <c r="AA99" s="2">
        <v>0</v>
      </c>
      <c r="AB99" s="2">
        <v>0.45</v>
      </c>
      <c r="AC99" s="3" t="str">
        <f t="shared" si="2"/>
        <v>Loose</v>
      </c>
    </row>
    <row r="100" spans="1:29" x14ac:dyDescent="0.25">
      <c r="A100" s="1" t="s">
        <v>259</v>
      </c>
      <c r="B100" s="2" t="s">
        <v>29</v>
      </c>
      <c r="C100" s="2"/>
      <c r="D100" s="2"/>
      <c r="E100" s="2" t="s">
        <v>64</v>
      </c>
      <c r="F100" s="2">
        <v>1</v>
      </c>
      <c r="G100" s="2">
        <v>0.1</v>
      </c>
      <c r="H100" s="2" t="s">
        <v>43</v>
      </c>
      <c r="I100" s="2" t="s">
        <v>39</v>
      </c>
      <c r="J100" s="2" t="s">
        <v>33</v>
      </c>
      <c r="K100" s="2"/>
      <c r="L100" s="2"/>
      <c r="M100" s="2"/>
      <c r="N100" s="2"/>
      <c r="O100" s="2" t="s">
        <v>34</v>
      </c>
      <c r="P100" s="2"/>
      <c r="Q100" s="2"/>
      <c r="R100" s="2">
        <v>600</v>
      </c>
      <c r="S100" s="2">
        <v>60</v>
      </c>
      <c r="T100" s="13" t="str">
        <f t="shared" si="3"/>
        <v>BAG1222</v>
      </c>
      <c r="U100" s="2" t="s">
        <v>260</v>
      </c>
      <c r="V100" s="2"/>
      <c r="W100" s="2">
        <v>2.0699999999999998</v>
      </c>
      <c r="X100" s="2">
        <v>3.13</v>
      </c>
      <c r="Y100" s="2">
        <v>1.48</v>
      </c>
      <c r="Z100" s="2">
        <v>0</v>
      </c>
      <c r="AA100" s="2">
        <v>0</v>
      </c>
      <c r="AB100" s="2">
        <v>0.66</v>
      </c>
      <c r="AC100" s="3" t="str">
        <f t="shared" si="2"/>
        <v>Loose</v>
      </c>
    </row>
    <row r="101" spans="1:29" x14ac:dyDescent="0.25">
      <c r="A101" s="1" t="s">
        <v>261</v>
      </c>
      <c r="B101" s="2" t="s">
        <v>29</v>
      </c>
      <c r="C101" s="2"/>
      <c r="D101" s="2"/>
      <c r="E101" s="2" t="s">
        <v>64</v>
      </c>
      <c r="F101" s="2">
        <v>1</v>
      </c>
      <c r="G101" s="2">
        <v>0.14000000000000001</v>
      </c>
      <c r="H101" s="2" t="s">
        <v>43</v>
      </c>
      <c r="I101" s="2" t="s">
        <v>39</v>
      </c>
      <c r="J101" s="2" t="s">
        <v>33</v>
      </c>
      <c r="K101" s="2"/>
      <c r="L101" s="2"/>
      <c r="M101" s="2"/>
      <c r="N101" s="2"/>
      <c r="O101" s="2" t="s">
        <v>34</v>
      </c>
      <c r="P101" s="2"/>
      <c r="Q101" s="2"/>
      <c r="R101" s="2">
        <v>600</v>
      </c>
      <c r="S101" s="2">
        <v>84</v>
      </c>
      <c r="T101" s="13" t="str">
        <f t="shared" si="3"/>
        <v>BAG1240</v>
      </c>
      <c r="U101" s="2" t="s">
        <v>262</v>
      </c>
      <c r="V101" s="2"/>
      <c r="W101" s="2">
        <v>2.44</v>
      </c>
      <c r="X101" s="2">
        <v>3.18</v>
      </c>
      <c r="Y101" s="2">
        <v>1.69</v>
      </c>
      <c r="Z101" s="2">
        <v>0</v>
      </c>
      <c r="AA101" s="2">
        <v>0</v>
      </c>
      <c r="AB101" s="2">
        <v>0.77</v>
      </c>
      <c r="AC101" s="3" t="str">
        <f t="shared" si="2"/>
        <v>Loose</v>
      </c>
    </row>
    <row r="102" spans="1:29" x14ac:dyDescent="0.25">
      <c r="A102" s="1" t="s">
        <v>263</v>
      </c>
      <c r="B102" s="2" t="s">
        <v>29</v>
      </c>
      <c r="C102" s="2"/>
      <c r="D102" s="2"/>
      <c r="E102" s="2" t="s">
        <v>64</v>
      </c>
      <c r="F102" s="2">
        <v>1</v>
      </c>
      <c r="G102" s="2">
        <v>0.24</v>
      </c>
      <c r="H102" s="2" t="s">
        <v>43</v>
      </c>
      <c r="I102" s="2" t="s">
        <v>39</v>
      </c>
      <c r="J102" s="2" t="s">
        <v>33</v>
      </c>
      <c r="K102" s="2"/>
      <c r="L102" s="2"/>
      <c r="M102" s="2"/>
      <c r="N102" s="2"/>
      <c r="O102" s="2" t="s">
        <v>70</v>
      </c>
      <c r="P102" s="2"/>
      <c r="Q102" s="2"/>
      <c r="R102" s="2">
        <v>700</v>
      </c>
      <c r="S102" s="2">
        <v>168</v>
      </c>
      <c r="T102" s="13" t="str">
        <f t="shared" si="3"/>
        <v>BAG1269</v>
      </c>
      <c r="U102" s="2" t="s">
        <v>264</v>
      </c>
      <c r="V102" s="2"/>
      <c r="W102" s="2">
        <v>3.19</v>
      </c>
      <c r="X102" s="2">
        <v>4.13</v>
      </c>
      <c r="Y102" s="2">
        <v>1.93</v>
      </c>
      <c r="Z102" s="2">
        <v>0</v>
      </c>
      <c r="AA102" s="2">
        <v>0</v>
      </c>
      <c r="AB102" s="2">
        <v>0.77</v>
      </c>
      <c r="AC102" s="3" t="str">
        <f t="shared" si="2"/>
        <v>Loose</v>
      </c>
    </row>
    <row r="103" spans="1:29" x14ac:dyDescent="0.25">
      <c r="A103" s="1" t="s">
        <v>265</v>
      </c>
      <c r="B103" s="2" t="s">
        <v>29</v>
      </c>
      <c r="C103" s="2"/>
      <c r="D103" s="2"/>
      <c r="E103" s="2" t="s">
        <v>64</v>
      </c>
      <c r="F103" s="2">
        <v>1</v>
      </c>
      <c r="G103" s="2">
        <v>0.1</v>
      </c>
      <c r="H103" s="2" t="s">
        <v>31</v>
      </c>
      <c r="I103" s="2" t="s">
        <v>39</v>
      </c>
      <c r="J103" s="2" t="s">
        <v>33</v>
      </c>
      <c r="K103" s="2"/>
      <c r="L103" s="2"/>
      <c r="M103" s="2"/>
      <c r="N103" s="2"/>
      <c r="O103" s="2" t="s">
        <v>46</v>
      </c>
      <c r="P103" s="2"/>
      <c r="Q103" s="2"/>
      <c r="R103" s="2">
        <v>304</v>
      </c>
      <c r="S103" s="2">
        <v>30.4</v>
      </c>
      <c r="T103" s="13" t="str">
        <f t="shared" si="3"/>
        <v>BAG1275</v>
      </c>
      <c r="U103" s="2" t="s">
        <v>266</v>
      </c>
      <c r="V103" s="2"/>
      <c r="W103" s="2">
        <v>2.1</v>
      </c>
      <c r="X103" s="2">
        <v>3.4</v>
      </c>
      <c r="Y103" s="2">
        <v>1.51</v>
      </c>
      <c r="Z103" s="2">
        <v>0</v>
      </c>
      <c r="AA103" s="2">
        <v>0</v>
      </c>
      <c r="AB103" s="2">
        <v>0.62</v>
      </c>
      <c r="AC103" s="3" t="str">
        <f t="shared" si="2"/>
        <v>Loose</v>
      </c>
    </row>
    <row r="104" spans="1:29" x14ac:dyDescent="0.25">
      <c r="A104" s="1" t="s">
        <v>267</v>
      </c>
      <c r="B104" s="2" t="s">
        <v>29</v>
      </c>
      <c r="C104" s="2"/>
      <c r="D104" s="2"/>
      <c r="E104" s="2" t="s">
        <v>64</v>
      </c>
      <c r="F104" s="2">
        <v>1</v>
      </c>
      <c r="G104" s="2">
        <v>0.1</v>
      </c>
      <c r="H104" s="2" t="s">
        <v>31</v>
      </c>
      <c r="I104" s="2" t="s">
        <v>39</v>
      </c>
      <c r="J104" s="2" t="s">
        <v>33</v>
      </c>
      <c r="K104" s="2"/>
      <c r="L104" s="2"/>
      <c r="M104" s="2"/>
      <c r="N104" s="2"/>
      <c r="O104" s="2" t="s">
        <v>34</v>
      </c>
      <c r="P104" s="2"/>
      <c r="Q104" s="2"/>
      <c r="R104" s="2">
        <v>304</v>
      </c>
      <c r="S104" s="2">
        <v>30.4</v>
      </c>
      <c r="T104" s="13" t="str">
        <f t="shared" si="3"/>
        <v>BAG1276</v>
      </c>
      <c r="U104" s="2" t="s">
        <v>268</v>
      </c>
      <c r="V104" s="2"/>
      <c r="W104" s="2">
        <v>2.0699999999999998</v>
      </c>
      <c r="X104" s="2">
        <v>3.28</v>
      </c>
      <c r="Y104" s="2">
        <v>1.61</v>
      </c>
      <c r="Z104" s="2">
        <v>0</v>
      </c>
      <c r="AA104" s="2">
        <v>0</v>
      </c>
      <c r="AB104" s="2">
        <v>0.63</v>
      </c>
      <c r="AC104" s="3" t="str">
        <f t="shared" si="2"/>
        <v>Loose</v>
      </c>
    </row>
    <row r="105" spans="1:29" x14ac:dyDescent="0.25">
      <c r="A105" s="1" t="s">
        <v>269</v>
      </c>
      <c r="B105" s="2" t="s">
        <v>29</v>
      </c>
      <c r="C105" s="2"/>
      <c r="D105" s="2"/>
      <c r="E105" s="2" t="s">
        <v>64</v>
      </c>
      <c r="F105" s="2">
        <v>1</v>
      </c>
      <c r="G105" s="2">
        <v>0.1</v>
      </c>
      <c r="H105" s="2" t="s">
        <v>43</v>
      </c>
      <c r="I105" s="2" t="s">
        <v>53</v>
      </c>
      <c r="J105" s="2" t="s">
        <v>33</v>
      </c>
      <c r="K105" s="2"/>
      <c r="L105" s="2"/>
      <c r="M105" s="2"/>
      <c r="N105" s="2"/>
      <c r="O105" s="2" t="s">
        <v>34</v>
      </c>
      <c r="P105" s="2"/>
      <c r="Q105" s="2"/>
      <c r="R105" s="2">
        <v>600</v>
      </c>
      <c r="S105" s="2">
        <v>60</v>
      </c>
      <c r="T105" s="13" t="str">
        <f t="shared" si="3"/>
        <v>BAG1282</v>
      </c>
      <c r="U105" s="2" t="s">
        <v>270</v>
      </c>
      <c r="V105" s="2"/>
      <c r="W105" s="2">
        <v>2.15</v>
      </c>
      <c r="X105" s="2">
        <v>3.06</v>
      </c>
      <c r="Y105" s="2">
        <v>1.69</v>
      </c>
      <c r="Z105" s="2">
        <v>0</v>
      </c>
      <c r="AA105" s="2">
        <v>0</v>
      </c>
      <c r="AB105" s="2">
        <v>0.7</v>
      </c>
      <c r="AC105" s="3" t="str">
        <f t="shared" si="2"/>
        <v>Loose</v>
      </c>
    </row>
    <row r="106" spans="1:29" x14ac:dyDescent="0.25">
      <c r="A106" s="1" t="s">
        <v>271</v>
      </c>
      <c r="B106" s="2" t="s">
        <v>29</v>
      </c>
      <c r="C106" s="2"/>
      <c r="D106" s="2"/>
      <c r="E106" s="2" t="s">
        <v>64</v>
      </c>
      <c r="F106" s="2">
        <v>1</v>
      </c>
      <c r="G106" s="2">
        <v>0.11</v>
      </c>
      <c r="H106" s="2" t="s">
        <v>31</v>
      </c>
      <c r="I106" s="2" t="s">
        <v>39</v>
      </c>
      <c r="J106" s="2" t="s">
        <v>33</v>
      </c>
      <c r="K106" s="2"/>
      <c r="L106" s="2"/>
      <c r="M106" s="2"/>
      <c r="N106" s="2"/>
      <c r="O106" s="2" t="s">
        <v>34</v>
      </c>
      <c r="P106" s="2"/>
      <c r="Q106" s="2"/>
      <c r="R106" s="2">
        <v>350</v>
      </c>
      <c r="S106" s="2">
        <v>38.5</v>
      </c>
      <c r="T106" s="13" t="str">
        <f t="shared" si="3"/>
        <v>BAG1283</v>
      </c>
      <c r="U106" s="2" t="s">
        <v>272</v>
      </c>
      <c r="V106" s="2"/>
      <c r="W106" s="2">
        <v>2.12</v>
      </c>
      <c r="X106" s="2">
        <v>3.09</v>
      </c>
      <c r="Y106" s="2">
        <v>1.68</v>
      </c>
      <c r="Z106" s="2">
        <v>0</v>
      </c>
      <c r="AA106" s="2">
        <v>0</v>
      </c>
      <c r="AB106" s="2">
        <v>0.69</v>
      </c>
      <c r="AC106" s="3" t="str">
        <f t="shared" si="2"/>
        <v>Loose</v>
      </c>
    </row>
    <row r="107" spans="1:29" x14ac:dyDescent="0.25">
      <c r="A107" s="1" t="s">
        <v>273</v>
      </c>
      <c r="B107" s="2" t="s">
        <v>29</v>
      </c>
      <c r="C107" s="2"/>
      <c r="D107" s="2"/>
      <c r="E107" s="2" t="s">
        <v>64</v>
      </c>
      <c r="F107" s="2">
        <v>1</v>
      </c>
      <c r="G107" s="2">
        <v>0.1</v>
      </c>
      <c r="H107" s="2" t="s">
        <v>43</v>
      </c>
      <c r="I107" s="2" t="s">
        <v>39</v>
      </c>
      <c r="J107" s="2" t="s">
        <v>33</v>
      </c>
      <c r="K107" s="2"/>
      <c r="L107" s="2"/>
      <c r="M107" s="2"/>
      <c r="N107" s="2"/>
      <c r="O107" s="2" t="s">
        <v>34</v>
      </c>
      <c r="P107" s="2"/>
      <c r="Q107" s="2"/>
      <c r="R107" s="2">
        <v>600</v>
      </c>
      <c r="S107" s="2">
        <v>60</v>
      </c>
      <c r="T107" s="13" t="str">
        <f t="shared" si="3"/>
        <v>BAG1294</v>
      </c>
      <c r="U107" s="2" t="s">
        <v>274</v>
      </c>
      <c r="V107" s="2"/>
      <c r="W107" s="2">
        <v>2.02</v>
      </c>
      <c r="X107" s="2">
        <v>3.26</v>
      </c>
      <c r="Y107" s="2">
        <v>1.58</v>
      </c>
      <c r="Z107" s="2">
        <v>0</v>
      </c>
      <c r="AA107" s="2">
        <v>0</v>
      </c>
      <c r="AB107" s="2">
        <v>0.62</v>
      </c>
      <c r="AC107" s="3" t="str">
        <f t="shared" si="2"/>
        <v>Loose</v>
      </c>
    </row>
    <row r="108" spans="1:29" x14ac:dyDescent="0.25">
      <c r="A108" s="1" t="s">
        <v>275</v>
      </c>
      <c r="B108" s="2" t="s">
        <v>29</v>
      </c>
      <c r="C108" s="2"/>
      <c r="D108" s="2"/>
      <c r="E108" s="2" t="s">
        <v>64</v>
      </c>
      <c r="F108" s="2">
        <v>1</v>
      </c>
      <c r="G108" s="2">
        <v>0.11</v>
      </c>
      <c r="H108" s="2" t="s">
        <v>43</v>
      </c>
      <c r="I108" s="2" t="s">
        <v>53</v>
      </c>
      <c r="J108" s="2" t="s">
        <v>33</v>
      </c>
      <c r="K108" s="2"/>
      <c r="L108" s="2"/>
      <c r="M108" s="2"/>
      <c r="N108" s="2"/>
      <c r="O108" s="2" t="s">
        <v>34</v>
      </c>
      <c r="P108" s="2"/>
      <c r="Q108" s="2"/>
      <c r="R108" s="2">
        <v>450</v>
      </c>
      <c r="S108" s="2">
        <v>49.5</v>
      </c>
      <c r="T108" s="13" t="str">
        <f t="shared" si="3"/>
        <v>BAG1295</v>
      </c>
      <c r="U108" s="2" t="s">
        <v>276</v>
      </c>
      <c r="V108" s="2"/>
      <c r="W108" s="2">
        <v>1.98</v>
      </c>
      <c r="X108" s="2">
        <v>3.36</v>
      </c>
      <c r="Y108" s="2">
        <v>1.56</v>
      </c>
      <c r="Z108" s="2">
        <v>0</v>
      </c>
      <c r="AA108" s="2">
        <v>0</v>
      </c>
      <c r="AB108" s="2">
        <v>0.59</v>
      </c>
      <c r="AC108" s="3" t="str">
        <f t="shared" si="2"/>
        <v>Loose</v>
      </c>
    </row>
    <row r="109" spans="1:29" x14ac:dyDescent="0.25">
      <c r="A109" s="1" t="s">
        <v>277</v>
      </c>
      <c r="B109" s="2" t="s">
        <v>29</v>
      </c>
      <c r="C109" s="2"/>
      <c r="D109" s="2"/>
      <c r="E109" s="2" t="s">
        <v>64</v>
      </c>
      <c r="F109" s="2">
        <v>1</v>
      </c>
      <c r="G109" s="2">
        <v>0.1</v>
      </c>
      <c r="H109" s="2" t="s">
        <v>43</v>
      </c>
      <c r="I109" s="2" t="s">
        <v>39</v>
      </c>
      <c r="J109" s="2" t="s">
        <v>33</v>
      </c>
      <c r="K109" s="2"/>
      <c r="L109" s="2"/>
      <c r="M109" s="2"/>
      <c r="N109" s="2"/>
      <c r="O109" s="2" t="s">
        <v>34</v>
      </c>
      <c r="P109" s="2"/>
      <c r="Q109" s="2"/>
      <c r="R109" s="2">
        <v>1400</v>
      </c>
      <c r="S109" s="2">
        <v>140</v>
      </c>
      <c r="T109" s="13" t="str">
        <f t="shared" si="3"/>
        <v>BAG1298</v>
      </c>
      <c r="U109" s="2" t="s">
        <v>278</v>
      </c>
      <c r="V109" s="2"/>
      <c r="W109" s="2">
        <v>2.1800000000000002</v>
      </c>
      <c r="X109" s="2">
        <v>3.2</v>
      </c>
      <c r="Y109" s="2">
        <v>1.48</v>
      </c>
      <c r="Z109" s="2">
        <v>0</v>
      </c>
      <c r="AA109" s="2">
        <v>0</v>
      </c>
      <c r="AB109" s="2">
        <v>0.68</v>
      </c>
      <c r="AC109" s="3" t="str">
        <f t="shared" si="2"/>
        <v>Loose</v>
      </c>
    </row>
    <row r="110" spans="1:29" x14ac:dyDescent="0.25">
      <c r="A110" s="1" t="s">
        <v>279</v>
      </c>
      <c r="B110" s="2" t="s">
        <v>29</v>
      </c>
      <c r="C110" s="2"/>
      <c r="D110" s="2"/>
      <c r="E110" s="2" t="s">
        <v>64</v>
      </c>
      <c r="F110" s="2">
        <v>1</v>
      </c>
      <c r="G110" s="2">
        <v>0.11</v>
      </c>
      <c r="H110" s="2" t="s">
        <v>43</v>
      </c>
      <c r="I110" s="2" t="s">
        <v>53</v>
      </c>
      <c r="J110" s="2" t="s">
        <v>33</v>
      </c>
      <c r="K110" s="2"/>
      <c r="L110" s="2"/>
      <c r="M110" s="2"/>
      <c r="N110" s="2"/>
      <c r="O110" s="2" t="s">
        <v>34</v>
      </c>
      <c r="P110" s="2"/>
      <c r="Q110" s="2"/>
      <c r="R110" s="2">
        <v>600</v>
      </c>
      <c r="S110" s="2">
        <v>66</v>
      </c>
      <c r="T110" s="13" t="str">
        <f t="shared" si="3"/>
        <v>BAG1299</v>
      </c>
      <c r="U110" s="2" t="s">
        <v>280</v>
      </c>
      <c r="V110" s="2"/>
      <c r="W110" s="2">
        <v>2.06</v>
      </c>
      <c r="X110" s="2">
        <v>3.21</v>
      </c>
      <c r="Y110" s="2">
        <v>1.6</v>
      </c>
      <c r="Z110" s="2">
        <v>0</v>
      </c>
      <c r="AA110" s="2">
        <v>0</v>
      </c>
      <c r="AB110" s="2">
        <v>0.64</v>
      </c>
      <c r="AC110" s="3" t="str">
        <f t="shared" si="2"/>
        <v>Loose</v>
      </c>
    </row>
    <row r="111" spans="1:29" x14ac:dyDescent="0.25">
      <c r="A111" s="1" t="s">
        <v>281</v>
      </c>
      <c r="B111" s="2" t="s">
        <v>29</v>
      </c>
      <c r="C111" s="2"/>
      <c r="D111" s="2"/>
      <c r="E111" s="2" t="s">
        <v>64</v>
      </c>
      <c r="F111" s="2">
        <v>1</v>
      </c>
      <c r="G111" s="2">
        <v>0.13</v>
      </c>
      <c r="H111" s="2" t="s">
        <v>43</v>
      </c>
      <c r="I111" s="2" t="s">
        <v>39</v>
      </c>
      <c r="J111" s="2" t="s">
        <v>33</v>
      </c>
      <c r="K111" s="2"/>
      <c r="L111" s="2"/>
      <c r="M111" s="2"/>
      <c r="N111" s="2"/>
      <c r="O111" s="2" t="s">
        <v>34</v>
      </c>
      <c r="P111" s="2"/>
      <c r="Q111" s="2"/>
      <c r="R111" s="2">
        <v>600</v>
      </c>
      <c r="S111" s="2">
        <v>78</v>
      </c>
      <c r="T111" s="13" t="str">
        <f t="shared" si="3"/>
        <v>BAG1304</v>
      </c>
      <c r="U111" s="2" t="s">
        <v>282</v>
      </c>
      <c r="V111" s="2"/>
      <c r="W111" s="2">
        <v>2.38</v>
      </c>
      <c r="X111" s="2">
        <v>3.37</v>
      </c>
      <c r="Y111" s="2">
        <v>1.59</v>
      </c>
      <c r="Z111" s="2">
        <v>0</v>
      </c>
      <c r="AA111" s="2">
        <v>0</v>
      </c>
      <c r="AB111" s="2">
        <v>0.71</v>
      </c>
      <c r="AC111" s="3" t="str">
        <f t="shared" si="2"/>
        <v>Loose</v>
      </c>
    </row>
    <row r="112" spans="1:29" x14ac:dyDescent="0.25">
      <c r="A112" s="1" t="s">
        <v>283</v>
      </c>
      <c r="B112" s="2" t="s">
        <v>29</v>
      </c>
      <c r="C112" s="2"/>
      <c r="D112" s="2"/>
      <c r="E112" s="2" t="s">
        <v>64</v>
      </c>
      <c r="F112" s="2">
        <v>1</v>
      </c>
      <c r="G112" s="2">
        <v>0.1</v>
      </c>
      <c r="H112" s="2" t="s">
        <v>49</v>
      </c>
      <c r="I112" s="2" t="s">
        <v>39</v>
      </c>
      <c r="J112" s="2" t="s">
        <v>33</v>
      </c>
      <c r="K112" s="2"/>
      <c r="L112" s="2"/>
      <c r="M112" s="2"/>
      <c r="N112" s="2"/>
      <c r="O112" s="2" t="s">
        <v>34</v>
      </c>
      <c r="P112" s="2"/>
      <c r="Q112" s="2"/>
      <c r="R112" s="2">
        <v>304</v>
      </c>
      <c r="S112" s="2">
        <v>30.4</v>
      </c>
      <c r="T112" s="13" t="str">
        <f t="shared" si="3"/>
        <v>BAG1305</v>
      </c>
      <c r="U112" s="2" t="s">
        <v>284</v>
      </c>
      <c r="V112" s="2"/>
      <c r="W112" s="2">
        <v>2.0099999999999998</v>
      </c>
      <c r="X112" s="2">
        <v>3.16</v>
      </c>
      <c r="Y112" s="2">
        <v>1.52</v>
      </c>
      <c r="Z112" s="2">
        <v>0</v>
      </c>
      <c r="AA112" s="2">
        <v>0</v>
      </c>
      <c r="AB112" s="2">
        <v>0.64</v>
      </c>
      <c r="AC112" s="3" t="str">
        <f t="shared" si="2"/>
        <v>Loose</v>
      </c>
    </row>
    <row r="113" spans="1:29" x14ac:dyDescent="0.25">
      <c r="A113" s="1" t="s">
        <v>285</v>
      </c>
      <c r="B113" s="2" t="s">
        <v>29</v>
      </c>
      <c r="C113" s="2"/>
      <c r="D113" s="2"/>
      <c r="E113" s="2" t="s">
        <v>64</v>
      </c>
      <c r="F113" s="2">
        <v>1</v>
      </c>
      <c r="G113" s="2">
        <v>0.1</v>
      </c>
      <c r="H113" s="2" t="s">
        <v>43</v>
      </c>
      <c r="I113" s="2" t="s">
        <v>39</v>
      </c>
      <c r="J113" s="2" t="s">
        <v>33</v>
      </c>
      <c r="K113" s="2"/>
      <c r="L113" s="2"/>
      <c r="M113" s="2"/>
      <c r="N113" s="2"/>
      <c r="O113" s="2" t="s">
        <v>34</v>
      </c>
      <c r="P113" s="2"/>
      <c r="Q113" s="2"/>
      <c r="R113" s="2">
        <v>304</v>
      </c>
      <c r="S113" s="2">
        <v>30.4</v>
      </c>
      <c r="T113" s="13" t="str">
        <f t="shared" si="3"/>
        <v>BAG1307</v>
      </c>
      <c r="U113" s="2" t="s">
        <v>286</v>
      </c>
      <c r="V113" s="2"/>
      <c r="W113" s="2">
        <v>1.91</v>
      </c>
      <c r="X113" s="2">
        <v>3.14</v>
      </c>
      <c r="Y113" s="2">
        <v>1.67</v>
      </c>
      <c r="Z113" s="2">
        <v>0</v>
      </c>
      <c r="AA113" s="2">
        <v>0</v>
      </c>
      <c r="AB113" s="2">
        <v>0.61</v>
      </c>
      <c r="AC113" s="3" t="str">
        <f t="shared" si="2"/>
        <v>Loose</v>
      </c>
    </row>
    <row r="114" spans="1:29" x14ac:dyDescent="0.25">
      <c r="A114" s="1" t="s">
        <v>287</v>
      </c>
      <c r="B114" s="2" t="s">
        <v>29</v>
      </c>
      <c r="C114" s="2"/>
      <c r="D114" s="2"/>
      <c r="E114" s="2" t="s">
        <v>64</v>
      </c>
      <c r="F114" s="2">
        <v>1</v>
      </c>
      <c r="G114" s="2">
        <v>0.11</v>
      </c>
      <c r="H114" s="2" t="s">
        <v>43</v>
      </c>
      <c r="I114" s="2" t="s">
        <v>39</v>
      </c>
      <c r="J114" s="2" t="s">
        <v>33</v>
      </c>
      <c r="K114" s="2"/>
      <c r="L114" s="2"/>
      <c r="M114" s="2"/>
      <c r="N114" s="2"/>
      <c r="O114" s="2" t="s">
        <v>34</v>
      </c>
      <c r="P114" s="2"/>
      <c r="Q114" s="2"/>
      <c r="R114" s="2">
        <v>600</v>
      </c>
      <c r="S114" s="2">
        <v>66</v>
      </c>
      <c r="T114" s="13" t="str">
        <f t="shared" si="3"/>
        <v>BAG1308</v>
      </c>
      <c r="U114" s="2" t="s">
        <v>288</v>
      </c>
      <c r="V114" s="2"/>
      <c r="W114" s="2">
        <v>2.0099999999999998</v>
      </c>
      <c r="X114" s="2">
        <v>3.37</v>
      </c>
      <c r="Y114" s="2">
        <v>1.67</v>
      </c>
      <c r="Z114" s="2">
        <v>0</v>
      </c>
      <c r="AA114" s="2">
        <v>0</v>
      </c>
      <c r="AB114" s="2">
        <v>0.6</v>
      </c>
      <c r="AC114" s="3" t="str">
        <f t="shared" si="2"/>
        <v>Loose</v>
      </c>
    </row>
    <row r="115" spans="1:29" x14ac:dyDescent="0.25">
      <c r="A115" s="1" t="s">
        <v>289</v>
      </c>
      <c r="B115" s="2" t="s">
        <v>29</v>
      </c>
      <c r="C115" s="2"/>
      <c r="D115" s="2"/>
      <c r="E115" s="2" t="s">
        <v>64</v>
      </c>
      <c r="F115" s="2">
        <v>1</v>
      </c>
      <c r="G115" s="2">
        <v>0.14000000000000001</v>
      </c>
      <c r="H115" s="2" t="s">
        <v>31</v>
      </c>
      <c r="I115" s="2" t="s">
        <v>32</v>
      </c>
      <c r="J115" s="2" t="s">
        <v>33</v>
      </c>
      <c r="K115" s="2"/>
      <c r="L115" s="2"/>
      <c r="M115" s="2"/>
      <c r="N115" s="2"/>
      <c r="O115" s="2" t="s">
        <v>34</v>
      </c>
      <c r="P115" s="2"/>
      <c r="Q115" s="2"/>
      <c r="R115" s="2">
        <v>600</v>
      </c>
      <c r="S115" s="2">
        <v>84</v>
      </c>
      <c r="T115" s="13" t="str">
        <f t="shared" si="3"/>
        <v>BAG1317</v>
      </c>
      <c r="U115" s="2" t="s">
        <v>290</v>
      </c>
      <c r="V115" s="2"/>
      <c r="W115" s="2">
        <v>1.94</v>
      </c>
      <c r="X115" s="2">
        <v>5.18</v>
      </c>
      <c r="Y115" s="2">
        <v>1.27</v>
      </c>
      <c r="Z115" s="2">
        <v>0</v>
      </c>
      <c r="AA115" s="2">
        <v>0</v>
      </c>
      <c r="AB115" s="2">
        <v>0.37</v>
      </c>
      <c r="AC115" s="3" t="str">
        <f t="shared" si="2"/>
        <v>Loose</v>
      </c>
    </row>
    <row r="116" spans="1:29" x14ac:dyDescent="0.25">
      <c r="A116" s="1" t="s">
        <v>291</v>
      </c>
      <c r="B116" s="2" t="s">
        <v>29</v>
      </c>
      <c r="C116" s="2"/>
      <c r="D116" s="2"/>
      <c r="E116" s="2" t="s">
        <v>64</v>
      </c>
      <c r="F116" s="2">
        <v>1</v>
      </c>
      <c r="G116" s="2">
        <v>0.18</v>
      </c>
      <c r="H116" s="2" t="s">
        <v>49</v>
      </c>
      <c r="I116" s="2" t="s">
        <v>32</v>
      </c>
      <c r="J116" s="2" t="s">
        <v>33</v>
      </c>
      <c r="K116" s="2"/>
      <c r="L116" s="2"/>
      <c r="M116" s="2"/>
      <c r="N116" s="2"/>
      <c r="O116" s="2" t="s">
        <v>61</v>
      </c>
      <c r="P116" s="2"/>
      <c r="Q116" s="2"/>
      <c r="R116" s="2">
        <v>600</v>
      </c>
      <c r="S116" s="2">
        <v>108</v>
      </c>
      <c r="T116" s="13" t="str">
        <f t="shared" si="3"/>
        <v>BAG1318</v>
      </c>
      <c r="U116" s="2" t="s">
        <v>292</v>
      </c>
      <c r="V116" s="2"/>
      <c r="W116" s="2">
        <v>2.0299999999999998</v>
      </c>
      <c r="X116" s="2">
        <v>5.38</v>
      </c>
      <c r="Y116" s="2">
        <v>1.73</v>
      </c>
      <c r="Z116" s="2">
        <v>0</v>
      </c>
      <c r="AA116" s="2">
        <v>0</v>
      </c>
      <c r="AB116" s="2">
        <v>0.38</v>
      </c>
      <c r="AC116" s="3" t="str">
        <f t="shared" si="2"/>
        <v>Loose</v>
      </c>
    </row>
    <row r="117" spans="1:29" x14ac:dyDescent="0.25">
      <c r="A117" s="1" t="s">
        <v>293</v>
      </c>
      <c r="B117" s="2" t="s">
        <v>29</v>
      </c>
      <c r="C117" s="2"/>
      <c r="D117" s="2"/>
      <c r="E117" s="2" t="s">
        <v>64</v>
      </c>
      <c r="F117" s="2">
        <v>1</v>
      </c>
      <c r="G117" s="2">
        <v>0.12</v>
      </c>
      <c r="H117" s="2" t="s">
        <v>43</v>
      </c>
      <c r="I117" s="2" t="s">
        <v>32</v>
      </c>
      <c r="J117" s="2" t="s">
        <v>33</v>
      </c>
      <c r="K117" s="2"/>
      <c r="L117" s="2"/>
      <c r="M117" s="2"/>
      <c r="N117" s="2"/>
      <c r="O117" s="2" t="s">
        <v>34</v>
      </c>
      <c r="P117" s="2"/>
      <c r="Q117" s="2"/>
      <c r="R117" s="2">
        <v>500</v>
      </c>
      <c r="S117" s="2">
        <v>60</v>
      </c>
      <c r="T117" s="13" t="str">
        <f t="shared" si="3"/>
        <v>BAG1319</v>
      </c>
      <c r="U117" s="2" t="s">
        <v>294</v>
      </c>
      <c r="V117" s="2"/>
      <c r="W117" s="2">
        <v>1.58</v>
      </c>
      <c r="X117" s="2">
        <v>5.45</v>
      </c>
      <c r="Y117" s="2">
        <v>1.27</v>
      </c>
      <c r="Z117" s="2">
        <v>0</v>
      </c>
      <c r="AA117" s="2">
        <v>0</v>
      </c>
      <c r="AB117" s="2">
        <v>0.28999999999999998</v>
      </c>
      <c r="AC117" s="3" t="str">
        <f t="shared" si="2"/>
        <v>Loose</v>
      </c>
    </row>
    <row r="118" spans="1:29" x14ac:dyDescent="0.25">
      <c r="A118" s="1" t="s">
        <v>295</v>
      </c>
      <c r="B118" s="2" t="s">
        <v>29</v>
      </c>
      <c r="C118" s="2"/>
      <c r="D118" s="2"/>
      <c r="E118" s="2" t="s">
        <v>64</v>
      </c>
      <c r="F118" s="2">
        <v>1</v>
      </c>
      <c r="G118" s="2">
        <v>0.23</v>
      </c>
      <c r="H118" s="2" t="s">
        <v>43</v>
      </c>
      <c r="I118" s="2" t="s">
        <v>32</v>
      </c>
      <c r="J118" s="2" t="s">
        <v>33</v>
      </c>
      <c r="K118" s="2"/>
      <c r="L118" s="2"/>
      <c r="M118" s="2"/>
      <c r="N118" s="2"/>
      <c r="O118" s="2" t="s">
        <v>70</v>
      </c>
      <c r="P118" s="2"/>
      <c r="Q118" s="2"/>
      <c r="R118" s="2">
        <v>800</v>
      </c>
      <c r="S118" s="2">
        <v>184</v>
      </c>
      <c r="T118" s="13" t="str">
        <f t="shared" si="3"/>
        <v>BAG1322</v>
      </c>
      <c r="U118" s="2" t="s">
        <v>296</v>
      </c>
      <c r="V118" s="2"/>
      <c r="W118" s="2">
        <v>2.2999999999999998</v>
      </c>
      <c r="X118" s="2">
        <v>5.94</v>
      </c>
      <c r="Y118" s="2">
        <v>1.52</v>
      </c>
      <c r="Z118" s="2">
        <v>0</v>
      </c>
      <c r="AA118" s="2">
        <v>0</v>
      </c>
      <c r="AB118" s="2">
        <v>0.39</v>
      </c>
      <c r="AC118" s="3" t="str">
        <f t="shared" si="2"/>
        <v>Loose</v>
      </c>
    </row>
    <row r="119" spans="1:29" x14ac:dyDescent="0.25">
      <c r="A119" s="1" t="s">
        <v>297</v>
      </c>
      <c r="B119" s="2" t="s">
        <v>29</v>
      </c>
      <c r="C119" s="2"/>
      <c r="D119" s="2"/>
      <c r="E119" s="2" t="s">
        <v>64</v>
      </c>
      <c r="F119" s="2">
        <v>1</v>
      </c>
      <c r="G119" s="2">
        <v>0.12</v>
      </c>
      <c r="H119" s="2" t="s">
        <v>49</v>
      </c>
      <c r="I119" s="2" t="s">
        <v>68</v>
      </c>
      <c r="J119" s="2" t="s">
        <v>33</v>
      </c>
      <c r="K119" s="2"/>
      <c r="L119" s="2"/>
      <c r="M119" s="2"/>
      <c r="N119" s="2"/>
      <c r="O119" s="2" t="s">
        <v>34</v>
      </c>
      <c r="P119" s="2"/>
      <c r="Q119" s="2"/>
      <c r="R119" s="2">
        <v>500</v>
      </c>
      <c r="S119" s="2">
        <v>60</v>
      </c>
      <c r="T119" s="13" t="str">
        <f t="shared" si="3"/>
        <v>BAG1323</v>
      </c>
      <c r="U119" s="2" t="s">
        <v>298</v>
      </c>
      <c r="V119" s="2"/>
      <c r="W119" s="2">
        <v>1.74</v>
      </c>
      <c r="X119" s="2">
        <v>5.4</v>
      </c>
      <c r="Y119" s="2">
        <v>1.21</v>
      </c>
      <c r="Z119" s="2">
        <v>0</v>
      </c>
      <c r="AA119" s="2">
        <v>0</v>
      </c>
      <c r="AB119" s="2">
        <v>0.32</v>
      </c>
      <c r="AC119" s="3" t="str">
        <f t="shared" si="2"/>
        <v>Loose</v>
      </c>
    </row>
    <row r="120" spans="1:29" x14ac:dyDescent="0.25">
      <c r="A120" s="1" t="s">
        <v>299</v>
      </c>
      <c r="B120" s="2" t="s">
        <v>29</v>
      </c>
      <c r="C120" s="2"/>
      <c r="D120" s="2"/>
      <c r="E120" s="2" t="s">
        <v>64</v>
      </c>
      <c r="F120" s="2">
        <v>1</v>
      </c>
      <c r="G120" s="2">
        <v>0.12</v>
      </c>
      <c r="H120" s="2" t="s">
        <v>43</v>
      </c>
      <c r="I120" s="2" t="s">
        <v>32</v>
      </c>
      <c r="J120" s="2" t="s">
        <v>33</v>
      </c>
      <c r="K120" s="2"/>
      <c r="L120" s="2"/>
      <c r="M120" s="2"/>
      <c r="N120" s="2"/>
      <c r="O120" s="2" t="s">
        <v>34</v>
      </c>
      <c r="P120" s="2"/>
      <c r="Q120" s="2"/>
      <c r="R120" s="2">
        <v>400</v>
      </c>
      <c r="S120" s="2">
        <v>48</v>
      </c>
      <c r="T120" s="13" t="str">
        <f t="shared" si="3"/>
        <v>BAG1324</v>
      </c>
      <c r="U120" s="2" t="s">
        <v>300</v>
      </c>
      <c r="V120" s="2"/>
      <c r="W120" s="2">
        <v>1.61</v>
      </c>
      <c r="X120" s="2">
        <v>5.22</v>
      </c>
      <c r="Y120" s="2">
        <v>1.33</v>
      </c>
      <c r="Z120" s="2">
        <v>0</v>
      </c>
      <c r="AA120" s="2">
        <v>0</v>
      </c>
      <c r="AB120" s="2">
        <v>0.31</v>
      </c>
      <c r="AC120" s="3" t="str">
        <f t="shared" si="2"/>
        <v>Loose</v>
      </c>
    </row>
    <row r="121" spans="1:29" x14ac:dyDescent="0.25">
      <c r="A121" s="1" t="s">
        <v>301</v>
      </c>
      <c r="B121" s="2" t="s">
        <v>29</v>
      </c>
      <c r="C121" s="2"/>
      <c r="D121" s="2"/>
      <c r="E121" s="2" t="s">
        <v>64</v>
      </c>
      <c r="F121" s="2">
        <v>1</v>
      </c>
      <c r="G121" s="2">
        <v>0.12</v>
      </c>
      <c r="H121" s="2" t="s">
        <v>43</v>
      </c>
      <c r="I121" s="2" t="s">
        <v>57</v>
      </c>
      <c r="J121" s="2" t="s">
        <v>33</v>
      </c>
      <c r="K121" s="2"/>
      <c r="L121" s="2"/>
      <c r="M121" s="2"/>
      <c r="N121" s="2"/>
      <c r="O121" s="2" t="s">
        <v>61</v>
      </c>
      <c r="P121" s="2"/>
      <c r="Q121" s="2"/>
      <c r="R121" s="2">
        <v>600</v>
      </c>
      <c r="S121" s="2">
        <v>72</v>
      </c>
      <c r="T121" s="13" t="str">
        <f t="shared" si="3"/>
        <v>BAG1325</v>
      </c>
      <c r="U121" s="2" t="s">
        <v>302</v>
      </c>
      <c r="V121" s="2"/>
      <c r="W121" s="2">
        <v>1.66</v>
      </c>
      <c r="X121" s="2">
        <v>5.2</v>
      </c>
      <c r="Y121" s="2">
        <v>1.23</v>
      </c>
      <c r="Z121" s="2">
        <v>0</v>
      </c>
      <c r="AA121" s="2">
        <v>0</v>
      </c>
      <c r="AB121" s="2">
        <v>0.32</v>
      </c>
      <c r="AC121" s="3" t="str">
        <f t="shared" si="2"/>
        <v>Loose</v>
      </c>
    </row>
    <row r="122" spans="1:29" x14ac:dyDescent="0.25">
      <c r="A122" s="1" t="s">
        <v>303</v>
      </c>
      <c r="B122" s="2" t="s">
        <v>29</v>
      </c>
      <c r="C122" s="2"/>
      <c r="D122" s="2"/>
      <c r="E122" s="2" t="s">
        <v>64</v>
      </c>
      <c r="F122" s="2">
        <v>1</v>
      </c>
      <c r="G122" s="2">
        <v>0.19</v>
      </c>
      <c r="H122" s="2" t="s">
        <v>49</v>
      </c>
      <c r="I122" s="2" t="s">
        <v>68</v>
      </c>
      <c r="J122" s="2" t="s">
        <v>33</v>
      </c>
      <c r="K122" s="2"/>
      <c r="L122" s="2"/>
      <c r="M122" s="2"/>
      <c r="N122" s="2"/>
      <c r="O122" s="2" t="s">
        <v>34</v>
      </c>
      <c r="P122" s="2"/>
      <c r="Q122" s="2"/>
      <c r="R122" s="2">
        <v>600</v>
      </c>
      <c r="S122" s="2">
        <v>114</v>
      </c>
      <c r="T122" s="13" t="str">
        <f t="shared" si="3"/>
        <v>BAG1326</v>
      </c>
      <c r="U122" s="2" t="s">
        <v>304</v>
      </c>
      <c r="V122" s="2"/>
      <c r="W122" s="2">
        <v>2.2599999999999998</v>
      </c>
      <c r="X122" s="2">
        <v>4.2</v>
      </c>
      <c r="Y122" s="2">
        <v>1.93</v>
      </c>
      <c r="Z122" s="2">
        <v>0</v>
      </c>
      <c r="AA122" s="2">
        <v>0</v>
      </c>
      <c r="AB122" s="2">
        <v>0.54</v>
      </c>
      <c r="AC122" s="3" t="str">
        <f t="shared" si="2"/>
        <v>Loose</v>
      </c>
    </row>
    <row r="123" spans="1:29" x14ac:dyDescent="0.25">
      <c r="A123" s="1" t="s">
        <v>305</v>
      </c>
      <c r="B123" s="2" t="s">
        <v>29</v>
      </c>
      <c r="C123" s="2"/>
      <c r="D123" s="2"/>
      <c r="E123" s="2" t="s">
        <v>64</v>
      </c>
      <c r="F123" s="2">
        <v>1</v>
      </c>
      <c r="G123" s="2">
        <v>0.12</v>
      </c>
      <c r="H123" s="2" t="s">
        <v>43</v>
      </c>
      <c r="I123" s="2" t="s">
        <v>32</v>
      </c>
      <c r="J123" s="2" t="s">
        <v>33</v>
      </c>
      <c r="K123" s="2"/>
      <c r="L123" s="2"/>
      <c r="M123" s="2"/>
      <c r="N123" s="2"/>
      <c r="O123" s="2" t="s">
        <v>34</v>
      </c>
      <c r="P123" s="2"/>
      <c r="Q123" s="2"/>
      <c r="R123" s="2">
        <v>500</v>
      </c>
      <c r="S123" s="2">
        <v>60</v>
      </c>
      <c r="T123" s="13" t="str">
        <f t="shared" si="3"/>
        <v>BAG1327</v>
      </c>
      <c r="U123" s="2" t="s">
        <v>306</v>
      </c>
      <c r="V123" s="2"/>
      <c r="W123" s="2">
        <v>1.63</v>
      </c>
      <c r="X123" s="2">
        <v>5.41</v>
      </c>
      <c r="Y123" s="2">
        <v>1.2</v>
      </c>
      <c r="Z123" s="2">
        <v>0</v>
      </c>
      <c r="AA123" s="2">
        <v>0</v>
      </c>
      <c r="AB123" s="2">
        <v>0.3</v>
      </c>
      <c r="AC123" s="3" t="str">
        <f t="shared" si="2"/>
        <v>Loose</v>
      </c>
    </row>
    <row r="124" spans="1:29" x14ac:dyDescent="0.25">
      <c r="A124" s="1" t="s">
        <v>307</v>
      </c>
      <c r="B124" s="2" t="s">
        <v>29</v>
      </c>
      <c r="C124" s="2"/>
      <c r="D124" s="2"/>
      <c r="E124" s="2" t="s">
        <v>64</v>
      </c>
      <c r="F124" s="2">
        <v>1</v>
      </c>
      <c r="G124" s="2">
        <v>0.15</v>
      </c>
      <c r="H124" s="2" t="s">
        <v>43</v>
      </c>
      <c r="I124" s="2" t="s">
        <v>57</v>
      </c>
      <c r="J124" s="2" t="s">
        <v>33</v>
      </c>
      <c r="K124" s="2"/>
      <c r="L124" s="2"/>
      <c r="M124" s="2"/>
      <c r="N124" s="2"/>
      <c r="O124" s="2" t="s">
        <v>34</v>
      </c>
      <c r="P124" s="2"/>
      <c r="Q124" s="2"/>
      <c r="R124" s="2">
        <v>600</v>
      </c>
      <c r="S124" s="2">
        <v>90</v>
      </c>
      <c r="T124" s="13" t="str">
        <f t="shared" si="3"/>
        <v>BAG1329</v>
      </c>
      <c r="U124" s="2" t="s">
        <v>308</v>
      </c>
      <c r="V124" s="2"/>
      <c r="W124" s="2">
        <v>1.9</v>
      </c>
      <c r="X124" s="2">
        <v>5.98</v>
      </c>
      <c r="Y124" s="2">
        <v>1.3</v>
      </c>
      <c r="Z124" s="2">
        <v>0</v>
      </c>
      <c r="AA124" s="2">
        <v>0</v>
      </c>
      <c r="AB124" s="2">
        <v>0.32</v>
      </c>
      <c r="AC124" s="3" t="str">
        <f t="shared" si="2"/>
        <v>Loose</v>
      </c>
    </row>
    <row r="125" spans="1:29" x14ac:dyDescent="0.25">
      <c r="A125" s="1" t="s">
        <v>309</v>
      </c>
      <c r="B125" s="2" t="s">
        <v>29</v>
      </c>
      <c r="C125" s="2"/>
      <c r="D125" s="2"/>
      <c r="E125" s="2" t="s">
        <v>64</v>
      </c>
      <c r="F125" s="2">
        <v>1</v>
      </c>
      <c r="G125" s="2">
        <v>0.11</v>
      </c>
      <c r="H125" s="2" t="s">
        <v>43</v>
      </c>
      <c r="I125" s="2" t="s">
        <v>39</v>
      </c>
      <c r="J125" s="2" t="s">
        <v>33</v>
      </c>
      <c r="K125" s="2"/>
      <c r="L125" s="2"/>
      <c r="M125" s="2"/>
      <c r="N125" s="2"/>
      <c r="O125" s="2" t="s">
        <v>34</v>
      </c>
      <c r="P125" s="2"/>
      <c r="Q125" s="2"/>
      <c r="R125" s="2">
        <v>500</v>
      </c>
      <c r="S125" s="2">
        <v>55</v>
      </c>
      <c r="T125" s="13" t="str">
        <f t="shared" si="3"/>
        <v>BAG1337</v>
      </c>
      <c r="U125" s="2" t="s">
        <v>310</v>
      </c>
      <c r="V125" s="2"/>
      <c r="W125" s="2">
        <v>2.1</v>
      </c>
      <c r="X125" s="2">
        <v>3.64</v>
      </c>
      <c r="Y125" s="2">
        <v>1.48</v>
      </c>
      <c r="Z125" s="2">
        <v>0</v>
      </c>
      <c r="AA125" s="2">
        <v>0</v>
      </c>
      <c r="AB125" s="2">
        <v>0.57999999999999996</v>
      </c>
      <c r="AC125" s="3" t="str">
        <f t="shared" si="2"/>
        <v>Loose</v>
      </c>
    </row>
    <row r="126" spans="1:29" x14ac:dyDescent="0.25">
      <c r="A126" s="1" t="s">
        <v>311</v>
      </c>
      <c r="B126" s="2" t="s">
        <v>29</v>
      </c>
      <c r="C126" s="2"/>
      <c r="D126" s="2"/>
      <c r="E126" s="2" t="s">
        <v>64</v>
      </c>
      <c r="F126" s="2">
        <v>1</v>
      </c>
      <c r="G126" s="2">
        <v>0.12</v>
      </c>
      <c r="H126" s="2" t="s">
        <v>31</v>
      </c>
      <c r="I126" s="2" t="s">
        <v>32</v>
      </c>
      <c r="J126" s="2" t="s">
        <v>33</v>
      </c>
      <c r="K126" s="2"/>
      <c r="L126" s="2"/>
      <c r="M126" s="2"/>
      <c r="N126" s="2"/>
      <c r="O126" s="2" t="s">
        <v>34</v>
      </c>
      <c r="P126" s="2"/>
      <c r="Q126" s="2"/>
      <c r="R126" s="2">
        <v>600</v>
      </c>
      <c r="S126" s="2">
        <v>72</v>
      </c>
      <c r="T126" s="13" t="str">
        <f t="shared" si="3"/>
        <v>BAG1345</v>
      </c>
      <c r="U126" s="2" t="s">
        <v>312</v>
      </c>
      <c r="V126" s="2"/>
      <c r="W126" s="2">
        <v>1.71</v>
      </c>
      <c r="X126" s="2">
        <v>5.1100000000000003</v>
      </c>
      <c r="Y126" s="2">
        <v>1.27</v>
      </c>
      <c r="Z126" s="2">
        <v>0</v>
      </c>
      <c r="AA126" s="2">
        <v>0</v>
      </c>
      <c r="AB126" s="2">
        <v>0.33</v>
      </c>
      <c r="AC126" s="3" t="str">
        <f t="shared" si="2"/>
        <v>Loose</v>
      </c>
    </row>
    <row r="127" spans="1:29" x14ac:dyDescent="0.25">
      <c r="A127" s="1" t="s">
        <v>313</v>
      </c>
      <c r="B127" s="2" t="s">
        <v>29</v>
      </c>
      <c r="C127" s="2"/>
      <c r="D127" s="2"/>
      <c r="E127" s="2" t="s">
        <v>64</v>
      </c>
      <c r="F127" s="2">
        <v>1</v>
      </c>
      <c r="G127" s="2">
        <v>0.1</v>
      </c>
      <c r="H127" s="2" t="s">
        <v>31</v>
      </c>
      <c r="I127" s="2" t="s">
        <v>57</v>
      </c>
      <c r="J127" s="2" t="s">
        <v>33</v>
      </c>
      <c r="K127" s="2"/>
      <c r="L127" s="2"/>
      <c r="M127" s="2"/>
      <c r="N127" s="2"/>
      <c r="O127" s="2" t="s">
        <v>34</v>
      </c>
      <c r="P127" s="2"/>
      <c r="Q127" s="2"/>
      <c r="R127" s="2">
        <v>304</v>
      </c>
      <c r="S127" s="2">
        <v>30.4</v>
      </c>
      <c r="T127" s="13" t="str">
        <f t="shared" si="3"/>
        <v>BAG1346</v>
      </c>
      <c r="U127" s="2" t="s">
        <v>314</v>
      </c>
      <c r="V127" s="2"/>
      <c r="W127" s="2">
        <v>1.68</v>
      </c>
      <c r="X127" s="2">
        <v>5</v>
      </c>
      <c r="Y127" s="2">
        <v>1.06</v>
      </c>
      <c r="Z127" s="2">
        <v>0</v>
      </c>
      <c r="AA127" s="2">
        <v>0</v>
      </c>
      <c r="AB127" s="2">
        <v>0.34</v>
      </c>
      <c r="AC127" s="3" t="str">
        <f t="shared" si="2"/>
        <v>Loose</v>
      </c>
    </row>
    <row r="128" spans="1:29" x14ac:dyDescent="0.25">
      <c r="A128" s="1" t="s">
        <v>315</v>
      </c>
      <c r="B128" s="2" t="s">
        <v>29</v>
      </c>
      <c r="C128" s="2"/>
      <c r="D128" s="2"/>
      <c r="E128" s="2" t="s">
        <v>64</v>
      </c>
      <c r="F128" s="2">
        <v>1</v>
      </c>
      <c r="G128" s="2">
        <v>0.12</v>
      </c>
      <c r="H128" s="2" t="s">
        <v>43</v>
      </c>
      <c r="I128" s="2" t="s">
        <v>39</v>
      </c>
      <c r="J128" s="2" t="s">
        <v>33</v>
      </c>
      <c r="K128" s="2"/>
      <c r="L128" s="2"/>
      <c r="M128" s="2"/>
      <c r="N128" s="2"/>
      <c r="O128" s="2" t="s">
        <v>34</v>
      </c>
      <c r="P128" s="2"/>
      <c r="Q128" s="2"/>
      <c r="R128" s="2">
        <v>1100</v>
      </c>
      <c r="S128" s="2">
        <v>132</v>
      </c>
      <c r="T128" s="13" t="str">
        <f t="shared" si="3"/>
        <v>BAG1349</v>
      </c>
      <c r="U128" s="2" t="s">
        <v>316</v>
      </c>
      <c r="V128" s="2"/>
      <c r="W128" s="2">
        <v>1.77</v>
      </c>
      <c r="X128" s="2">
        <v>6.07</v>
      </c>
      <c r="Y128" s="2">
        <v>0.98</v>
      </c>
      <c r="Z128" s="2">
        <v>0</v>
      </c>
      <c r="AA128" s="2">
        <v>0</v>
      </c>
      <c r="AB128" s="2">
        <v>0.28999999999999998</v>
      </c>
      <c r="AC128" s="3" t="str">
        <f t="shared" si="2"/>
        <v>Loose</v>
      </c>
    </row>
    <row r="129" spans="1:29" x14ac:dyDescent="0.25">
      <c r="A129" s="1" t="s">
        <v>317</v>
      </c>
      <c r="B129" s="2" t="s">
        <v>29</v>
      </c>
      <c r="C129" s="2"/>
      <c r="D129" s="2"/>
      <c r="E129" s="2" t="s">
        <v>64</v>
      </c>
      <c r="F129" s="2">
        <v>1</v>
      </c>
      <c r="G129" s="2">
        <v>0.14000000000000001</v>
      </c>
      <c r="H129" s="2" t="s">
        <v>43</v>
      </c>
      <c r="I129" s="2" t="s">
        <v>32</v>
      </c>
      <c r="J129" s="2" t="s">
        <v>33</v>
      </c>
      <c r="K129" s="2"/>
      <c r="L129" s="2"/>
      <c r="M129" s="2"/>
      <c r="N129" s="2"/>
      <c r="O129" s="2" t="s">
        <v>34</v>
      </c>
      <c r="P129" s="2"/>
      <c r="Q129" s="2"/>
      <c r="R129" s="2">
        <v>700</v>
      </c>
      <c r="S129" s="2">
        <v>98</v>
      </c>
      <c r="T129" s="13" t="str">
        <f t="shared" si="3"/>
        <v>BAG1358</v>
      </c>
      <c r="U129" s="2" t="s">
        <v>318</v>
      </c>
      <c r="V129" s="2"/>
      <c r="W129" s="2">
        <v>1.94</v>
      </c>
      <c r="X129" s="2">
        <v>5.92</v>
      </c>
      <c r="Y129" s="2">
        <v>1.17</v>
      </c>
      <c r="Z129" s="2">
        <v>0</v>
      </c>
      <c r="AA129" s="2">
        <v>0</v>
      </c>
      <c r="AB129" s="2">
        <v>0.33</v>
      </c>
      <c r="AC129" s="3" t="str">
        <f t="shared" si="2"/>
        <v>Loose</v>
      </c>
    </row>
    <row r="130" spans="1:29" x14ac:dyDescent="0.25">
      <c r="A130" s="1" t="s">
        <v>319</v>
      </c>
      <c r="B130" s="2" t="s">
        <v>29</v>
      </c>
      <c r="C130" s="2"/>
      <c r="D130" s="2"/>
      <c r="E130" s="2" t="s">
        <v>64</v>
      </c>
      <c r="F130" s="2">
        <v>1</v>
      </c>
      <c r="G130" s="2">
        <v>0.13</v>
      </c>
      <c r="H130" s="2" t="s">
        <v>43</v>
      </c>
      <c r="I130" s="2" t="s">
        <v>39</v>
      </c>
      <c r="J130" s="2" t="s">
        <v>33</v>
      </c>
      <c r="K130" s="2"/>
      <c r="L130" s="2"/>
      <c r="M130" s="2"/>
      <c r="N130" s="2"/>
      <c r="O130" s="2" t="s">
        <v>77</v>
      </c>
      <c r="P130" s="2"/>
      <c r="Q130" s="2"/>
      <c r="R130" s="2">
        <v>600</v>
      </c>
      <c r="S130" s="2">
        <v>78</v>
      </c>
      <c r="T130" s="13" t="str">
        <f t="shared" si="3"/>
        <v>BAG1363</v>
      </c>
      <c r="U130" s="2" t="s">
        <v>320</v>
      </c>
      <c r="V130" s="2"/>
      <c r="W130" s="2">
        <v>2.2999999999999998</v>
      </c>
      <c r="X130" s="2">
        <v>3.44</v>
      </c>
      <c r="Y130" s="2">
        <v>1.54</v>
      </c>
      <c r="Z130" s="2">
        <v>0</v>
      </c>
      <c r="AA130" s="2">
        <v>0</v>
      </c>
      <c r="AB130" s="2">
        <v>0.67</v>
      </c>
      <c r="AC130" s="3" t="str">
        <f t="shared" ref="AC130:AC193" si="4">IF(F130=2,"Pair","Loose")</f>
        <v>Loose</v>
      </c>
    </row>
    <row r="131" spans="1:29" x14ac:dyDescent="0.25">
      <c r="A131" s="1" t="s">
        <v>321</v>
      </c>
      <c r="B131" s="2" t="s">
        <v>29</v>
      </c>
      <c r="C131" s="2"/>
      <c r="D131" s="2"/>
      <c r="E131" s="2" t="s">
        <v>64</v>
      </c>
      <c r="F131" s="2">
        <v>1</v>
      </c>
      <c r="G131" s="2">
        <v>0.1</v>
      </c>
      <c r="H131" s="2" t="s">
        <v>31</v>
      </c>
      <c r="I131" s="2" t="s">
        <v>39</v>
      </c>
      <c r="J131" s="2" t="s">
        <v>33</v>
      </c>
      <c r="K131" s="2"/>
      <c r="L131" s="2"/>
      <c r="M131" s="2"/>
      <c r="N131" s="2"/>
      <c r="O131" s="2" t="s">
        <v>34</v>
      </c>
      <c r="P131" s="2"/>
      <c r="Q131" s="2"/>
      <c r="R131" s="2">
        <v>302</v>
      </c>
      <c r="S131" s="2">
        <v>30.2</v>
      </c>
      <c r="T131" s="13" t="str">
        <f t="shared" si="3"/>
        <v>BAG1364</v>
      </c>
      <c r="U131" s="2" t="s">
        <v>322</v>
      </c>
      <c r="V131" s="2"/>
      <c r="W131" s="2">
        <v>2.06</v>
      </c>
      <c r="X131" s="2">
        <v>3.44</v>
      </c>
      <c r="Y131" s="2">
        <v>1.47</v>
      </c>
      <c r="Z131" s="2">
        <v>0</v>
      </c>
      <c r="AA131" s="2">
        <v>0</v>
      </c>
      <c r="AB131" s="2">
        <v>0.6</v>
      </c>
      <c r="AC131" s="3" t="str">
        <f t="shared" si="4"/>
        <v>Loose</v>
      </c>
    </row>
    <row r="132" spans="1:29" x14ac:dyDescent="0.25">
      <c r="A132" s="1" t="s">
        <v>323</v>
      </c>
      <c r="B132" s="2" t="s">
        <v>29</v>
      </c>
      <c r="C132" s="2"/>
      <c r="D132" s="2"/>
      <c r="E132" s="2" t="s">
        <v>64</v>
      </c>
      <c r="F132" s="2">
        <v>1</v>
      </c>
      <c r="G132" s="2">
        <v>0.12</v>
      </c>
      <c r="H132" s="2" t="s">
        <v>38</v>
      </c>
      <c r="I132" s="2" t="s">
        <v>39</v>
      </c>
      <c r="J132" s="2" t="s">
        <v>33</v>
      </c>
      <c r="K132" s="2"/>
      <c r="L132" s="2"/>
      <c r="M132" s="2"/>
      <c r="N132" s="2"/>
      <c r="O132" s="2" t="s">
        <v>34</v>
      </c>
      <c r="P132" s="2"/>
      <c r="Q132" s="2"/>
      <c r="R132" s="2">
        <v>600</v>
      </c>
      <c r="S132" s="2">
        <v>72</v>
      </c>
      <c r="T132" s="13" t="str">
        <f t="shared" si="3"/>
        <v>BAG1365</v>
      </c>
      <c r="U132" s="2" t="s">
        <v>324</v>
      </c>
      <c r="V132" s="2"/>
      <c r="W132" s="2">
        <v>2.15</v>
      </c>
      <c r="X132" s="2">
        <v>3.62</v>
      </c>
      <c r="Y132" s="2">
        <v>1.7</v>
      </c>
      <c r="Z132" s="2">
        <v>0</v>
      </c>
      <c r="AA132" s="2">
        <v>0</v>
      </c>
      <c r="AB132" s="2">
        <v>0.59</v>
      </c>
      <c r="AC132" s="3" t="str">
        <f t="shared" si="4"/>
        <v>Loose</v>
      </c>
    </row>
    <row r="133" spans="1:29" x14ac:dyDescent="0.25">
      <c r="A133" s="1" t="s">
        <v>325</v>
      </c>
      <c r="B133" s="2" t="s">
        <v>29</v>
      </c>
      <c r="C133" s="2"/>
      <c r="D133" s="2"/>
      <c r="E133" s="2" t="s">
        <v>64</v>
      </c>
      <c r="F133" s="2">
        <v>1</v>
      </c>
      <c r="G133" s="2">
        <v>0.11</v>
      </c>
      <c r="H133" s="2" t="s">
        <v>43</v>
      </c>
      <c r="I133" s="2" t="s">
        <v>39</v>
      </c>
      <c r="J133" s="2" t="s">
        <v>33</v>
      </c>
      <c r="K133" s="2"/>
      <c r="L133" s="2"/>
      <c r="M133" s="2"/>
      <c r="N133" s="2"/>
      <c r="O133" s="2" t="s">
        <v>34</v>
      </c>
      <c r="P133" s="2"/>
      <c r="Q133" s="2"/>
      <c r="R133" s="2">
        <v>600</v>
      </c>
      <c r="S133" s="2">
        <v>66</v>
      </c>
      <c r="T133" s="13" t="str">
        <f t="shared" si="3"/>
        <v>BAG1366</v>
      </c>
      <c r="U133" s="2" t="s">
        <v>326</v>
      </c>
      <c r="V133" s="2"/>
      <c r="W133" s="2">
        <v>2.0499999999999998</v>
      </c>
      <c r="X133" s="2">
        <v>3.52</v>
      </c>
      <c r="Y133" s="2">
        <v>1.58</v>
      </c>
      <c r="Z133" s="2">
        <v>0</v>
      </c>
      <c r="AA133" s="2">
        <v>0</v>
      </c>
      <c r="AB133" s="2">
        <v>0.57999999999999996</v>
      </c>
      <c r="AC133" s="3" t="str">
        <f t="shared" si="4"/>
        <v>Loose</v>
      </c>
    </row>
    <row r="134" spans="1:29" x14ac:dyDescent="0.25">
      <c r="A134" s="1" t="s">
        <v>327</v>
      </c>
      <c r="B134" s="2" t="s">
        <v>29</v>
      </c>
      <c r="C134" s="2"/>
      <c r="D134" s="2"/>
      <c r="E134" s="2" t="s">
        <v>64</v>
      </c>
      <c r="F134" s="2">
        <v>1</v>
      </c>
      <c r="G134" s="2">
        <v>0.1</v>
      </c>
      <c r="H134" s="2" t="s">
        <v>49</v>
      </c>
      <c r="I134" s="2" t="s">
        <v>39</v>
      </c>
      <c r="J134" s="2" t="s">
        <v>33</v>
      </c>
      <c r="K134" s="2"/>
      <c r="L134" s="2"/>
      <c r="M134" s="2"/>
      <c r="N134" s="2"/>
      <c r="O134" s="2" t="s">
        <v>61</v>
      </c>
      <c r="P134" s="2"/>
      <c r="Q134" s="2"/>
      <c r="R134" s="2">
        <v>332</v>
      </c>
      <c r="S134" s="2">
        <v>33.200000000000003</v>
      </c>
      <c r="T134" s="13" t="str">
        <f t="shared" si="3"/>
        <v>BAG1369</v>
      </c>
      <c r="U134" s="2" t="s">
        <v>328</v>
      </c>
      <c r="V134" s="2"/>
      <c r="W134" s="2">
        <v>1.97</v>
      </c>
      <c r="X134" s="2">
        <v>3.46</v>
      </c>
      <c r="Y134" s="2">
        <v>1.54</v>
      </c>
      <c r="Z134" s="2">
        <v>0</v>
      </c>
      <c r="AA134" s="2">
        <v>0</v>
      </c>
      <c r="AB134" s="2">
        <v>0.56999999999999995</v>
      </c>
      <c r="AC134" s="3" t="str">
        <f t="shared" si="4"/>
        <v>Loose</v>
      </c>
    </row>
    <row r="135" spans="1:29" x14ac:dyDescent="0.25">
      <c r="A135" s="1" t="s">
        <v>329</v>
      </c>
      <c r="B135" s="2" t="s">
        <v>29</v>
      </c>
      <c r="C135" s="2"/>
      <c r="D135" s="2"/>
      <c r="E135" s="2" t="s">
        <v>64</v>
      </c>
      <c r="F135" s="2">
        <v>1</v>
      </c>
      <c r="G135" s="2">
        <v>0.14000000000000001</v>
      </c>
      <c r="H135" s="2" t="s">
        <v>43</v>
      </c>
      <c r="I135" s="2" t="s">
        <v>39</v>
      </c>
      <c r="J135" s="2" t="s">
        <v>33</v>
      </c>
      <c r="K135" s="2"/>
      <c r="L135" s="2"/>
      <c r="M135" s="2"/>
      <c r="N135" s="2"/>
      <c r="O135" s="2" t="s">
        <v>34</v>
      </c>
      <c r="P135" s="2"/>
      <c r="Q135" s="2"/>
      <c r="R135" s="2">
        <v>600</v>
      </c>
      <c r="S135" s="2">
        <v>84</v>
      </c>
      <c r="T135" s="13" t="str">
        <f t="shared" ref="T135:T198" si="5">IF(OR(TRIM(A135&amp;"")="",TRIM(A135&amp;"")="0"),"",HYPERLINK("https://gs.gsdiamonds.com/StoneDetails.aspx?name=" &amp; _xlfn.ENCODEURL(TRIM(A135&amp;"")), TRIM(A135&amp;"")))</f>
        <v>BAG1370</v>
      </c>
      <c r="U135" s="2" t="s">
        <v>330</v>
      </c>
      <c r="V135" s="2"/>
      <c r="W135" s="2">
        <v>2.16</v>
      </c>
      <c r="X135" s="2">
        <v>3.48</v>
      </c>
      <c r="Y135" s="2">
        <v>1.79</v>
      </c>
      <c r="Z135" s="2">
        <v>0</v>
      </c>
      <c r="AA135" s="2">
        <v>0</v>
      </c>
      <c r="AB135" s="2">
        <v>0.62</v>
      </c>
      <c r="AC135" s="3" t="str">
        <f t="shared" si="4"/>
        <v>Loose</v>
      </c>
    </row>
    <row r="136" spans="1:29" x14ac:dyDescent="0.25">
      <c r="A136" s="1" t="s">
        <v>331</v>
      </c>
      <c r="B136" s="2" t="s">
        <v>29</v>
      </c>
      <c r="C136" s="2"/>
      <c r="D136" s="2"/>
      <c r="E136" s="2" t="s">
        <v>64</v>
      </c>
      <c r="F136" s="2">
        <v>1</v>
      </c>
      <c r="G136" s="2">
        <v>0.13</v>
      </c>
      <c r="H136" s="2" t="s">
        <v>49</v>
      </c>
      <c r="I136" s="2" t="s">
        <v>39</v>
      </c>
      <c r="J136" s="2" t="s">
        <v>33</v>
      </c>
      <c r="K136" s="2"/>
      <c r="L136" s="2"/>
      <c r="M136" s="2"/>
      <c r="N136" s="2"/>
      <c r="O136" s="2" t="s">
        <v>34</v>
      </c>
      <c r="P136" s="2"/>
      <c r="Q136" s="2"/>
      <c r="R136" s="2">
        <v>400</v>
      </c>
      <c r="S136" s="2">
        <v>52</v>
      </c>
      <c r="T136" s="13" t="str">
        <f t="shared" si="5"/>
        <v>BAG1371</v>
      </c>
      <c r="U136" s="2" t="s">
        <v>332</v>
      </c>
      <c r="V136" s="2"/>
      <c r="W136" s="2">
        <v>2.21</v>
      </c>
      <c r="X136" s="2">
        <v>3.8</v>
      </c>
      <c r="Y136" s="2">
        <v>1.67</v>
      </c>
      <c r="Z136" s="2">
        <v>0</v>
      </c>
      <c r="AA136" s="2">
        <v>0</v>
      </c>
      <c r="AB136" s="2">
        <v>0.57999999999999996</v>
      </c>
      <c r="AC136" s="3" t="str">
        <f t="shared" si="4"/>
        <v>Loose</v>
      </c>
    </row>
    <row r="137" spans="1:29" x14ac:dyDescent="0.25">
      <c r="A137" s="1" t="s">
        <v>333</v>
      </c>
      <c r="B137" s="2" t="s">
        <v>29</v>
      </c>
      <c r="C137" s="2"/>
      <c r="D137" s="2"/>
      <c r="E137" s="2" t="s">
        <v>64</v>
      </c>
      <c r="F137" s="2">
        <v>1</v>
      </c>
      <c r="G137" s="2">
        <v>0.1</v>
      </c>
      <c r="H137" s="2" t="s">
        <v>38</v>
      </c>
      <c r="I137" s="2" t="s">
        <v>57</v>
      </c>
      <c r="J137" s="2" t="s">
        <v>33</v>
      </c>
      <c r="K137" s="2"/>
      <c r="L137" s="2"/>
      <c r="M137" s="2"/>
      <c r="N137" s="2"/>
      <c r="O137" s="2" t="s">
        <v>34</v>
      </c>
      <c r="P137" s="2"/>
      <c r="Q137" s="2"/>
      <c r="R137" s="2">
        <v>600</v>
      </c>
      <c r="S137" s="2">
        <v>60</v>
      </c>
      <c r="T137" s="13" t="str">
        <f t="shared" si="5"/>
        <v>BAG1376</v>
      </c>
      <c r="U137" s="2" t="s">
        <v>334</v>
      </c>
      <c r="V137" s="2"/>
      <c r="W137" s="2">
        <v>1.94</v>
      </c>
      <c r="X137" s="2">
        <v>3.05</v>
      </c>
      <c r="Y137" s="2">
        <v>1.76</v>
      </c>
      <c r="Z137" s="2">
        <v>0</v>
      </c>
      <c r="AA137" s="2">
        <v>0</v>
      </c>
      <c r="AB137" s="2">
        <v>0.64</v>
      </c>
      <c r="AC137" s="3" t="str">
        <f t="shared" si="4"/>
        <v>Loose</v>
      </c>
    </row>
    <row r="138" spans="1:29" x14ac:dyDescent="0.25">
      <c r="A138" s="1" t="s">
        <v>335</v>
      </c>
      <c r="B138" s="2" t="s">
        <v>29</v>
      </c>
      <c r="C138" s="2"/>
      <c r="D138" s="2"/>
      <c r="E138" s="2" t="s">
        <v>64</v>
      </c>
      <c r="F138" s="2">
        <v>1</v>
      </c>
      <c r="G138" s="2">
        <v>0.11</v>
      </c>
      <c r="H138" s="2" t="s">
        <v>73</v>
      </c>
      <c r="I138" s="2" t="s">
        <v>57</v>
      </c>
      <c r="J138" s="2" t="s">
        <v>33</v>
      </c>
      <c r="K138" s="2"/>
      <c r="L138" s="2"/>
      <c r="M138" s="2"/>
      <c r="N138" s="2"/>
      <c r="O138" s="2" t="s">
        <v>34</v>
      </c>
      <c r="P138" s="2"/>
      <c r="Q138" s="2"/>
      <c r="R138" s="2">
        <v>400</v>
      </c>
      <c r="S138" s="2">
        <v>44</v>
      </c>
      <c r="T138" s="13" t="str">
        <f t="shared" si="5"/>
        <v>BAG1378</v>
      </c>
      <c r="U138" s="2" t="s">
        <v>336</v>
      </c>
      <c r="V138" s="2"/>
      <c r="W138" s="2">
        <v>2.02</v>
      </c>
      <c r="X138" s="2">
        <v>3.37</v>
      </c>
      <c r="Y138" s="2">
        <v>1.63</v>
      </c>
      <c r="Z138" s="2">
        <v>0</v>
      </c>
      <c r="AA138" s="2">
        <v>0</v>
      </c>
      <c r="AB138" s="2">
        <v>0.6</v>
      </c>
      <c r="AC138" s="3" t="str">
        <f t="shared" si="4"/>
        <v>Loose</v>
      </c>
    </row>
    <row r="139" spans="1:29" x14ac:dyDescent="0.25">
      <c r="A139" s="1" t="s">
        <v>337</v>
      </c>
      <c r="B139" s="2" t="s">
        <v>29</v>
      </c>
      <c r="C139" s="2"/>
      <c r="D139" s="2"/>
      <c r="E139" s="2" t="s">
        <v>64</v>
      </c>
      <c r="F139" s="2">
        <v>1</v>
      </c>
      <c r="G139" s="2">
        <v>0.12</v>
      </c>
      <c r="H139" s="2" t="s">
        <v>49</v>
      </c>
      <c r="I139" s="2" t="s">
        <v>57</v>
      </c>
      <c r="J139" s="2" t="s">
        <v>33</v>
      </c>
      <c r="K139" s="2"/>
      <c r="L139" s="2"/>
      <c r="M139" s="2"/>
      <c r="N139" s="2"/>
      <c r="O139" s="2" t="s">
        <v>34</v>
      </c>
      <c r="P139" s="2"/>
      <c r="Q139" s="2"/>
      <c r="R139" s="2">
        <v>500</v>
      </c>
      <c r="S139" s="2">
        <v>60</v>
      </c>
      <c r="T139" s="13" t="str">
        <f t="shared" si="5"/>
        <v>BAG1379</v>
      </c>
      <c r="U139" s="2" t="s">
        <v>338</v>
      </c>
      <c r="V139" s="2"/>
      <c r="W139" s="2">
        <v>2.2000000000000002</v>
      </c>
      <c r="X139" s="2">
        <v>3.24</v>
      </c>
      <c r="Y139" s="2">
        <v>1.78</v>
      </c>
      <c r="Z139" s="2">
        <v>0</v>
      </c>
      <c r="AA139" s="2">
        <v>0</v>
      </c>
      <c r="AB139" s="2">
        <v>0.68</v>
      </c>
      <c r="AC139" s="3" t="str">
        <f t="shared" si="4"/>
        <v>Loose</v>
      </c>
    </row>
    <row r="140" spans="1:29" x14ac:dyDescent="0.25">
      <c r="A140" s="1" t="s">
        <v>339</v>
      </c>
      <c r="B140" s="2" t="s">
        <v>29</v>
      </c>
      <c r="C140" s="2"/>
      <c r="D140" s="2"/>
      <c r="E140" s="2" t="s">
        <v>64</v>
      </c>
      <c r="F140" s="2">
        <v>1</v>
      </c>
      <c r="G140" s="2">
        <v>0.1</v>
      </c>
      <c r="H140" s="2" t="s">
        <v>73</v>
      </c>
      <c r="I140" s="2" t="s">
        <v>53</v>
      </c>
      <c r="J140" s="2" t="s">
        <v>33</v>
      </c>
      <c r="K140" s="2"/>
      <c r="L140" s="2"/>
      <c r="M140" s="2"/>
      <c r="N140" s="2"/>
      <c r="O140" s="2" t="s">
        <v>58</v>
      </c>
      <c r="P140" s="2"/>
      <c r="Q140" s="2"/>
      <c r="R140" s="2">
        <v>222</v>
      </c>
      <c r="S140" s="2">
        <v>22.2</v>
      </c>
      <c r="T140" s="13" t="str">
        <f t="shared" si="5"/>
        <v>BAG1901</v>
      </c>
      <c r="U140" s="2" t="s">
        <v>340</v>
      </c>
      <c r="V140" s="2"/>
      <c r="W140" s="2">
        <v>1.85</v>
      </c>
      <c r="X140" s="2">
        <v>3.93</v>
      </c>
      <c r="Y140" s="2">
        <v>1.4</v>
      </c>
      <c r="Z140" s="2">
        <v>0</v>
      </c>
      <c r="AA140" s="2">
        <v>0</v>
      </c>
      <c r="AB140" s="2">
        <v>0.47</v>
      </c>
      <c r="AC140" s="3" t="str">
        <f t="shared" si="4"/>
        <v>Loose</v>
      </c>
    </row>
    <row r="141" spans="1:29" x14ac:dyDescent="0.25">
      <c r="A141" s="1" t="s">
        <v>341</v>
      </c>
      <c r="B141" s="2" t="s">
        <v>29</v>
      </c>
      <c r="C141" s="2"/>
      <c r="D141" s="2"/>
      <c r="E141" s="2" t="s">
        <v>64</v>
      </c>
      <c r="F141" s="2">
        <v>1</v>
      </c>
      <c r="G141" s="2">
        <v>0.17</v>
      </c>
      <c r="H141" s="2" t="s">
        <v>49</v>
      </c>
      <c r="I141" s="2" t="s">
        <v>39</v>
      </c>
      <c r="J141" s="2" t="s">
        <v>33</v>
      </c>
      <c r="K141" s="2"/>
      <c r="L141" s="2"/>
      <c r="M141" s="2"/>
      <c r="N141" s="2"/>
      <c r="O141" s="2" t="s">
        <v>34</v>
      </c>
      <c r="P141" s="2"/>
      <c r="Q141" s="2"/>
      <c r="R141" s="2">
        <v>700</v>
      </c>
      <c r="S141" s="2">
        <v>119</v>
      </c>
      <c r="T141" s="13" t="str">
        <f t="shared" si="5"/>
        <v>BAG1903</v>
      </c>
      <c r="U141" s="2" t="s">
        <v>342</v>
      </c>
      <c r="V141" s="2"/>
      <c r="W141" s="2">
        <v>1.56</v>
      </c>
      <c r="X141" s="2">
        <v>7.11</v>
      </c>
      <c r="Y141" s="2">
        <v>1.51</v>
      </c>
      <c r="Z141" s="2">
        <v>0</v>
      </c>
      <c r="AA141" s="2">
        <v>0</v>
      </c>
      <c r="AB141" s="2">
        <v>0.22</v>
      </c>
      <c r="AC141" s="3" t="str">
        <f t="shared" si="4"/>
        <v>Loose</v>
      </c>
    </row>
    <row r="142" spans="1:29" x14ac:dyDescent="0.25">
      <c r="A142" s="1" t="s">
        <v>343</v>
      </c>
      <c r="B142" s="2" t="s">
        <v>29</v>
      </c>
      <c r="C142" s="2"/>
      <c r="D142" s="2"/>
      <c r="E142" s="2" t="s">
        <v>64</v>
      </c>
      <c r="F142" s="2">
        <v>1</v>
      </c>
      <c r="G142" s="2">
        <v>0.11</v>
      </c>
      <c r="H142" s="2" t="s">
        <v>31</v>
      </c>
      <c r="I142" s="2" t="s">
        <v>53</v>
      </c>
      <c r="J142" s="2" t="s">
        <v>33</v>
      </c>
      <c r="K142" s="2"/>
      <c r="L142" s="2"/>
      <c r="M142" s="2"/>
      <c r="N142" s="2"/>
      <c r="O142" s="2" t="s">
        <v>34</v>
      </c>
      <c r="P142" s="2"/>
      <c r="Q142" s="2"/>
      <c r="R142" s="2">
        <v>600</v>
      </c>
      <c r="S142" s="2">
        <v>66</v>
      </c>
      <c r="T142" s="13" t="str">
        <f t="shared" si="5"/>
        <v>BAG1904</v>
      </c>
      <c r="U142" s="2" t="s">
        <v>344</v>
      </c>
      <c r="V142" s="2"/>
      <c r="W142" s="2">
        <v>1.45</v>
      </c>
      <c r="X142" s="2">
        <v>5.1100000000000003</v>
      </c>
      <c r="Y142" s="2">
        <v>1.38</v>
      </c>
      <c r="Z142" s="2">
        <v>0</v>
      </c>
      <c r="AA142" s="2">
        <v>0</v>
      </c>
      <c r="AB142" s="2">
        <v>0.28000000000000003</v>
      </c>
      <c r="AC142" s="3" t="str">
        <f t="shared" si="4"/>
        <v>Loose</v>
      </c>
    </row>
    <row r="143" spans="1:29" x14ac:dyDescent="0.25">
      <c r="A143" s="1" t="s">
        <v>345</v>
      </c>
      <c r="B143" s="2" t="s">
        <v>29</v>
      </c>
      <c r="C143" s="2"/>
      <c r="D143" s="2"/>
      <c r="E143" s="2" t="s">
        <v>64</v>
      </c>
      <c r="F143" s="2">
        <v>1</v>
      </c>
      <c r="G143" s="2">
        <v>0.11</v>
      </c>
      <c r="H143" s="2" t="s">
        <v>49</v>
      </c>
      <c r="I143" s="2" t="s">
        <v>53</v>
      </c>
      <c r="J143" s="2" t="s">
        <v>33</v>
      </c>
      <c r="K143" s="2"/>
      <c r="L143" s="2"/>
      <c r="M143" s="2"/>
      <c r="N143" s="2"/>
      <c r="O143" s="2" t="s">
        <v>34</v>
      </c>
      <c r="P143" s="2"/>
      <c r="Q143" s="2"/>
      <c r="R143" s="2">
        <v>600</v>
      </c>
      <c r="S143" s="2">
        <v>66</v>
      </c>
      <c r="T143" s="13" t="str">
        <f t="shared" si="5"/>
        <v>BAG1906</v>
      </c>
      <c r="U143" s="2" t="s">
        <v>346</v>
      </c>
      <c r="V143" s="2"/>
      <c r="W143" s="2">
        <v>1.74</v>
      </c>
      <c r="X143" s="2">
        <v>4.5</v>
      </c>
      <c r="Y143" s="2">
        <v>1.38</v>
      </c>
      <c r="Z143" s="2">
        <v>0</v>
      </c>
      <c r="AA143" s="2">
        <v>0</v>
      </c>
      <c r="AB143" s="2">
        <v>0.39</v>
      </c>
      <c r="AC143" s="3" t="str">
        <f t="shared" si="4"/>
        <v>Loose</v>
      </c>
    </row>
    <row r="144" spans="1:29" x14ac:dyDescent="0.25">
      <c r="A144" s="1" t="s">
        <v>347</v>
      </c>
      <c r="B144" s="2" t="s">
        <v>29</v>
      </c>
      <c r="C144" s="2"/>
      <c r="D144" s="2"/>
      <c r="E144" s="2" t="s">
        <v>64</v>
      </c>
      <c r="F144" s="2">
        <v>1</v>
      </c>
      <c r="G144" s="2">
        <v>0.11</v>
      </c>
      <c r="H144" s="2" t="s">
        <v>43</v>
      </c>
      <c r="I144" s="2" t="s">
        <v>57</v>
      </c>
      <c r="J144" s="2" t="s">
        <v>33</v>
      </c>
      <c r="K144" s="2"/>
      <c r="L144" s="2"/>
      <c r="M144" s="2"/>
      <c r="N144" s="2"/>
      <c r="O144" s="2" t="s">
        <v>61</v>
      </c>
      <c r="P144" s="2"/>
      <c r="Q144" s="2"/>
      <c r="R144" s="2">
        <v>500</v>
      </c>
      <c r="S144" s="2">
        <v>55</v>
      </c>
      <c r="T144" s="13" t="str">
        <f t="shared" si="5"/>
        <v>BAG1910</v>
      </c>
      <c r="U144" s="2" t="s">
        <v>348</v>
      </c>
      <c r="V144" s="2"/>
      <c r="W144" s="2">
        <v>1.68</v>
      </c>
      <c r="X144" s="2">
        <v>5.03</v>
      </c>
      <c r="Y144" s="2">
        <v>1.18</v>
      </c>
      <c r="Z144" s="2">
        <v>0</v>
      </c>
      <c r="AA144" s="2">
        <v>0</v>
      </c>
      <c r="AB144" s="2">
        <v>0.33</v>
      </c>
      <c r="AC144" s="3" t="str">
        <f t="shared" si="4"/>
        <v>Loose</v>
      </c>
    </row>
    <row r="145" spans="1:29" x14ac:dyDescent="0.25">
      <c r="A145" s="1" t="s">
        <v>349</v>
      </c>
      <c r="B145" s="2" t="s">
        <v>29</v>
      </c>
      <c r="C145" s="2"/>
      <c r="D145" s="2"/>
      <c r="E145" s="2" t="s">
        <v>64</v>
      </c>
      <c r="F145" s="2">
        <v>1</v>
      </c>
      <c r="G145" s="2">
        <v>0.13</v>
      </c>
      <c r="H145" s="2" t="s">
        <v>38</v>
      </c>
      <c r="I145" s="2" t="s">
        <v>50</v>
      </c>
      <c r="J145" s="2" t="s">
        <v>33</v>
      </c>
      <c r="K145" s="2"/>
      <c r="L145" s="2"/>
      <c r="M145" s="2"/>
      <c r="N145" s="2"/>
      <c r="O145" s="2" t="s">
        <v>61</v>
      </c>
      <c r="P145" s="2"/>
      <c r="Q145" s="2"/>
      <c r="R145" s="2">
        <v>300</v>
      </c>
      <c r="S145" s="2">
        <v>39</v>
      </c>
      <c r="T145" s="13" t="str">
        <f t="shared" si="5"/>
        <v>BAG1911</v>
      </c>
      <c r="U145" s="2" t="s">
        <v>350</v>
      </c>
      <c r="V145" s="2"/>
      <c r="W145" s="2">
        <v>1.55</v>
      </c>
      <c r="X145" s="2">
        <v>5.34</v>
      </c>
      <c r="Y145" s="2">
        <v>1.51</v>
      </c>
      <c r="Z145" s="2">
        <v>0</v>
      </c>
      <c r="AA145" s="2">
        <v>0</v>
      </c>
      <c r="AB145" s="2">
        <v>0.28999999999999998</v>
      </c>
      <c r="AC145" s="3" t="str">
        <f t="shared" si="4"/>
        <v>Loose</v>
      </c>
    </row>
    <row r="146" spans="1:29" x14ac:dyDescent="0.25">
      <c r="A146" s="1" t="s">
        <v>351</v>
      </c>
      <c r="B146" s="2" t="s">
        <v>29</v>
      </c>
      <c r="C146" s="2"/>
      <c r="D146" s="2"/>
      <c r="E146" s="2" t="s">
        <v>64</v>
      </c>
      <c r="F146" s="2">
        <v>1</v>
      </c>
      <c r="G146" s="2">
        <v>0.1</v>
      </c>
      <c r="H146" s="2" t="s">
        <v>38</v>
      </c>
      <c r="I146" s="2" t="s">
        <v>32</v>
      </c>
      <c r="J146" s="2" t="s">
        <v>33</v>
      </c>
      <c r="K146" s="2"/>
      <c r="L146" s="2"/>
      <c r="M146" s="2"/>
      <c r="N146" s="2"/>
      <c r="O146" s="2" t="s">
        <v>34</v>
      </c>
      <c r="P146" s="2"/>
      <c r="Q146" s="2"/>
      <c r="R146" s="2">
        <v>202</v>
      </c>
      <c r="S146" s="2">
        <v>20.2</v>
      </c>
      <c r="T146" s="13" t="str">
        <f t="shared" si="5"/>
        <v>BAG1916</v>
      </c>
      <c r="U146" s="2" t="s">
        <v>352</v>
      </c>
      <c r="V146" s="2"/>
      <c r="W146" s="2">
        <v>1.92</v>
      </c>
      <c r="X146" s="2">
        <v>3.3</v>
      </c>
      <c r="Y146" s="2">
        <v>1.56</v>
      </c>
      <c r="Z146" s="2">
        <v>0</v>
      </c>
      <c r="AA146" s="2">
        <v>0</v>
      </c>
      <c r="AB146" s="2">
        <v>0.57999999999999996</v>
      </c>
      <c r="AC146" s="3" t="str">
        <f t="shared" si="4"/>
        <v>Loose</v>
      </c>
    </row>
    <row r="147" spans="1:29" x14ac:dyDescent="0.25">
      <c r="A147" s="1" t="s">
        <v>353</v>
      </c>
      <c r="B147" s="2" t="s">
        <v>29</v>
      </c>
      <c r="C147" s="2"/>
      <c r="D147" s="2"/>
      <c r="E147" s="2" t="s">
        <v>64</v>
      </c>
      <c r="F147" s="2">
        <v>1</v>
      </c>
      <c r="G147" s="2">
        <v>0.17</v>
      </c>
      <c r="H147" s="2" t="s">
        <v>73</v>
      </c>
      <c r="I147" s="2" t="s">
        <v>32</v>
      </c>
      <c r="J147" s="2" t="s">
        <v>33</v>
      </c>
      <c r="K147" s="2"/>
      <c r="L147" s="2"/>
      <c r="M147" s="2"/>
      <c r="N147" s="2"/>
      <c r="O147" s="2" t="s">
        <v>70</v>
      </c>
      <c r="P147" s="2"/>
      <c r="Q147" s="2"/>
      <c r="R147" s="2">
        <v>300</v>
      </c>
      <c r="S147" s="2">
        <v>51</v>
      </c>
      <c r="T147" s="13" t="str">
        <f t="shared" si="5"/>
        <v>BAG1920</v>
      </c>
      <c r="U147" s="2" t="s">
        <v>354</v>
      </c>
      <c r="V147" s="2"/>
      <c r="W147" s="2">
        <v>1.98</v>
      </c>
      <c r="X147" s="2">
        <v>5.99</v>
      </c>
      <c r="Y147" s="2">
        <v>1.34</v>
      </c>
      <c r="Z147" s="2">
        <v>0</v>
      </c>
      <c r="AA147" s="2">
        <v>0</v>
      </c>
      <c r="AB147" s="2">
        <v>0.33</v>
      </c>
      <c r="AC147" s="3" t="str">
        <f t="shared" si="4"/>
        <v>Loose</v>
      </c>
    </row>
    <row r="148" spans="1:29" x14ac:dyDescent="0.25">
      <c r="A148" s="1" t="s">
        <v>355</v>
      </c>
      <c r="B148" s="2" t="s">
        <v>29</v>
      </c>
      <c r="C148" s="2"/>
      <c r="D148" s="2"/>
      <c r="E148" s="2" t="s">
        <v>64</v>
      </c>
      <c r="F148" s="2">
        <v>1</v>
      </c>
      <c r="G148" s="2">
        <v>0.1</v>
      </c>
      <c r="H148" s="2" t="s">
        <v>73</v>
      </c>
      <c r="I148" s="2" t="s">
        <v>68</v>
      </c>
      <c r="J148" s="2" t="s">
        <v>33</v>
      </c>
      <c r="K148" s="2"/>
      <c r="L148" s="2"/>
      <c r="M148" s="2"/>
      <c r="N148" s="2"/>
      <c r="O148" s="2" t="s">
        <v>58</v>
      </c>
      <c r="P148" s="2"/>
      <c r="Q148" s="2"/>
      <c r="R148" s="2">
        <v>202</v>
      </c>
      <c r="S148" s="2">
        <v>20.2</v>
      </c>
      <c r="T148" s="13" t="str">
        <f t="shared" si="5"/>
        <v>BAG1921</v>
      </c>
      <c r="U148" s="2" t="s">
        <v>356</v>
      </c>
      <c r="V148" s="2"/>
      <c r="W148" s="2">
        <v>1.78</v>
      </c>
      <c r="X148" s="2">
        <v>4.03</v>
      </c>
      <c r="Y148" s="2">
        <v>1.36</v>
      </c>
      <c r="Z148" s="2">
        <v>0</v>
      </c>
      <c r="AA148" s="2">
        <v>0</v>
      </c>
      <c r="AB148" s="2">
        <v>0.44</v>
      </c>
      <c r="AC148" s="3" t="str">
        <f t="shared" si="4"/>
        <v>Loose</v>
      </c>
    </row>
    <row r="149" spans="1:29" x14ac:dyDescent="0.25">
      <c r="A149" s="1" t="s">
        <v>357</v>
      </c>
      <c r="B149" s="2" t="s">
        <v>29</v>
      </c>
      <c r="C149" s="2"/>
      <c r="D149" s="2"/>
      <c r="E149" s="2" t="s">
        <v>64</v>
      </c>
      <c r="F149" s="2">
        <v>1</v>
      </c>
      <c r="G149" s="2">
        <v>0.1</v>
      </c>
      <c r="H149" s="2" t="s">
        <v>31</v>
      </c>
      <c r="I149" s="2" t="s">
        <v>53</v>
      </c>
      <c r="J149" s="2" t="s">
        <v>33</v>
      </c>
      <c r="K149" s="2"/>
      <c r="L149" s="2"/>
      <c r="M149" s="2"/>
      <c r="N149" s="2"/>
      <c r="O149" s="2" t="s">
        <v>34</v>
      </c>
      <c r="P149" s="2"/>
      <c r="Q149" s="2"/>
      <c r="R149" s="2">
        <v>202</v>
      </c>
      <c r="S149" s="2">
        <v>20.2</v>
      </c>
      <c r="T149" s="13" t="str">
        <f t="shared" si="5"/>
        <v>BAG1934</v>
      </c>
      <c r="U149" s="2" t="s">
        <v>358</v>
      </c>
      <c r="V149" s="2"/>
      <c r="W149" s="2">
        <v>2.1800000000000002</v>
      </c>
      <c r="X149" s="2">
        <v>3.02</v>
      </c>
      <c r="Y149" s="2">
        <v>1.53</v>
      </c>
      <c r="Z149" s="2">
        <v>0</v>
      </c>
      <c r="AA149" s="2">
        <v>0</v>
      </c>
      <c r="AB149" s="2">
        <v>0.72</v>
      </c>
      <c r="AC149" s="3" t="str">
        <f t="shared" si="4"/>
        <v>Loose</v>
      </c>
    </row>
    <row r="150" spans="1:29" x14ac:dyDescent="0.25">
      <c r="A150" s="1" t="s">
        <v>359</v>
      </c>
      <c r="B150" s="2" t="s">
        <v>29</v>
      </c>
      <c r="C150" s="2"/>
      <c r="D150" s="2"/>
      <c r="E150" s="2" t="s">
        <v>64</v>
      </c>
      <c r="F150" s="2">
        <v>1</v>
      </c>
      <c r="G150" s="2">
        <v>0.15</v>
      </c>
      <c r="H150" s="2" t="s">
        <v>31</v>
      </c>
      <c r="I150" s="2" t="s">
        <v>32</v>
      </c>
      <c r="J150" s="2" t="s">
        <v>33</v>
      </c>
      <c r="K150" s="2"/>
      <c r="L150" s="2"/>
      <c r="M150" s="2"/>
      <c r="N150" s="2"/>
      <c r="O150" s="2" t="s">
        <v>34</v>
      </c>
      <c r="P150" s="2"/>
      <c r="Q150" s="2"/>
      <c r="R150" s="2">
        <v>500</v>
      </c>
      <c r="S150" s="2">
        <v>75</v>
      </c>
      <c r="T150" s="13" t="str">
        <f t="shared" si="5"/>
        <v>BAG1949</v>
      </c>
      <c r="U150" s="2" t="s">
        <v>360</v>
      </c>
      <c r="V150" s="2"/>
      <c r="W150" s="2">
        <v>1.99</v>
      </c>
      <c r="X150" s="2">
        <v>6.24</v>
      </c>
      <c r="Y150" s="2">
        <v>1.1200000000000001</v>
      </c>
      <c r="Z150" s="2">
        <v>0</v>
      </c>
      <c r="AA150" s="2">
        <v>0</v>
      </c>
      <c r="AB150" s="2">
        <v>0.32</v>
      </c>
      <c r="AC150" s="3" t="str">
        <f t="shared" si="4"/>
        <v>Loose</v>
      </c>
    </row>
    <row r="151" spans="1:29" x14ac:dyDescent="0.25">
      <c r="A151" s="1" t="s">
        <v>361</v>
      </c>
      <c r="B151" s="2" t="s">
        <v>29</v>
      </c>
      <c r="C151" s="2"/>
      <c r="D151" s="2"/>
      <c r="E151" s="2" t="s">
        <v>64</v>
      </c>
      <c r="F151" s="2">
        <v>1</v>
      </c>
      <c r="G151" s="2">
        <v>0.11</v>
      </c>
      <c r="H151" s="2" t="s">
        <v>31</v>
      </c>
      <c r="I151" s="2" t="s">
        <v>50</v>
      </c>
      <c r="J151" s="2" t="s">
        <v>33</v>
      </c>
      <c r="K151" s="2"/>
      <c r="L151" s="2"/>
      <c r="M151" s="2"/>
      <c r="N151" s="2"/>
      <c r="O151" s="2" t="s">
        <v>34</v>
      </c>
      <c r="P151" s="2"/>
      <c r="Q151" s="2"/>
      <c r="R151" s="2">
        <v>150</v>
      </c>
      <c r="S151" s="2">
        <v>16.5</v>
      </c>
      <c r="T151" s="13" t="str">
        <f t="shared" si="5"/>
        <v>BAG1950</v>
      </c>
      <c r="U151" s="2" t="s">
        <v>362</v>
      </c>
      <c r="V151" s="2"/>
      <c r="W151" s="2">
        <v>1.55</v>
      </c>
      <c r="X151" s="2">
        <v>5.05</v>
      </c>
      <c r="Y151" s="2">
        <v>1.27</v>
      </c>
      <c r="Z151" s="2">
        <v>0</v>
      </c>
      <c r="AA151" s="2">
        <v>0</v>
      </c>
      <c r="AB151" s="2">
        <v>0.31</v>
      </c>
      <c r="AC151" s="3" t="str">
        <f t="shared" si="4"/>
        <v>Loose</v>
      </c>
    </row>
    <row r="152" spans="1:29" x14ac:dyDescent="0.25">
      <c r="A152" s="1" t="s">
        <v>363</v>
      </c>
      <c r="B152" s="2" t="s">
        <v>29</v>
      </c>
      <c r="C152" s="2"/>
      <c r="D152" s="2"/>
      <c r="E152" s="2" t="s">
        <v>64</v>
      </c>
      <c r="F152" s="2">
        <v>1</v>
      </c>
      <c r="G152" s="2">
        <v>0.11</v>
      </c>
      <c r="H152" s="2" t="s">
        <v>76</v>
      </c>
      <c r="I152" s="2" t="s">
        <v>39</v>
      </c>
      <c r="J152" s="2" t="s">
        <v>33</v>
      </c>
      <c r="K152" s="2"/>
      <c r="L152" s="2"/>
      <c r="M152" s="2"/>
      <c r="N152" s="2"/>
      <c r="O152" s="2" t="s">
        <v>34</v>
      </c>
      <c r="P152" s="2"/>
      <c r="Q152" s="2"/>
      <c r="R152" s="2">
        <v>300</v>
      </c>
      <c r="S152" s="2">
        <v>33</v>
      </c>
      <c r="T152" s="13" t="str">
        <f t="shared" si="5"/>
        <v>BAG1953</v>
      </c>
      <c r="U152" s="2" t="s">
        <v>364</v>
      </c>
      <c r="V152" s="2"/>
      <c r="W152" s="2">
        <v>1.8</v>
      </c>
      <c r="X152" s="2">
        <v>4.21</v>
      </c>
      <c r="Y152" s="2">
        <v>1.48</v>
      </c>
      <c r="Z152" s="2">
        <v>0</v>
      </c>
      <c r="AA152" s="2">
        <v>0</v>
      </c>
      <c r="AB152" s="2">
        <v>0.43</v>
      </c>
      <c r="AC152" s="3" t="str">
        <f t="shared" si="4"/>
        <v>Loose</v>
      </c>
    </row>
    <row r="153" spans="1:29" x14ac:dyDescent="0.25">
      <c r="A153" s="1" t="s">
        <v>365</v>
      </c>
      <c r="B153" s="2" t="s">
        <v>29</v>
      </c>
      <c r="C153" s="2"/>
      <c r="D153" s="2"/>
      <c r="E153" s="2" t="s">
        <v>64</v>
      </c>
      <c r="F153" s="2">
        <v>1</v>
      </c>
      <c r="G153" s="2">
        <v>0.1</v>
      </c>
      <c r="H153" s="2" t="s">
        <v>38</v>
      </c>
      <c r="I153" s="2" t="s">
        <v>57</v>
      </c>
      <c r="J153" s="2" t="s">
        <v>33</v>
      </c>
      <c r="K153" s="2"/>
      <c r="L153" s="2"/>
      <c r="M153" s="2"/>
      <c r="N153" s="2"/>
      <c r="O153" s="2" t="s">
        <v>34</v>
      </c>
      <c r="P153" s="2"/>
      <c r="Q153" s="2"/>
      <c r="R153" s="2">
        <v>202</v>
      </c>
      <c r="S153" s="2">
        <v>20.2</v>
      </c>
      <c r="T153" s="13" t="str">
        <f t="shared" si="5"/>
        <v>BAG1955</v>
      </c>
      <c r="U153" s="2" t="s">
        <v>366</v>
      </c>
      <c r="V153" s="2"/>
      <c r="W153" s="2">
        <v>1.51</v>
      </c>
      <c r="X153" s="2">
        <v>5.79</v>
      </c>
      <c r="Y153" s="2">
        <v>1.03</v>
      </c>
      <c r="Z153" s="2">
        <v>0</v>
      </c>
      <c r="AA153" s="2">
        <v>0</v>
      </c>
      <c r="AB153" s="2">
        <v>0.26</v>
      </c>
      <c r="AC153" s="3" t="str">
        <f t="shared" si="4"/>
        <v>Loose</v>
      </c>
    </row>
    <row r="154" spans="1:29" x14ac:dyDescent="0.25">
      <c r="A154" s="1" t="s">
        <v>367</v>
      </c>
      <c r="B154" s="2" t="s">
        <v>29</v>
      </c>
      <c r="C154" s="2"/>
      <c r="D154" s="2"/>
      <c r="E154" s="2" t="s">
        <v>64</v>
      </c>
      <c r="F154" s="2">
        <v>1</v>
      </c>
      <c r="G154" s="2">
        <v>0.11</v>
      </c>
      <c r="H154" s="2" t="s">
        <v>38</v>
      </c>
      <c r="I154" s="2" t="s">
        <v>39</v>
      </c>
      <c r="J154" s="2" t="s">
        <v>33</v>
      </c>
      <c r="K154" s="2"/>
      <c r="L154" s="2"/>
      <c r="M154" s="2"/>
      <c r="N154" s="2"/>
      <c r="O154" s="2" t="s">
        <v>34</v>
      </c>
      <c r="P154" s="2"/>
      <c r="Q154" s="2"/>
      <c r="R154" s="2">
        <v>700</v>
      </c>
      <c r="S154" s="2">
        <v>77</v>
      </c>
      <c r="T154" s="13" t="str">
        <f t="shared" si="5"/>
        <v>BAG1956</v>
      </c>
      <c r="U154" s="2" t="s">
        <v>368</v>
      </c>
      <c r="V154" s="2"/>
      <c r="W154" s="2">
        <v>1.62</v>
      </c>
      <c r="X154" s="2">
        <v>5.8</v>
      </c>
      <c r="Y154" s="2">
        <v>0.99</v>
      </c>
      <c r="Z154" s="2">
        <v>0</v>
      </c>
      <c r="AA154" s="2">
        <v>0</v>
      </c>
      <c r="AB154" s="2">
        <v>0.28000000000000003</v>
      </c>
      <c r="AC154" s="3" t="str">
        <f t="shared" si="4"/>
        <v>Loose</v>
      </c>
    </row>
    <row r="155" spans="1:29" x14ac:dyDescent="0.25">
      <c r="A155" s="1" t="s">
        <v>369</v>
      </c>
      <c r="B155" s="2" t="s">
        <v>29</v>
      </c>
      <c r="C155" s="2"/>
      <c r="D155" s="2"/>
      <c r="E155" s="2" t="s">
        <v>64</v>
      </c>
      <c r="F155" s="2">
        <v>1</v>
      </c>
      <c r="G155" s="2">
        <v>0.13</v>
      </c>
      <c r="H155" s="2" t="s">
        <v>38</v>
      </c>
      <c r="I155" s="2" t="s">
        <v>32</v>
      </c>
      <c r="J155" s="2" t="s">
        <v>33</v>
      </c>
      <c r="K155" s="2"/>
      <c r="L155" s="2"/>
      <c r="M155" s="2"/>
      <c r="N155" s="2"/>
      <c r="O155" s="2" t="s">
        <v>34</v>
      </c>
      <c r="P155" s="2"/>
      <c r="Q155" s="2"/>
      <c r="R155" s="2">
        <v>600</v>
      </c>
      <c r="S155" s="2">
        <v>78</v>
      </c>
      <c r="T155" s="13" t="str">
        <f t="shared" si="5"/>
        <v>BAG1959</v>
      </c>
      <c r="U155" s="2" t="s">
        <v>370</v>
      </c>
      <c r="V155" s="2"/>
      <c r="W155" s="2">
        <v>2.35</v>
      </c>
      <c r="X155" s="2">
        <v>3.89</v>
      </c>
      <c r="Y155" s="2">
        <v>1.56</v>
      </c>
      <c r="Z155" s="2">
        <v>0</v>
      </c>
      <c r="AA155" s="2">
        <v>0</v>
      </c>
      <c r="AB155" s="2">
        <v>0.6</v>
      </c>
      <c r="AC155" s="3" t="str">
        <f t="shared" si="4"/>
        <v>Loose</v>
      </c>
    </row>
    <row r="156" spans="1:29" x14ac:dyDescent="0.25">
      <c r="A156" s="1" t="s">
        <v>371</v>
      </c>
      <c r="B156" s="2" t="s">
        <v>29</v>
      </c>
      <c r="C156" s="2"/>
      <c r="D156" s="2"/>
      <c r="E156" s="2" t="s">
        <v>64</v>
      </c>
      <c r="F156" s="2">
        <v>1</v>
      </c>
      <c r="G156" s="2">
        <v>0.11</v>
      </c>
      <c r="H156" s="2" t="s">
        <v>43</v>
      </c>
      <c r="I156" s="2" t="s">
        <v>39</v>
      </c>
      <c r="J156" s="2" t="s">
        <v>33</v>
      </c>
      <c r="K156" s="2"/>
      <c r="L156" s="2"/>
      <c r="M156" s="2"/>
      <c r="N156" s="2"/>
      <c r="O156" s="2" t="s">
        <v>34</v>
      </c>
      <c r="P156" s="2"/>
      <c r="Q156" s="2"/>
      <c r="R156" s="2">
        <v>600</v>
      </c>
      <c r="S156" s="2">
        <v>66</v>
      </c>
      <c r="T156" s="13" t="str">
        <f t="shared" si="5"/>
        <v>BAG1962</v>
      </c>
      <c r="U156" s="2" t="s">
        <v>372</v>
      </c>
      <c r="V156" s="2"/>
      <c r="W156" s="2">
        <v>1.34</v>
      </c>
      <c r="X156" s="2">
        <v>5.38</v>
      </c>
      <c r="Y156" s="2">
        <v>1.38</v>
      </c>
      <c r="Z156" s="2">
        <v>0</v>
      </c>
      <c r="AA156" s="2">
        <v>0</v>
      </c>
      <c r="AB156" s="2">
        <v>0.25</v>
      </c>
      <c r="AC156" s="3" t="str">
        <f t="shared" si="4"/>
        <v>Loose</v>
      </c>
    </row>
    <row r="157" spans="1:29" x14ac:dyDescent="0.25">
      <c r="A157" s="1" t="s">
        <v>373</v>
      </c>
      <c r="B157" s="2" t="s">
        <v>29</v>
      </c>
      <c r="C157" s="2"/>
      <c r="D157" s="2"/>
      <c r="E157" s="2" t="s">
        <v>64</v>
      </c>
      <c r="F157" s="2">
        <v>1</v>
      </c>
      <c r="G157" s="2">
        <v>0.2</v>
      </c>
      <c r="H157" s="2" t="s">
        <v>38</v>
      </c>
      <c r="I157" s="2" t="s">
        <v>32</v>
      </c>
      <c r="J157" s="2" t="s">
        <v>33</v>
      </c>
      <c r="K157" s="2"/>
      <c r="L157" s="2"/>
      <c r="M157" s="2"/>
      <c r="N157" s="2"/>
      <c r="O157" s="2" t="s">
        <v>34</v>
      </c>
      <c r="P157" s="2"/>
      <c r="Q157" s="2"/>
      <c r="R157" s="2">
        <v>1050</v>
      </c>
      <c r="S157" s="2">
        <v>210</v>
      </c>
      <c r="T157" s="13" t="str">
        <f t="shared" si="5"/>
        <v>BAG1964</v>
      </c>
      <c r="U157" s="2" t="s">
        <v>374</v>
      </c>
      <c r="V157" s="2"/>
      <c r="W157" s="2">
        <v>1.73</v>
      </c>
      <c r="X157" s="2">
        <v>8.33</v>
      </c>
      <c r="Y157" s="2">
        <v>1.38</v>
      </c>
      <c r="Z157" s="2">
        <v>0</v>
      </c>
      <c r="AA157" s="2">
        <v>0</v>
      </c>
      <c r="AB157" s="2">
        <v>0.21</v>
      </c>
      <c r="AC157" s="3" t="str">
        <f t="shared" si="4"/>
        <v>Loose</v>
      </c>
    </row>
    <row r="158" spans="1:29" x14ac:dyDescent="0.25">
      <c r="A158" s="1" t="s">
        <v>375</v>
      </c>
      <c r="B158" s="2" t="s">
        <v>29</v>
      </c>
      <c r="C158" s="2"/>
      <c r="D158" s="2"/>
      <c r="E158" s="2" t="s">
        <v>64</v>
      </c>
      <c r="F158" s="2">
        <v>1</v>
      </c>
      <c r="G158" s="2">
        <v>0.17</v>
      </c>
      <c r="H158" s="2" t="s">
        <v>43</v>
      </c>
      <c r="I158" s="2" t="s">
        <v>32</v>
      </c>
      <c r="J158" s="2" t="s">
        <v>33</v>
      </c>
      <c r="K158" s="2"/>
      <c r="L158" s="2"/>
      <c r="M158" s="2"/>
      <c r="N158" s="2"/>
      <c r="O158" s="2" t="s">
        <v>34</v>
      </c>
      <c r="P158" s="2"/>
      <c r="Q158" s="2"/>
      <c r="R158" s="2">
        <v>800</v>
      </c>
      <c r="S158" s="2">
        <v>136</v>
      </c>
      <c r="T158" s="13" t="str">
        <f t="shared" si="5"/>
        <v>BAG1380</v>
      </c>
      <c r="U158" s="2" t="s">
        <v>376</v>
      </c>
      <c r="V158" s="2"/>
      <c r="W158" s="2">
        <v>5.31</v>
      </c>
      <c r="X158" s="2">
        <v>1.53</v>
      </c>
      <c r="Y158" s="2">
        <v>1.95</v>
      </c>
      <c r="Z158" s="2">
        <v>0</v>
      </c>
      <c r="AA158" s="2">
        <v>0</v>
      </c>
      <c r="AB158" s="2">
        <v>3.47</v>
      </c>
      <c r="AC158" s="3" t="str">
        <f t="shared" si="4"/>
        <v>Loose</v>
      </c>
    </row>
    <row r="159" spans="1:29" x14ac:dyDescent="0.25">
      <c r="A159" s="1" t="s">
        <v>377</v>
      </c>
      <c r="B159" s="2" t="s">
        <v>29</v>
      </c>
      <c r="C159" s="2"/>
      <c r="D159" s="2"/>
      <c r="E159" s="2" t="s">
        <v>64</v>
      </c>
      <c r="F159" s="2">
        <v>1</v>
      </c>
      <c r="G159" s="2">
        <v>0.1</v>
      </c>
      <c r="H159" s="2" t="s">
        <v>38</v>
      </c>
      <c r="I159" s="2" t="s">
        <v>57</v>
      </c>
      <c r="J159" s="2" t="s">
        <v>33</v>
      </c>
      <c r="K159" s="2"/>
      <c r="L159" s="2"/>
      <c r="M159" s="2"/>
      <c r="N159" s="2"/>
      <c r="O159" s="2" t="s">
        <v>34</v>
      </c>
      <c r="P159" s="2"/>
      <c r="Q159" s="2"/>
      <c r="R159" s="2">
        <v>866</v>
      </c>
      <c r="S159" s="2">
        <v>86.6</v>
      </c>
      <c r="T159" s="13" t="str">
        <f t="shared" si="5"/>
        <v>BAG1394</v>
      </c>
      <c r="U159" s="2" t="s">
        <v>378</v>
      </c>
      <c r="V159" s="2"/>
      <c r="W159" s="2">
        <v>1.99</v>
      </c>
      <c r="X159" s="2">
        <v>4.9400000000000004</v>
      </c>
      <c r="Y159" s="2">
        <v>1.02</v>
      </c>
      <c r="Z159" s="2">
        <v>0</v>
      </c>
      <c r="AA159" s="2">
        <v>0</v>
      </c>
      <c r="AB159" s="2">
        <v>0.4</v>
      </c>
      <c r="AC159" s="3" t="str">
        <f t="shared" si="4"/>
        <v>Loose</v>
      </c>
    </row>
    <row r="160" spans="1:29" x14ac:dyDescent="0.25">
      <c r="A160" s="1" t="s">
        <v>379</v>
      </c>
      <c r="B160" s="2" t="s">
        <v>29</v>
      </c>
      <c r="C160" s="2"/>
      <c r="D160" s="2"/>
      <c r="E160" s="2" t="s">
        <v>64</v>
      </c>
      <c r="F160" s="2">
        <v>1</v>
      </c>
      <c r="G160" s="2">
        <v>0.12</v>
      </c>
      <c r="H160" s="2" t="s">
        <v>38</v>
      </c>
      <c r="I160" s="2" t="s">
        <v>50</v>
      </c>
      <c r="J160" s="2" t="s">
        <v>33</v>
      </c>
      <c r="K160" s="2"/>
      <c r="L160" s="2"/>
      <c r="M160" s="2"/>
      <c r="N160" s="2"/>
      <c r="O160" s="2" t="s">
        <v>34</v>
      </c>
      <c r="P160" s="2"/>
      <c r="Q160" s="2"/>
      <c r="R160" s="2">
        <v>400</v>
      </c>
      <c r="S160" s="2">
        <v>48</v>
      </c>
      <c r="T160" s="13" t="str">
        <f t="shared" si="5"/>
        <v>BAG1381</v>
      </c>
      <c r="U160" s="2" t="s">
        <v>380</v>
      </c>
      <c r="V160" s="2"/>
      <c r="W160" s="2">
        <v>2.21</v>
      </c>
      <c r="X160" s="2">
        <v>3.6</v>
      </c>
      <c r="Y160" s="2">
        <v>1.56</v>
      </c>
      <c r="Z160" s="2">
        <v>0</v>
      </c>
      <c r="AA160" s="2">
        <v>0</v>
      </c>
      <c r="AB160" s="2">
        <v>0.61</v>
      </c>
      <c r="AC160" s="3" t="str">
        <f t="shared" si="4"/>
        <v>Loose</v>
      </c>
    </row>
    <row r="161" spans="1:29" x14ac:dyDescent="0.25">
      <c r="A161" s="1" t="s">
        <v>381</v>
      </c>
      <c r="B161" s="2" t="s">
        <v>29</v>
      </c>
      <c r="C161" s="2"/>
      <c r="D161" s="2"/>
      <c r="E161" s="2" t="s">
        <v>64</v>
      </c>
      <c r="F161" s="2">
        <v>1</v>
      </c>
      <c r="G161" s="2">
        <v>0.13</v>
      </c>
      <c r="H161" s="2" t="s">
        <v>38</v>
      </c>
      <c r="I161" s="2" t="s">
        <v>50</v>
      </c>
      <c r="J161" s="2" t="s">
        <v>33</v>
      </c>
      <c r="K161" s="2"/>
      <c r="L161" s="2"/>
      <c r="M161" s="2"/>
      <c r="N161" s="2"/>
      <c r="O161" s="2" t="s">
        <v>34</v>
      </c>
      <c r="P161" s="2"/>
      <c r="Q161" s="2"/>
      <c r="R161" s="2">
        <v>300</v>
      </c>
      <c r="S161" s="2">
        <v>39</v>
      </c>
      <c r="T161" s="13" t="str">
        <f t="shared" si="5"/>
        <v>BAG1382</v>
      </c>
      <c r="U161" s="2" t="s">
        <v>382</v>
      </c>
      <c r="V161" s="2"/>
      <c r="W161" s="2">
        <v>1.92</v>
      </c>
      <c r="X161" s="2">
        <v>5.05</v>
      </c>
      <c r="Y161" s="2">
        <v>1.29</v>
      </c>
      <c r="Z161" s="2">
        <v>0</v>
      </c>
      <c r="AA161" s="2">
        <v>0</v>
      </c>
      <c r="AB161" s="2">
        <v>0.38</v>
      </c>
      <c r="AC161" s="3" t="str">
        <f t="shared" si="4"/>
        <v>Loose</v>
      </c>
    </row>
    <row r="162" spans="1:29" x14ac:dyDescent="0.25">
      <c r="A162" s="1" t="s">
        <v>383</v>
      </c>
      <c r="B162" s="2" t="s">
        <v>29</v>
      </c>
      <c r="C162" s="2"/>
      <c r="D162" s="2"/>
      <c r="E162" s="2" t="s">
        <v>64</v>
      </c>
      <c r="F162" s="2">
        <v>1</v>
      </c>
      <c r="G162" s="2">
        <v>0.17</v>
      </c>
      <c r="H162" s="2" t="s">
        <v>31</v>
      </c>
      <c r="I162" s="2" t="s">
        <v>57</v>
      </c>
      <c r="J162" s="2" t="s">
        <v>33</v>
      </c>
      <c r="K162" s="2"/>
      <c r="L162" s="2"/>
      <c r="M162" s="2"/>
      <c r="N162" s="2"/>
      <c r="O162" s="2" t="s">
        <v>70</v>
      </c>
      <c r="P162" s="2"/>
      <c r="Q162" s="2"/>
      <c r="R162" s="2">
        <v>700</v>
      </c>
      <c r="S162" s="2">
        <v>119</v>
      </c>
      <c r="T162" s="13" t="str">
        <f t="shared" si="5"/>
        <v>BAG017</v>
      </c>
      <c r="U162" s="2" t="s">
        <v>384</v>
      </c>
      <c r="V162" s="2"/>
      <c r="W162" s="2">
        <v>4.58</v>
      </c>
      <c r="X162" s="2">
        <v>1.71</v>
      </c>
      <c r="Y162" s="2">
        <v>2.15</v>
      </c>
      <c r="Z162" s="2">
        <v>0</v>
      </c>
      <c r="AA162" s="2">
        <v>0</v>
      </c>
      <c r="AB162" s="2">
        <v>2.68</v>
      </c>
      <c r="AC162" s="3" t="str">
        <f t="shared" si="4"/>
        <v>Loose</v>
      </c>
    </row>
    <row r="163" spans="1:29" x14ac:dyDescent="0.25">
      <c r="A163" s="1" t="s">
        <v>385</v>
      </c>
      <c r="B163" s="2" t="s">
        <v>29</v>
      </c>
      <c r="C163" s="2"/>
      <c r="D163" s="2"/>
      <c r="E163" s="2" t="s">
        <v>64</v>
      </c>
      <c r="F163" s="2">
        <v>1</v>
      </c>
      <c r="G163" s="2">
        <v>0.2</v>
      </c>
      <c r="H163" s="2" t="s">
        <v>43</v>
      </c>
      <c r="I163" s="2" t="s">
        <v>39</v>
      </c>
      <c r="J163" s="2" t="s">
        <v>33</v>
      </c>
      <c r="K163" s="2"/>
      <c r="L163" s="2"/>
      <c r="M163" s="2"/>
      <c r="N163" s="2"/>
      <c r="O163" s="2" t="s">
        <v>34</v>
      </c>
      <c r="P163" s="2"/>
      <c r="Q163" s="2"/>
      <c r="R163" s="2">
        <v>1300</v>
      </c>
      <c r="S163" s="2">
        <v>260</v>
      </c>
      <c r="T163" s="13" t="str">
        <f t="shared" si="5"/>
        <v>BAG020</v>
      </c>
      <c r="U163" s="2" t="s">
        <v>386</v>
      </c>
      <c r="V163" s="2"/>
      <c r="W163" s="2">
        <v>4.6399999999999997</v>
      </c>
      <c r="X163" s="2">
        <v>1.88</v>
      </c>
      <c r="Y163" s="2">
        <v>2.31</v>
      </c>
      <c r="Z163" s="2">
        <v>0</v>
      </c>
      <c r="AA163" s="2">
        <v>0</v>
      </c>
      <c r="AB163" s="2">
        <v>2.4700000000000002</v>
      </c>
      <c r="AC163" s="3" t="str">
        <f t="shared" si="4"/>
        <v>Loose</v>
      </c>
    </row>
    <row r="164" spans="1:29" x14ac:dyDescent="0.25">
      <c r="A164" s="1" t="s">
        <v>387</v>
      </c>
      <c r="B164" s="2" t="s">
        <v>29</v>
      </c>
      <c r="C164" s="2"/>
      <c r="D164" s="2"/>
      <c r="E164" s="2" t="s">
        <v>64</v>
      </c>
      <c r="F164" s="2">
        <v>1</v>
      </c>
      <c r="G164" s="2">
        <v>0.16</v>
      </c>
      <c r="H164" s="2" t="s">
        <v>73</v>
      </c>
      <c r="I164" s="2" t="s">
        <v>50</v>
      </c>
      <c r="J164" s="2" t="s">
        <v>33</v>
      </c>
      <c r="K164" s="2"/>
      <c r="L164" s="2"/>
      <c r="M164" s="2"/>
      <c r="N164" s="2"/>
      <c r="O164" s="2" t="s">
        <v>34</v>
      </c>
      <c r="P164" s="2"/>
      <c r="Q164" s="2"/>
      <c r="R164" s="2">
        <v>600</v>
      </c>
      <c r="S164" s="2">
        <v>96</v>
      </c>
      <c r="T164" s="13" t="str">
        <f t="shared" si="5"/>
        <v>BAG1383</v>
      </c>
      <c r="U164" s="2" t="s">
        <v>388</v>
      </c>
      <c r="V164" s="2"/>
      <c r="W164" s="2">
        <v>3.09</v>
      </c>
      <c r="X164" s="2">
        <v>2.04</v>
      </c>
      <c r="Y164" s="2">
        <v>2.81</v>
      </c>
      <c r="Z164" s="2">
        <v>0</v>
      </c>
      <c r="AA164" s="2">
        <v>0</v>
      </c>
      <c r="AB164" s="2">
        <v>1.51</v>
      </c>
      <c r="AC164" s="3" t="str">
        <f t="shared" si="4"/>
        <v>Loose</v>
      </c>
    </row>
    <row r="165" spans="1:29" x14ac:dyDescent="0.25">
      <c r="A165" s="1" t="s">
        <v>389</v>
      </c>
      <c r="B165" s="2" t="s">
        <v>29</v>
      </c>
      <c r="C165" s="2"/>
      <c r="D165" s="2"/>
      <c r="E165" s="2" t="s">
        <v>64</v>
      </c>
      <c r="F165" s="2">
        <v>1</v>
      </c>
      <c r="G165" s="2">
        <v>0.1</v>
      </c>
      <c r="H165" s="2" t="s">
        <v>49</v>
      </c>
      <c r="I165" s="2" t="s">
        <v>32</v>
      </c>
      <c r="J165" s="2" t="s">
        <v>33</v>
      </c>
      <c r="K165" s="2"/>
      <c r="L165" s="2"/>
      <c r="M165" s="2"/>
      <c r="N165" s="2"/>
      <c r="O165" s="2" t="s">
        <v>46</v>
      </c>
      <c r="P165" s="2"/>
      <c r="Q165" s="2"/>
      <c r="R165" s="2">
        <v>502</v>
      </c>
      <c r="S165" s="2">
        <v>50.2</v>
      </c>
      <c r="T165" s="13" t="str">
        <f t="shared" si="5"/>
        <v>BAG1384</v>
      </c>
      <c r="U165" s="2" t="s">
        <v>390</v>
      </c>
      <c r="V165" s="2"/>
      <c r="W165" s="2">
        <v>3.3</v>
      </c>
      <c r="X165" s="2">
        <v>1.51</v>
      </c>
      <c r="Y165" s="2">
        <v>2.15</v>
      </c>
      <c r="Z165" s="2">
        <v>0</v>
      </c>
      <c r="AA165" s="2">
        <v>0</v>
      </c>
      <c r="AB165" s="2">
        <v>2.19</v>
      </c>
      <c r="AC165" s="3" t="str">
        <f t="shared" si="4"/>
        <v>Loose</v>
      </c>
    </row>
    <row r="166" spans="1:29" x14ac:dyDescent="0.25">
      <c r="A166" s="1" t="s">
        <v>391</v>
      </c>
      <c r="B166" s="2" t="s">
        <v>29</v>
      </c>
      <c r="C166" s="2"/>
      <c r="D166" s="2"/>
      <c r="E166" s="2" t="s">
        <v>64</v>
      </c>
      <c r="F166" s="2">
        <v>1</v>
      </c>
      <c r="G166" s="2">
        <v>0.21</v>
      </c>
      <c r="H166" s="2" t="s">
        <v>38</v>
      </c>
      <c r="I166" s="2" t="s">
        <v>39</v>
      </c>
      <c r="J166" s="2" t="s">
        <v>33</v>
      </c>
      <c r="K166" s="2"/>
      <c r="L166" s="2"/>
      <c r="M166" s="2"/>
      <c r="N166" s="2"/>
      <c r="O166" s="2"/>
      <c r="P166" s="2"/>
      <c r="Q166" s="2"/>
      <c r="R166" s="2">
        <v>1500</v>
      </c>
      <c r="S166" s="2">
        <v>315</v>
      </c>
      <c r="T166" s="13" t="str">
        <f t="shared" si="5"/>
        <v>BAG021</v>
      </c>
      <c r="U166" s="2" t="s">
        <v>392</v>
      </c>
      <c r="V166" s="2"/>
      <c r="W166" s="2">
        <v>2.17</v>
      </c>
      <c r="X166" s="2">
        <v>5.88</v>
      </c>
      <c r="Y166" s="2">
        <v>1.63</v>
      </c>
      <c r="Z166" s="2">
        <v>0</v>
      </c>
      <c r="AA166" s="2">
        <v>0</v>
      </c>
      <c r="AB166" s="2">
        <v>0.37</v>
      </c>
      <c r="AC166" s="3" t="str">
        <f t="shared" si="4"/>
        <v>Loose</v>
      </c>
    </row>
    <row r="167" spans="1:29" x14ac:dyDescent="0.25">
      <c r="A167" s="1" t="s">
        <v>393</v>
      </c>
      <c r="B167" s="2" t="s">
        <v>29</v>
      </c>
      <c r="C167" s="2"/>
      <c r="D167" s="2"/>
      <c r="E167" s="2" t="s">
        <v>64</v>
      </c>
      <c r="F167" s="2">
        <v>1</v>
      </c>
      <c r="G167" s="2">
        <v>0.23</v>
      </c>
      <c r="H167" s="2" t="s">
        <v>43</v>
      </c>
      <c r="I167" s="2" t="s">
        <v>57</v>
      </c>
      <c r="J167" s="2" t="s">
        <v>33</v>
      </c>
      <c r="K167" s="2"/>
      <c r="L167" s="2"/>
      <c r="M167" s="2"/>
      <c r="N167" s="2"/>
      <c r="O167" s="2"/>
      <c r="P167" s="2"/>
      <c r="Q167" s="2"/>
      <c r="R167" s="2">
        <v>1400</v>
      </c>
      <c r="S167" s="2">
        <v>322</v>
      </c>
      <c r="T167" s="13" t="str">
        <f t="shared" si="5"/>
        <v>BAG023</v>
      </c>
      <c r="U167" s="2" t="s">
        <v>394</v>
      </c>
      <c r="V167" s="2"/>
      <c r="W167" s="2">
        <v>2.33</v>
      </c>
      <c r="X167" s="2">
        <v>5.99</v>
      </c>
      <c r="Y167" s="2">
        <v>1.51</v>
      </c>
      <c r="Z167" s="2">
        <v>0</v>
      </c>
      <c r="AA167" s="2">
        <v>0</v>
      </c>
      <c r="AB167" s="2">
        <v>0.39</v>
      </c>
      <c r="AC167" s="3" t="str">
        <f t="shared" si="4"/>
        <v>Loose</v>
      </c>
    </row>
    <row r="168" spans="1:29" x14ac:dyDescent="0.25">
      <c r="A168" s="1" t="s">
        <v>395</v>
      </c>
      <c r="B168" s="2" t="s">
        <v>29</v>
      </c>
      <c r="C168" s="2"/>
      <c r="D168" s="2"/>
      <c r="E168" s="2" t="s">
        <v>64</v>
      </c>
      <c r="F168" s="2">
        <v>2</v>
      </c>
      <c r="G168" s="2">
        <v>0.87</v>
      </c>
      <c r="H168" s="2" t="s">
        <v>396</v>
      </c>
      <c r="I168" s="2" t="s">
        <v>39</v>
      </c>
      <c r="J168" s="2" t="s">
        <v>397</v>
      </c>
      <c r="K168" s="2"/>
      <c r="L168" s="2"/>
      <c r="M168" s="2"/>
      <c r="N168" s="2"/>
      <c r="O168" s="2" t="s">
        <v>34</v>
      </c>
      <c r="P168" s="2"/>
      <c r="Q168" s="2"/>
      <c r="R168" s="2">
        <v>2600</v>
      </c>
      <c r="S168" s="2">
        <v>2262</v>
      </c>
      <c r="T168" s="13" t="str">
        <f t="shared" si="5"/>
        <v>BAG084</v>
      </c>
      <c r="U168" s="2" t="s">
        <v>398</v>
      </c>
      <c r="V168" s="2"/>
      <c r="W168" s="2">
        <v>5.28</v>
      </c>
      <c r="X168" s="2">
        <v>3.32</v>
      </c>
      <c r="Y168" s="2">
        <v>2.59</v>
      </c>
      <c r="Z168" s="2">
        <v>0</v>
      </c>
      <c r="AA168" s="2">
        <v>0</v>
      </c>
      <c r="AB168" s="2">
        <v>1.59</v>
      </c>
      <c r="AC168" s="3" t="str">
        <f t="shared" si="4"/>
        <v>Pair</v>
      </c>
    </row>
    <row r="169" spans="1:29" x14ac:dyDescent="0.25">
      <c r="A169" s="1" t="s">
        <v>399</v>
      </c>
      <c r="B169" s="2" t="s">
        <v>29</v>
      </c>
      <c r="C169" s="2"/>
      <c r="D169" s="2"/>
      <c r="E169" s="2" t="s">
        <v>64</v>
      </c>
      <c r="F169" s="2">
        <v>1</v>
      </c>
      <c r="G169" s="2">
        <v>0.1</v>
      </c>
      <c r="H169" s="2" t="s">
        <v>31</v>
      </c>
      <c r="I169" s="2" t="s">
        <v>53</v>
      </c>
      <c r="J169" s="2" t="s">
        <v>33</v>
      </c>
      <c r="K169" s="2"/>
      <c r="L169" s="2"/>
      <c r="M169" s="2"/>
      <c r="N169" s="2"/>
      <c r="O169" s="2"/>
      <c r="P169" s="2"/>
      <c r="Q169" s="2"/>
      <c r="R169" s="2">
        <v>450</v>
      </c>
      <c r="S169" s="2">
        <v>45</v>
      </c>
      <c r="T169" s="13" t="str">
        <f t="shared" si="5"/>
        <v>BAB37H</v>
      </c>
      <c r="U169" s="2"/>
      <c r="V169" s="2"/>
      <c r="W169" s="2">
        <v>3.7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3" t="str">
        <f t="shared" si="4"/>
        <v>Loose</v>
      </c>
    </row>
    <row r="170" spans="1:29" x14ac:dyDescent="0.25">
      <c r="A170" s="1" t="s">
        <v>400</v>
      </c>
      <c r="B170" s="2" t="s">
        <v>29</v>
      </c>
      <c r="C170" s="2"/>
      <c r="D170" s="2"/>
      <c r="E170" s="2" t="s">
        <v>64</v>
      </c>
      <c r="F170" s="2">
        <v>1</v>
      </c>
      <c r="G170" s="2">
        <v>0.1</v>
      </c>
      <c r="H170" s="2" t="s">
        <v>31</v>
      </c>
      <c r="I170" s="2" t="s">
        <v>53</v>
      </c>
      <c r="J170" s="2" t="s">
        <v>33</v>
      </c>
      <c r="K170" s="2"/>
      <c r="L170" s="2"/>
      <c r="M170" s="2"/>
      <c r="N170" s="2"/>
      <c r="O170" s="2"/>
      <c r="P170" s="2"/>
      <c r="Q170" s="2"/>
      <c r="R170" s="2">
        <v>450</v>
      </c>
      <c r="S170" s="2">
        <v>45</v>
      </c>
      <c r="T170" s="13" t="str">
        <f t="shared" si="5"/>
        <v>BAB45H</v>
      </c>
      <c r="U170" s="2" t="s">
        <v>401</v>
      </c>
      <c r="V170" s="2"/>
      <c r="W170" s="2">
        <v>4.46</v>
      </c>
      <c r="X170" s="2">
        <v>1.56</v>
      </c>
      <c r="Y170" s="2">
        <v>2.86</v>
      </c>
      <c r="Z170" s="2">
        <v>0</v>
      </c>
      <c r="AA170" s="2">
        <v>0</v>
      </c>
      <c r="AB170" s="2">
        <v>2.86</v>
      </c>
      <c r="AC170" s="3" t="str">
        <f t="shared" si="4"/>
        <v>Loose</v>
      </c>
    </row>
    <row r="171" spans="1:29" x14ac:dyDescent="0.25">
      <c r="A171" s="1" t="s">
        <v>402</v>
      </c>
      <c r="B171" s="2" t="s">
        <v>29</v>
      </c>
      <c r="C171" s="2"/>
      <c r="D171" s="2"/>
      <c r="E171" s="2" t="s">
        <v>64</v>
      </c>
      <c r="F171" s="2">
        <v>1</v>
      </c>
      <c r="G171" s="2">
        <v>0.18</v>
      </c>
      <c r="H171" s="2" t="s">
        <v>31</v>
      </c>
      <c r="I171" s="2" t="s">
        <v>57</v>
      </c>
      <c r="J171" s="2" t="s">
        <v>33</v>
      </c>
      <c r="K171" s="2"/>
      <c r="L171" s="2"/>
      <c r="M171" s="2"/>
      <c r="N171" s="2"/>
      <c r="O171" s="2" t="s">
        <v>77</v>
      </c>
      <c r="P171" s="2"/>
      <c r="Q171" s="2"/>
      <c r="R171" s="2">
        <v>1000</v>
      </c>
      <c r="S171" s="2">
        <v>180</v>
      </c>
      <c r="T171" s="13" t="str">
        <f t="shared" si="5"/>
        <v>BAG090</v>
      </c>
      <c r="U171" s="2" t="s">
        <v>403</v>
      </c>
      <c r="V171" s="2"/>
      <c r="W171" s="2">
        <v>2.76</v>
      </c>
      <c r="X171" s="2">
        <v>4.29</v>
      </c>
      <c r="Y171" s="2">
        <v>1.68</v>
      </c>
      <c r="Z171" s="2">
        <v>0</v>
      </c>
      <c r="AA171" s="2">
        <v>0</v>
      </c>
      <c r="AB171" s="2">
        <v>0.64</v>
      </c>
      <c r="AC171" s="3" t="str">
        <f t="shared" si="4"/>
        <v>Loose</v>
      </c>
    </row>
    <row r="172" spans="1:29" x14ac:dyDescent="0.25">
      <c r="A172" s="1" t="s">
        <v>404</v>
      </c>
      <c r="B172" s="2" t="s">
        <v>29</v>
      </c>
      <c r="C172" s="2"/>
      <c r="D172" s="2"/>
      <c r="E172" s="2" t="s">
        <v>64</v>
      </c>
      <c r="F172" s="2">
        <v>1</v>
      </c>
      <c r="G172" s="2">
        <v>0.14000000000000001</v>
      </c>
      <c r="H172" s="2" t="s">
        <v>43</v>
      </c>
      <c r="I172" s="2" t="s">
        <v>53</v>
      </c>
      <c r="J172" s="2" t="s">
        <v>33</v>
      </c>
      <c r="K172" s="2"/>
      <c r="L172" s="2"/>
      <c r="M172" s="2"/>
      <c r="N172" s="2"/>
      <c r="O172" s="2" t="s">
        <v>34</v>
      </c>
      <c r="P172" s="2"/>
      <c r="Q172" s="2"/>
      <c r="R172" s="2">
        <v>1200</v>
      </c>
      <c r="S172" s="2">
        <v>168</v>
      </c>
      <c r="T172" s="13" t="str">
        <f t="shared" si="5"/>
        <v>BAG1397</v>
      </c>
      <c r="U172" s="2" t="s">
        <v>405</v>
      </c>
      <c r="V172" s="2"/>
      <c r="W172" s="2">
        <v>2.58</v>
      </c>
      <c r="X172" s="2">
        <v>3.48</v>
      </c>
      <c r="Y172" s="2">
        <v>1.59</v>
      </c>
      <c r="Z172" s="2">
        <v>0</v>
      </c>
      <c r="AA172" s="2">
        <v>0</v>
      </c>
      <c r="AB172" s="2">
        <v>0.74</v>
      </c>
      <c r="AC172" s="3" t="str">
        <f t="shared" si="4"/>
        <v>Loose</v>
      </c>
    </row>
    <row r="173" spans="1:29" x14ac:dyDescent="0.25">
      <c r="A173" s="1" t="s">
        <v>406</v>
      </c>
      <c r="B173" s="2" t="s">
        <v>29</v>
      </c>
      <c r="C173" s="2"/>
      <c r="D173" s="2"/>
      <c r="E173" s="2" t="s">
        <v>64</v>
      </c>
      <c r="F173" s="2">
        <v>1</v>
      </c>
      <c r="G173" s="2">
        <v>0.18</v>
      </c>
      <c r="H173" s="2" t="s">
        <v>38</v>
      </c>
      <c r="I173" s="2" t="s">
        <v>39</v>
      </c>
      <c r="J173" s="2" t="s">
        <v>33</v>
      </c>
      <c r="K173" s="2"/>
      <c r="L173" s="2"/>
      <c r="M173" s="2"/>
      <c r="N173" s="2"/>
      <c r="O173" s="2" t="s">
        <v>34</v>
      </c>
      <c r="P173" s="2"/>
      <c r="Q173" s="2"/>
      <c r="R173" s="2">
        <v>1600</v>
      </c>
      <c r="S173" s="2">
        <v>288</v>
      </c>
      <c r="T173" s="13" t="str">
        <f t="shared" si="5"/>
        <v>BT17001ABA</v>
      </c>
      <c r="U173" s="2" t="s">
        <v>407</v>
      </c>
      <c r="V173" s="2"/>
      <c r="W173" s="2">
        <v>2.16</v>
      </c>
      <c r="X173" s="2">
        <v>5.96</v>
      </c>
      <c r="Y173" s="2">
        <v>1.45</v>
      </c>
      <c r="Z173" s="2">
        <v>0</v>
      </c>
      <c r="AA173" s="2">
        <v>0</v>
      </c>
      <c r="AB173" s="2">
        <v>0.36</v>
      </c>
      <c r="AC173" s="3" t="str">
        <f t="shared" si="4"/>
        <v>Loose</v>
      </c>
    </row>
    <row r="174" spans="1:29" x14ac:dyDescent="0.25">
      <c r="A174" s="1" t="s">
        <v>408</v>
      </c>
      <c r="B174" s="2" t="s">
        <v>29</v>
      </c>
      <c r="C174" s="2"/>
      <c r="D174" s="2"/>
      <c r="E174" s="2" t="s">
        <v>64</v>
      </c>
      <c r="F174" s="2">
        <v>1</v>
      </c>
      <c r="G174" s="2">
        <v>0.24</v>
      </c>
      <c r="H174" s="2" t="s">
        <v>43</v>
      </c>
      <c r="I174" s="2" t="s">
        <v>68</v>
      </c>
      <c r="J174" s="2" t="s">
        <v>33</v>
      </c>
      <c r="K174" s="2"/>
      <c r="L174" s="2"/>
      <c r="M174" s="2"/>
      <c r="N174" s="2"/>
      <c r="O174" s="2" t="s">
        <v>34</v>
      </c>
      <c r="P174" s="2"/>
      <c r="Q174" s="2"/>
      <c r="R174" s="2">
        <v>2000</v>
      </c>
      <c r="S174" s="2">
        <v>480</v>
      </c>
      <c r="T174" s="13" t="str">
        <f t="shared" si="5"/>
        <v>BAG1399</v>
      </c>
      <c r="U174" s="2" t="s">
        <v>409</v>
      </c>
      <c r="V174" s="2"/>
      <c r="W174" s="2">
        <v>2.11</v>
      </c>
      <c r="X174" s="2">
        <v>8.3800000000000008</v>
      </c>
      <c r="Y174" s="2">
        <v>1.3</v>
      </c>
      <c r="Z174" s="2">
        <v>0</v>
      </c>
      <c r="AA174" s="2">
        <v>0</v>
      </c>
      <c r="AB174" s="2">
        <v>0.25</v>
      </c>
      <c r="AC174" s="3" t="str">
        <f t="shared" si="4"/>
        <v>Loose</v>
      </c>
    </row>
    <row r="175" spans="1:29" x14ac:dyDescent="0.25">
      <c r="A175" s="1" t="s">
        <v>410</v>
      </c>
      <c r="B175" s="2" t="s">
        <v>29</v>
      </c>
      <c r="C175" s="2"/>
      <c r="D175" s="2"/>
      <c r="E175" s="2" t="s">
        <v>64</v>
      </c>
      <c r="F175" s="2">
        <v>1</v>
      </c>
      <c r="G175" s="2">
        <v>0.13</v>
      </c>
      <c r="H175" s="2" t="s">
        <v>38</v>
      </c>
      <c r="I175" s="2" t="s">
        <v>57</v>
      </c>
      <c r="J175" s="2" t="s">
        <v>33</v>
      </c>
      <c r="K175" s="2"/>
      <c r="L175" s="2"/>
      <c r="M175" s="2"/>
      <c r="N175" s="2"/>
      <c r="O175" s="2" t="s">
        <v>34</v>
      </c>
      <c r="P175" s="2"/>
      <c r="Q175" s="2"/>
      <c r="R175" s="2">
        <v>600</v>
      </c>
      <c r="S175" s="2">
        <v>78</v>
      </c>
      <c r="T175" s="13" t="str">
        <f t="shared" si="5"/>
        <v>BAG1400</v>
      </c>
      <c r="U175" s="2" t="s">
        <v>411</v>
      </c>
      <c r="V175" s="2"/>
      <c r="W175" s="2">
        <v>1.66</v>
      </c>
      <c r="X175" s="2">
        <v>6.88</v>
      </c>
      <c r="Y175" s="2">
        <v>1.08</v>
      </c>
      <c r="Z175" s="2">
        <v>0</v>
      </c>
      <c r="AA175" s="2">
        <v>0</v>
      </c>
      <c r="AB175" s="2">
        <v>0.24</v>
      </c>
      <c r="AC175" s="3" t="str">
        <f t="shared" si="4"/>
        <v>Loose</v>
      </c>
    </row>
    <row r="176" spans="1:29" x14ac:dyDescent="0.25">
      <c r="A176" s="1" t="s">
        <v>412</v>
      </c>
      <c r="B176" s="2" t="s">
        <v>29</v>
      </c>
      <c r="C176" s="2"/>
      <c r="D176" s="2"/>
      <c r="E176" s="2" t="s">
        <v>64</v>
      </c>
      <c r="F176" s="2">
        <v>1</v>
      </c>
      <c r="G176" s="2">
        <v>0.13</v>
      </c>
      <c r="H176" s="2" t="s">
        <v>396</v>
      </c>
      <c r="I176" s="2" t="s">
        <v>39</v>
      </c>
      <c r="J176" s="2" t="s">
        <v>33</v>
      </c>
      <c r="K176" s="2"/>
      <c r="L176" s="2"/>
      <c r="M176" s="2"/>
      <c r="N176" s="2"/>
      <c r="O176" s="2" t="s">
        <v>34</v>
      </c>
      <c r="P176" s="2"/>
      <c r="Q176" s="2"/>
      <c r="R176" s="2">
        <v>600</v>
      </c>
      <c r="S176" s="2">
        <v>78</v>
      </c>
      <c r="T176" s="13" t="str">
        <f t="shared" si="5"/>
        <v>BAG1402</v>
      </c>
      <c r="U176" s="2" t="s">
        <v>413</v>
      </c>
      <c r="V176" s="2"/>
      <c r="W176" s="2">
        <v>2.1</v>
      </c>
      <c r="X176" s="2">
        <v>3.79</v>
      </c>
      <c r="Y176" s="2">
        <v>1.66</v>
      </c>
      <c r="Z176" s="2">
        <v>0</v>
      </c>
      <c r="AA176" s="2">
        <v>0</v>
      </c>
      <c r="AB176" s="2">
        <v>0.55000000000000004</v>
      </c>
      <c r="AC176" s="3" t="str">
        <f t="shared" si="4"/>
        <v>Loose</v>
      </c>
    </row>
    <row r="177" spans="1:29" x14ac:dyDescent="0.25">
      <c r="A177" s="1" t="s">
        <v>414</v>
      </c>
      <c r="B177" s="2" t="s">
        <v>29</v>
      </c>
      <c r="C177" s="2"/>
      <c r="D177" s="2"/>
      <c r="E177" s="2" t="s">
        <v>64</v>
      </c>
      <c r="F177" s="2">
        <v>1</v>
      </c>
      <c r="G177" s="2">
        <v>0.12</v>
      </c>
      <c r="H177" s="2" t="s">
        <v>137</v>
      </c>
      <c r="I177" s="2" t="s">
        <v>39</v>
      </c>
      <c r="J177" s="2" t="s">
        <v>33</v>
      </c>
      <c r="K177" s="2"/>
      <c r="L177" s="2"/>
      <c r="M177" s="2"/>
      <c r="N177" s="2"/>
      <c r="O177" s="2" t="s">
        <v>34</v>
      </c>
      <c r="P177" s="2"/>
      <c r="Q177" s="2"/>
      <c r="R177" s="2">
        <v>800</v>
      </c>
      <c r="S177" s="2">
        <v>96</v>
      </c>
      <c r="T177" s="13" t="str">
        <f t="shared" si="5"/>
        <v>BAG1403</v>
      </c>
      <c r="U177" s="2" t="s">
        <v>415</v>
      </c>
      <c r="V177" s="2"/>
      <c r="W177" s="2">
        <v>2.0099999999999998</v>
      </c>
      <c r="X177" s="2">
        <v>3.84</v>
      </c>
      <c r="Y177" s="2">
        <v>1.49</v>
      </c>
      <c r="Z177" s="2">
        <v>0</v>
      </c>
      <c r="AA177" s="2">
        <v>0</v>
      </c>
      <c r="AB177" s="2">
        <v>0.52</v>
      </c>
      <c r="AC177" s="3" t="str">
        <f t="shared" si="4"/>
        <v>Loose</v>
      </c>
    </row>
    <row r="178" spans="1:29" x14ac:dyDescent="0.25">
      <c r="A178" s="1" t="s">
        <v>416</v>
      </c>
      <c r="B178" s="2" t="s">
        <v>29</v>
      </c>
      <c r="C178" s="2"/>
      <c r="D178" s="2"/>
      <c r="E178" s="2" t="s">
        <v>64</v>
      </c>
      <c r="F178" s="2">
        <v>1</v>
      </c>
      <c r="G178" s="2">
        <v>0.11</v>
      </c>
      <c r="H178" s="2" t="s">
        <v>396</v>
      </c>
      <c r="I178" s="2" t="s">
        <v>53</v>
      </c>
      <c r="J178" s="2" t="s">
        <v>33</v>
      </c>
      <c r="K178" s="2"/>
      <c r="L178" s="2"/>
      <c r="M178" s="2"/>
      <c r="N178" s="2"/>
      <c r="O178" s="2" t="s">
        <v>34</v>
      </c>
      <c r="P178" s="2"/>
      <c r="Q178" s="2"/>
      <c r="R178" s="2">
        <v>500</v>
      </c>
      <c r="S178" s="2">
        <v>55</v>
      </c>
      <c r="T178" s="13" t="str">
        <f t="shared" si="5"/>
        <v>BAG1404</v>
      </c>
      <c r="U178" s="2" t="s">
        <v>417</v>
      </c>
      <c r="V178" s="2"/>
      <c r="W178" s="2">
        <v>2.08</v>
      </c>
      <c r="X178" s="2">
        <v>3.55</v>
      </c>
      <c r="Y178" s="2">
        <v>1.55</v>
      </c>
      <c r="Z178" s="2">
        <v>0</v>
      </c>
      <c r="AA178" s="2">
        <v>0</v>
      </c>
      <c r="AB178" s="2">
        <v>0.59</v>
      </c>
      <c r="AC178" s="3" t="str">
        <f t="shared" si="4"/>
        <v>Loose</v>
      </c>
    </row>
    <row r="179" spans="1:29" x14ac:dyDescent="0.25">
      <c r="A179" s="1" t="s">
        <v>418</v>
      </c>
      <c r="B179" s="2" t="s">
        <v>29</v>
      </c>
      <c r="C179" s="2"/>
      <c r="D179" s="2"/>
      <c r="E179" s="2" t="s">
        <v>64</v>
      </c>
      <c r="F179" s="2">
        <v>1</v>
      </c>
      <c r="G179" s="2">
        <v>0.11</v>
      </c>
      <c r="H179" s="2" t="s">
        <v>396</v>
      </c>
      <c r="I179" s="2" t="s">
        <v>53</v>
      </c>
      <c r="J179" s="2" t="s">
        <v>33</v>
      </c>
      <c r="K179" s="2"/>
      <c r="L179" s="2"/>
      <c r="M179" s="2"/>
      <c r="N179" s="2"/>
      <c r="O179" s="2" t="s">
        <v>34</v>
      </c>
      <c r="P179" s="2"/>
      <c r="Q179" s="2"/>
      <c r="R179" s="2">
        <v>500</v>
      </c>
      <c r="S179" s="2">
        <v>55</v>
      </c>
      <c r="T179" s="13" t="str">
        <f t="shared" si="5"/>
        <v>BAG1405</v>
      </c>
      <c r="U179" s="2" t="s">
        <v>419</v>
      </c>
      <c r="V179" s="2"/>
      <c r="W179" s="2">
        <v>2.1</v>
      </c>
      <c r="X179" s="2">
        <v>3.5</v>
      </c>
      <c r="Y179" s="2">
        <v>1.59</v>
      </c>
      <c r="Z179" s="2">
        <v>0</v>
      </c>
      <c r="AA179" s="2">
        <v>0</v>
      </c>
      <c r="AB179" s="2">
        <v>0.6</v>
      </c>
      <c r="AC179" s="3" t="str">
        <f t="shared" si="4"/>
        <v>Loose</v>
      </c>
    </row>
    <row r="180" spans="1:29" x14ac:dyDescent="0.25">
      <c r="A180" s="1" t="s">
        <v>420</v>
      </c>
      <c r="B180" s="2" t="s">
        <v>29</v>
      </c>
      <c r="C180" s="2"/>
      <c r="D180" s="2"/>
      <c r="E180" s="2" t="s">
        <v>64</v>
      </c>
      <c r="F180" s="2">
        <v>1</v>
      </c>
      <c r="G180" s="2">
        <v>1</v>
      </c>
      <c r="H180" s="2" t="s">
        <v>43</v>
      </c>
      <c r="I180" s="2" t="s">
        <v>53</v>
      </c>
      <c r="J180" s="2" t="s">
        <v>397</v>
      </c>
      <c r="K180" s="2"/>
      <c r="L180" s="2" t="s">
        <v>43</v>
      </c>
      <c r="M180" s="2" t="s">
        <v>43</v>
      </c>
      <c r="N180" s="2" t="s">
        <v>421</v>
      </c>
      <c r="O180" s="2" t="s">
        <v>34</v>
      </c>
      <c r="P180" s="2"/>
      <c r="Q180" s="2">
        <v>2235743224</v>
      </c>
      <c r="R180" s="2">
        <v>3000</v>
      </c>
      <c r="S180" s="2">
        <v>3000</v>
      </c>
      <c r="T180" s="13" t="str">
        <f t="shared" si="5"/>
        <v>LEV506AAA</v>
      </c>
      <c r="U180" s="2" t="s">
        <v>422</v>
      </c>
      <c r="V180" s="2"/>
      <c r="W180" s="2">
        <v>7.59</v>
      </c>
      <c r="X180" s="2">
        <v>4.3499999999999996</v>
      </c>
      <c r="Y180" s="2">
        <v>3.34</v>
      </c>
      <c r="Z180" s="2">
        <v>77</v>
      </c>
      <c r="AA180" s="2">
        <v>78</v>
      </c>
      <c r="AB180" s="2">
        <v>1.74</v>
      </c>
      <c r="AC180" s="3" t="str">
        <f t="shared" si="4"/>
        <v>Loose</v>
      </c>
    </row>
    <row r="181" spans="1:29" x14ac:dyDescent="0.25">
      <c r="A181" s="1" t="s">
        <v>423</v>
      </c>
      <c r="B181" s="2" t="s">
        <v>29</v>
      </c>
      <c r="C181" s="2"/>
      <c r="D181" s="2"/>
      <c r="E181" s="2" t="s">
        <v>424</v>
      </c>
      <c r="F181" s="2">
        <v>1</v>
      </c>
      <c r="G181" s="2">
        <v>0.15</v>
      </c>
      <c r="H181" s="2" t="s">
        <v>43</v>
      </c>
      <c r="I181" s="2" t="s">
        <v>50</v>
      </c>
      <c r="J181" s="2" t="s">
        <v>33</v>
      </c>
      <c r="K181" s="2"/>
      <c r="L181" s="2"/>
      <c r="M181" s="2"/>
      <c r="N181" s="2"/>
      <c r="O181" s="2" t="s">
        <v>61</v>
      </c>
      <c r="P181" s="2"/>
      <c r="Q181" s="2"/>
      <c r="R181" s="2">
        <v>1956</v>
      </c>
      <c r="S181" s="2">
        <v>293.39999999999998</v>
      </c>
      <c r="T181" s="13" t="str">
        <f t="shared" si="5"/>
        <v>PLT56706</v>
      </c>
      <c r="U181" s="2" t="s">
        <v>425</v>
      </c>
      <c r="V181" s="2"/>
      <c r="W181" s="2">
        <v>2.6</v>
      </c>
      <c r="X181" s="2">
        <v>6.06</v>
      </c>
      <c r="Y181" s="2">
        <v>1.44</v>
      </c>
      <c r="Z181" s="2">
        <v>0</v>
      </c>
      <c r="AA181" s="2">
        <v>0</v>
      </c>
      <c r="AB181" s="2">
        <v>0.43</v>
      </c>
      <c r="AC181" s="3" t="str">
        <f t="shared" si="4"/>
        <v>Loose</v>
      </c>
    </row>
    <row r="182" spans="1:29" x14ac:dyDescent="0.25">
      <c r="A182" s="1" t="s">
        <v>426</v>
      </c>
      <c r="B182" s="2" t="s">
        <v>37</v>
      </c>
      <c r="C182" s="2"/>
      <c r="D182" s="2"/>
      <c r="E182" s="2" t="s">
        <v>424</v>
      </c>
      <c r="F182" s="2">
        <v>2</v>
      </c>
      <c r="G182" s="2">
        <v>0.24</v>
      </c>
      <c r="H182" s="2" t="s">
        <v>137</v>
      </c>
      <c r="I182" s="2" t="s">
        <v>57</v>
      </c>
      <c r="J182" s="2" t="s">
        <v>33</v>
      </c>
      <c r="K182" s="2"/>
      <c r="L182" s="2"/>
      <c r="M182" s="2"/>
      <c r="N182" s="2"/>
      <c r="O182" s="2" t="s">
        <v>34</v>
      </c>
      <c r="P182" s="2"/>
      <c r="Q182" s="2"/>
      <c r="R182" s="2">
        <v>1600</v>
      </c>
      <c r="S182" s="2">
        <v>384</v>
      </c>
      <c r="T182" s="13" t="str">
        <f t="shared" si="5"/>
        <v>BULT025</v>
      </c>
      <c r="U182" s="2" t="s">
        <v>427</v>
      </c>
      <c r="V182" s="2"/>
      <c r="W182" s="2">
        <v>2.1</v>
      </c>
      <c r="X182" s="2">
        <v>4.72</v>
      </c>
      <c r="Y182" s="2">
        <v>1.86</v>
      </c>
      <c r="Z182" s="2">
        <v>0</v>
      </c>
      <c r="AA182" s="2">
        <v>0</v>
      </c>
      <c r="AB182" s="2">
        <v>0.44</v>
      </c>
      <c r="AC182" s="3" t="str">
        <f t="shared" si="4"/>
        <v>Pair</v>
      </c>
    </row>
    <row r="183" spans="1:29" x14ac:dyDescent="0.25">
      <c r="A183" s="1" t="s">
        <v>428</v>
      </c>
      <c r="B183" s="2" t="s">
        <v>37</v>
      </c>
      <c r="C183" s="2"/>
      <c r="D183" s="2"/>
      <c r="E183" s="2" t="s">
        <v>424</v>
      </c>
      <c r="F183" s="2">
        <v>2</v>
      </c>
      <c r="G183" s="2">
        <v>0.31</v>
      </c>
      <c r="H183" s="2" t="s">
        <v>137</v>
      </c>
      <c r="I183" s="2" t="s">
        <v>53</v>
      </c>
      <c r="J183" s="2" t="s">
        <v>33</v>
      </c>
      <c r="K183" s="2"/>
      <c r="L183" s="2"/>
      <c r="M183" s="2"/>
      <c r="N183" s="2"/>
      <c r="O183" s="2" t="s">
        <v>61</v>
      </c>
      <c r="P183" s="2"/>
      <c r="Q183" s="2"/>
      <c r="R183" s="2">
        <v>2200</v>
      </c>
      <c r="S183" s="2">
        <v>682</v>
      </c>
      <c r="T183" s="13" t="str">
        <f t="shared" si="5"/>
        <v>BULTS038</v>
      </c>
      <c r="U183" s="2" t="s">
        <v>429</v>
      </c>
      <c r="V183" s="2"/>
      <c r="W183" s="2">
        <v>2.65</v>
      </c>
      <c r="X183" s="2">
        <v>5.76</v>
      </c>
      <c r="Y183" s="2">
        <v>1.44</v>
      </c>
      <c r="Z183" s="2">
        <v>0</v>
      </c>
      <c r="AA183" s="2">
        <v>0</v>
      </c>
      <c r="AB183" s="2">
        <v>0.46</v>
      </c>
      <c r="AC183" s="3" t="str">
        <f t="shared" si="4"/>
        <v>Pair</v>
      </c>
    </row>
    <row r="184" spans="1:29" x14ac:dyDescent="0.25">
      <c r="A184" s="1" t="s">
        <v>430</v>
      </c>
      <c r="B184" s="2" t="s">
        <v>29</v>
      </c>
      <c r="C184" s="2"/>
      <c r="D184" s="2"/>
      <c r="E184" s="2" t="s">
        <v>424</v>
      </c>
      <c r="F184" s="2">
        <v>1</v>
      </c>
      <c r="G184" s="2">
        <v>0.15</v>
      </c>
      <c r="H184" s="2" t="s">
        <v>38</v>
      </c>
      <c r="I184" s="2" t="s">
        <v>53</v>
      </c>
      <c r="J184" s="2" t="s">
        <v>33</v>
      </c>
      <c r="K184" s="2"/>
      <c r="L184" s="2"/>
      <c r="M184" s="2"/>
      <c r="N184" s="2"/>
      <c r="O184" s="2" t="s">
        <v>34</v>
      </c>
      <c r="P184" s="2"/>
      <c r="Q184" s="2"/>
      <c r="R184" s="2">
        <v>1500</v>
      </c>
      <c r="S184" s="2">
        <v>225</v>
      </c>
      <c r="T184" s="13" t="str">
        <f t="shared" si="5"/>
        <v>BRTO307BBAA</v>
      </c>
      <c r="U184" s="2" t="s">
        <v>431</v>
      </c>
      <c r="V184" s="2"/>
      <c r="W184" s="2">
        <v>3.05</v>
      </c>
      <c r="X184" s="2">
        <v>4.75</v>
      </c>
      <c r="Y184" s="2">
        <v>1.4</v>
      </c>
      <c r="Z184" s="2">
        <v>0</v>
      </c>
      <c r="AA184" s="2">
        <v>0</v>
      </c>
      <c r="AB184" s="2">
        <v>0.64</v>
      </c>
      <c r="AC184" s="3" t="str">
        <f t="shared" si="4"/>
        <v>Loose</v>
      </c>
    </row>
    <row r="185" spans="1:29" x14ac:dyDescent="0.25">
      <c r="A185" s="1" t="s">
        <v>432</v>
      </c>
      <c r="B185" s="2" t="s">
        <v>29</v>
      </c>
      <c r="C185" s="2"/>
      <c r="D185" s="2"/>
      <c r="E185" s="2" t="s">
        <v>424</v>
      </c>
      <c r="F185" s="2">
        <v>1</v>
      </c>
      <c r="G185" s="2">
        <v>1.05</v>
      </c>
      <c r="H185" s="2" t="s">
        <v>49</v>
      </c>
      <c r="I185" s="2" t="s">
        <v>39</v>
      </c>
      <c r="J185" s="2" t="s">
        <v>33</v>
      </c>
      <c r="K185" s="2"/>
      <c r="L185" s="2" t="s">
        <v>43</v>
      </c>
      <c r="M185" s="2" t="s">
        <v>38</v>
      </c>
      <c r="N185" s="2" t="s">
        <v>421</v>
      </c>
      <c r="O185" s="2" t="s">
        <v>34</v>
      </c>
      <c r="P185" s="2"/>
      <c r="Q185" s="2">
        <v>2231493419</v>
      </c>
      <c r="R185" s="2">
        <v>5000</v>
      </c>
      <c r="S185" s="2">
        <v>5250</v>
      </c>
      <c r="T185" s="13" t="str">
        <f t="shared" si="5"/>
        <v>BLL012AAAAAAAA</v>
      </c>
      <c r="U185" s="2" t="s">
        <v>433</v>
      </c>
      <c r="V185" s="2"/>
      <c r="W185" s="2">
        <v>8.9600000000000009</v>
      </c>
      <c r="X185" s="2">
        <v>6.31</v>
      </c>
      <c r="Y185" s="2">
        <v>2.4900000000000002</v>
      </c>
      <c r="Z185" s="2">
        <v>39.4</v>
      </c>
      <c r="AA185" s="2">
        <v>76</v>
      </c>
      <c r="AB185" s="2">
        <v>1.42</v>
      </c>
      <c r="AC185" s="3" t="str">
        <f t="shared" si="4"/>
        <v>Loose</v>
      </c>
    </row>
    <row r="186" spans="1:29" x14ac:dyDescent="0.25">
      <c r="A186" s="1" t="s">
        <v>434</v>
      </c>
      <c r="B186" s="2" t="s">
        <v>29</v>
      </c>
      <c r="C186" s="2"/>
      <c r="D186" s="2"/>
      <c r="E186" s="2" t="s">
        <v>424</v>
      </c>
      <c r="F186" s="2">
        <v>2</v>
      </c>
      <c r="G186" s="2">
        <v>2.1</v>
      </c>
      <c r="H186" s="2" t="s">
        <v>43</v>
      </c>
      <c r="I186" s="2" t="s">
        <v>32</v>
      </c>
      <c r="J186" s="2" t="s">
        <v>397</v>
      </c>
      <c r="K186" s="2"/>
      <c r="L186" s="2"/>
      <c r="M186" s="2"/>
      <c r="N186" s="2"/>
      <c r="O186" s="2" t="s">
        <v>34</v>
      </c>
      <c r="P186" s="2"/>
      <c r="Q186" s="2"/>
      <c r="R186" s="2">
        <v>5500</v>
      </c>
      <c r="S186" s="2">
        <v>11550</v>
      </c>
      <c r="T186" s="13" t="str">
        <f t="shared" si="5"/>
        <v>BULTS054</v>
      </c>
      <c r="U186" s="2" t="s">
        <v>435</v>
      </c>
      <c r="V186" s="2"/>
      <c r="W186" s="2">
        <v>9.0399999999999991</v>
      </c>
      <c r="X186" s="2">
        <v>6.31</v>
      </c>
      <c r="Y186" s="2">
        <v>2.73</v>
      </c>
      <c r="Z186" s="2">
        <v>0</v>
      </c>
      <c r="AA186" s="2">
        <v>0</v>
      </c>
      <c r="AB186" s="2">
        <v>1.43</v>
      </c>
      <c r="AC186" s="3" t="str">
        <f t="shared" si="4"/>
        <v>Pair</v>
      </c>
    </row>
    <row r="187" spans="1:29" x14ac:dyDescent="0.25">
      <c r="A187" s="1" t="s">
        <v>436</v>
      </c>
      <c r="B187" s="2" t="s">
        <v>37</v>
      </c>
      <c r="C187" s="2"/>
      <c r="D187" s="2"/>
      <c r="E187" s="2" t="s">
        <v>437</v>
      </c>
      <c r="F187" s="2">
        <v>2</v>
      </c>
      <c r="G187" s="2">
        <v>0.86</v>
      </c>
      <c r="H187" s="2" t="s">
        <v>76</v>
      </c>
      <c r="I187" s="2" t="s">
        <v>57</v>
      </c>
      <c r="J187" s="2" t="s">
        <v>33</v>
      </c>
      <c r="K187" s="2"/>
      <c r="L187" s="2"/>
      <c r="M187" s="2"/>
      <c r="N187" s="2"/>
      <c r="O187" s="2"/>
      <c r="P187" s="2"/>
      <c r="Q187" s="2"/>
      <c r="R187" s="2">
        <v>1700</v>
      </c>
      <c r="S187" s="2">
        <v>1462</v>
      </c>
      <c r="T187" s="13" t="str">
        <f t="shared" si="5"/>
        <v>CALF076</v>
      </c>
      <c r="U187" s="2" t="s">
        <v>438</v>
      </c>
      <c r="V187" s="2"/>
      <c r="W187" s="2">
        <v>4.6100000000000003</v>
      </c>
      <c r="X187" s="2">
        <v>6.17</v>
      </c>
      <c r="Y187" s="2">
        <v>2.42</v>
      </c>
      <c r="Z187" s="2">
        <v>0</v>
      </c>
      <c r="AA187" s="2">
        <v>0</v>
      </c>
      <c r="AB187" s="2">
        <v>0.75</v>
      </c>
      <c r="AC187" s="3" t="str">
        <f t="shared" si="4"/>
        <v>Pair</v>
      </c>
    </row>
    <row r="188" spans="1:29" x14ac:dyDescent="0.25">
      <c r="A188" s="1" t="s">
        <v>439</v>
      </c>
      <c r="B188" s="2" t="s">
        <v>29</v>
      </c>
      <c r="C188" s="2"/>
      <c r="D188" s="2"/>
      <c r="E188" s="2" t="s">
        <v>437</v>
      </c>
      <c r="F188" s="2">
        <v>2</v>
      </c>
      <c r="G188" s="2">
        <v>0.59</v>
      </c>
      <c r="H188" s="2"/>
      <c r="I188" s="2" t="s">
        <v>57</v>
      </c>
      <c r="J188" s="2" t="s">
        <v>69</v>
      </c>
      <c r="K188" s="2"/>
      <c r="L188" s="2"/>
      <c r="M188" s="2"/>
      <c r="N188" s="2"/>
      <c r="O188" s="2"/>
      <c r="P188" s="2"/>
      <c r="Q188" s="2"/>
      <c r="R188" s="2">
        <v>1300</v>
      </c>
      <c r="S188" s="2">
        <v>767</v>
      </c>
      <c r="T188" s="13" t="str">
        <f t="shared" si="5"/>
        <v>CALF022</v>
      </c>
      <c r="U188" s="2" t="s">
        <v>440</v>
      </c>
      <c r="V188" s="2"/>
      <c r="W188" s="2">
        <v>3.67</v>
      </c>
      <c r="X188" s="2">
        <v>4.84</v>
      </c>
      <c r="Y188" s="2">
        <v>2.57</v>
      </c>
      <c r="Z188" s="2">
        <v>0</v>
      </c>
      <c r="AA188" s="2">
        <v>0</v>
      </c>
      <c r="AB188" s="2">
        <v>0.76</v>
      </c>
      <c r="AC188" s="3" t="str">
        <f t="shared" si="4"/>
        <v>Pair</v>
      </c>
    </row>
    <row r="189" spans="1:29" x14ac:dyDescent="0.25">
      <c r="A189" s="1" t="s">
        <v>441</v>
      </c>
      <c r="B189" s="2" t="s">
        <v>37</v>
      </c>
      <c r="C189" s="2"/>
      <c r="D189" s="2"/>
      <c r="E189" s="2" t="s">
        <v>437</v>
      </c>
      <c r="F189" s="2">
        <v>1</v>
      </c>
      <c r="G189" s="2">
        <v>0.44</v>
      </c>
      <c r="H189" s="2" t="s">
        <v>100</v>
      </c>
      <c r="I189" s="2" t="s">
        <v>57</v>
      </c>
      <c r="J189" s="2" t="s">
        <v>69</v>
      </c>
      <c r="K189" s="2"/>
      <c r="L189" s="2"/>
      <c r="M189" s="2"/>
      <c r="N189" s="2"/>
      <c r="O189" s="2" t="s">
        <v>61</v>
      </c>
      <c r="P189" s="2"/>
      <c r="Q189" s="2"/>
      <c r="R189" s="2">
        <v>1300</v>
      </c>
      <c r="S189" s="2">
        <v>572</v>
      </c>
      <c r="T189" s="13" t="str">
        <f t="shared" si="5"/>
        <v>MTH8123</v>
      </c>
      <c r="U189" s="2" t="s">
        <v>442</v>
      </c>
      <c r="V189" s="2"/>
      <c r="W189" s="2">
        <v>4.13</v>
      </c>
      <c r="X189" s="2">
        <v>5.6</v>
      </c>
      <c r="Y189" s="2">
        <v>2.78</v>
      </c>
      <c r="Z189" s="2">
        <v>0</v>
      </c>
      <c r="AA189" s="2">
        <v>0</v>
      </c>
      <c r="AB189" s="2">
        <v>0.74</v>
      </c>
      <c r="AC189" s="3" t="str">
        <f t="shared" si="4"/>
        <v>Loose</v>
      </c>
    </row>
    <row r="190" spans="1:29" x14ac:dyDescent="0.25">
      <c r="A190" s="1" t="s">
        <v>443</v>
      </c>
      <c r="B190" s="2" t="s">
        <v>29</v>
      </c>
      <c r="C190" s="2"/>
      <c r="D190" s="2"/>
      <c r="E190" s="2" t="s">
        <v>437</v>
      </c>
      <c r="F190" s="2">
        <v>2</v>
      </c>
      <c r="G190" s="2">
        <v>0.22</v>
      </c>
      <c r="H190" s="2" t="s">
        <v>43</v>
      </c>
      <c r="I190" s="2" t="s">
        <v>53</v>
      </c>
      <c r="J190" s="2" t="s">
        <v>33</v>
      </c>
      <c r="K190" s="2"/>
      <c r="L190" s="2"/>
      <c r="M190" s="2"/>
      <c r="N190" s="2"/>
      <c r="O190" s="2" t="s">
        <v>70</v>
      </c>
      <c r="P190" s="2"/>
      <c r="Q190" s="2"/>
      <c r="R190" s="2">
        <v>1200</v>
      </c>
      <c r="S190" s="2">
        <v>264</v>
      </c>
      <c r="T190" s="13" t="str">
        <f t="shared" si="5"/>
        <v>CALF072</v>
      </c>
      <c r="U190" s="2" t="s">
        <v>444</v>
      </c>
      <c r="V190" s="2"/>
      <c r="W190" s="2">
        <v>2.87</v>
      </c>
      <c r="X190" s="2">
        <v>3.62</v>
      </c>
      <c r="Y190" s="2">
        <v>1.68</v>
      </c>
      <c r="Z190" s="2">
        <v>0</v>
      </c>
      <c r="AA190" s="2">
        <v>0</v>
      </c>
      <c r="AB190" s="2">
        <v>0.79</v>
      </c>
      <c r="AC190" s="3" t="str">
        <f t="shared" si="4"/>
        <v>Pair</v>
      </c>
    </row>
    <row r="191" spans="1:29" x14ac:dyDescent="0.25">
      <c r="A191" s="1" t="s">
        <v>445</v>
      </c>
      <c r="B191" s="2" t="s">
        <v>29</v>
      </c>
      <c r="C191" s="2"/>
      <c r="D191" s="2"/>
      <c r="E191" s="2" t="s">
        <v>437</v>
      </c>
      <c r="F191" s="2">
        <v>2</v>
      </c>
      <c r="G191" s="2">
        <v>0.72</v>
      </c>
      <c r="H191" s="2" t="s">
        <v>49</v>
      </c>
      <c r="I191" s="2" t="s">
        <v>57</v>
      </c>
      <c r="J191" s="2" t="s">
        <v>33</v>
      </c>
      <c r="K191" s="2"/>
      <c r="L191" s="2"/>
      <c r="M191" s="2"/>
      <c r="N191" s="2"/>
      <c r="O191" s="2" t="s">
        <v>34</v>
      </c>
      <c r="P191" s="2"/>
      <c r="Q191" s="2"/>
      <c r="R191" s="2">
        <v>1900</v>
      </c>
      <c r="S191" s="2">
        <v>1368</v>
      </c>
      <c r="T191" s="13" t="str">
        <f t="shared" si="5"/>
        <v>CALFS073</v>
      </c>
      <c r="U191" s="2" t="s">
        <v>446</v>
      </c>
      <c r="V191" s="2"/>
      <c r="W191" s="2">
        <v>5.44</v>
      </c>
      <c r="X191" s="2">
        <v>4.53</v>
      </c>
      <c r="Y191" s="2">
        <v>2.2000000000000002</v>
      </c>
      <c r="Z191" s="2">
        <v>0</v>
      </c>
      <c r="AA191" s="2">
        <v>0</v>
      </c>
      <c r="AB191" s="2">
        <v>1.2</v>
      </c>
      <c r="AC191" s="3" t="str">
        <f t="shared" si="4"/>
        <v>Pair</v>
      </c>
    </row>
    <row r="192" spans="1:29" x14ac:dyDescent="0.25">
      <c r="A192" s="1" t="s">
        <v>447</v>
      </c>
      <c r="B192" s="2" t="s">
        <v>29</v>
      </c>
      <c r="C192" s="2"/>
      <c r="D192" s="2"/>
      <c r="E192" s="2" t="s">
        <v>437</v>
      </c>
      <c r="F192" s="2">
        <v>2</v>
      </c>
      <c r="G192" s="2">
        <v>0.68</v>
      </c>
      <c r="H192" s="2" t="s">
        <v>73</v>
      </c>
      <c r="I192" s="2" t="s">
        <v>50</v>
      </c>
      <c r="J192" s="2" t="s">
        <v>33</v>
      </c>
      <c r="K192" s="2"/>
      <c r="L192" s="2"/>
      <c r="M192" s="2"/>
      <c r="N192" s="2"/>
      <c r="O192" s="2"/>
      <c r="P192" s="2"/>
      <c r="Q192" s="2"/>
      <c r="R192" s="2">
        <v>1300</v>
      </c>
      <c r="S192" s="2">
        <v>884</v>
      </c>
      <c r="T192" s="13" t="str">
        <f t="shared" si="5"/>
        <v>CALFS097</v>
      </c>
      <c r="U192" s="2" t="s">
        <v>448</v>
      </c>
      <c r="V192" s="2"/>
      <c r="W192" s="2">
        <v>5.81</v>
      </c>
      <c r="X192" s="2">
        <v>4.62</v>
      </c>
      <c r="Y192" s="2">
        <v>1.96</v>
      </c>
      <c r="Z192" s="2">
        <v>0</v>
      </c>
      <c r="AA192" s="2">
        <v>0</v>
      </c>
      <c r="AB192" s="2">
        <v>1.26</v>
      </c>
      <c r="AC192" s="3" t="str">
        <f t="shared" si="4"/>
        <v>Pair</v>
      </c>
    </row>
    <row r="193" spans="1:29" x14ac:dyDescent="0.25">
      <c r="A193" s="1" t="s">
        <v>449</v>
      </c>
      <c r="B193" s="2" t="s">
        <v>29</v>
      </c>
      <c r="C193" s="2"/>
      <c r="D193" s="2"/>
      <c r="E193" s="2" t="s">
        <v>437</v>
      </c>
      <c r="F193" s="2">
        <v>1</v>
      </c>
      <c r="G193" s="2">
        <v>0.84</v>
      </c>
      <c r="H193" s="2" t="s">
        <v>49</v>
      </c>
      <c r="I193" s="2" t="s">
        <v>39</v>
      </c>
      <c r="J193" s="2" t="s">
        <v>33</v>
      </c>
      <c r="K193" s="2"/>
      <c r="L193" s="2" t="s">
        <v>450</v>
      </c>
      <c r="M193" s="2" t="s">
        <v>43</v>
      </c>
      <c r="N193" s="2" t="s">
        <v>421</v>
      </c>
      <c r="O193" s="2" t="s">
        <v>34</v>
      </c>
      <c r="P193" s="2"/>
      <c r="Q193" s="2">
        <v>1343410938</v>
      </c>
      <c r="R193" s="2">
        <v>4000</v>
      </c>
      <c r="S193" s="2">
        <v>3360</v>
      </c>
      <c r="T193" s="13" t="str">
        <f t="shared" si="5"/>
        <v>ORY014AA</v>
      </c>
      <c r="U193" s="2" t="s">
        <v>451</v>
      </c>
      <c r="V193" s="2"/>
      <c r="W193" s="2">
        <v>6.32</v>
      </c>
      <c r="X193" s="2">
        <v>7.87</v>
      </c>
      <c r="Y193" s="2">
        <v>2.4300000000000002</v>
      </c>
      <c r="Z193" s="2">
        <v>30.9</v>
      </c>
      <c r="AA193" s="2">
        <v>72</v>
      </c>
      <c r="AB193" s="2">
        <v>0.8</v>
      </c>
      <c r="AC193" s="3" t="str">
        <f t="shared" si="4"/>
        <v>Loose</v>
      </c>
    </row>
    <row r="194" spans="1:29" x14ac:dyDescent="0.25">
      <c r="A194" s="1" t="s">
        <v>452</v>
      </c>
      <c r="B194" s="2" t="s">
        <v>29</v>
      </c>
      <c r="C194" s="2"/>
      <c r="D194" s="2"/>
      <c r="E194" s="2" t="s">
        <v>437</v>
      </c>
      <c r="F194" s="2">
        <v>1</v>
      </c>
      <c r="G194" s="2">
        <v>0.91</v>
      </c>
      <c r="H194" s="2" t="s">
        <v>76</v>
      </c>
      <c r="I194" s="2" t="s">
        <v>39</v>
      </c>
      <c r="J194" s="2" t="s">
        <v>33</v>
      </c>
      <c r="K194" s="2"/>
      <c r="L194" s="2" t="s">
        <v>450</v>
      </c>
      <c r="M194" s="2" t="s">
        <v>450</v>
      </c>
      <c r="N194" s="2" t="s">
        <v>421</v>
      </c>
      <c r="O194" s="2" t="s">
        <v>61</v>
      </c>
      <c r="P194" s="2"/>
      <c r="Q194" s="2">
        <v>2387532755</v>
      </c>
      <c r="R194" s="2">
        <v>3500</v>
      </c>
      <c r="S194" s="2">
        <v>3185</v>
      </c>
      <c r="T194" s="13" t="str">
        <f t="shared" si="5"/>
        <v>BATA101AAA</v>
      </c>
      <c r="U194" s="2" t="s">
        <v>453</v>
      </c>
      <c r="V194" s="2"/>
      <c r="W194" s="2">
        <v>6.02</v>
      </c>
      <c r="X194" s="2">
        <v>7.62</v>
      </c>
      <c r="Y194" s="2">
        <v>2.66</v>
      </c>
      <c r="Z194" s="2">
        <v>34.9</v>
      </c>
      <c r="AA194" s="2">
        <v>75</v>
      </c>
      <c r="AB194" s="2">
        <v>0.79</v>
      </c>
      <c r="AC194" s="3" t="str">
        <f t="shared" ref="AC194:AC257" si="6">IF(F194=2,"Pair","Loose")</f>
        <v>Loose</v>
      </c>
    </row>
    <row r="195" spans="1:29" x14ac:dyDescent="0.25">
      <c r="A195" s="1" t="s">
        <v>454</v>
      </c>
      <c r="B195" s="2" t="s">
        <v>29</v>
      </c>
      <c r="C195" s="2"/>
      <c r="D195" s="2"/>
      <c r="E195" s="2" t="s">
        <v>437</v>
      </c>
      <c r="F195" s="2">
        <v>1</v>
      </c>
      <c r="G195" s="2">
        <v>1.53</v>
      </c>
      <c r="H195" s="2" t="s">
        <v>100</v>
      </c>
      <c r="I195" s="2" t="s">
        <v>50</v>
      </c>
      <c r="J195" s="2" t="s">
        <v>69</v>
      </c>
      <c r="K195" s="2"/>
      <c r="L195" s="2" t="s">
        <v>43</v>
      </c>
      <c r="M195" s="2" t="s">
        <v>43</v>
      </c>
      <c r="N195" s="2" t="s">
        <v>421</v>
      </c>
      <c r="O195" s="2" t="s">
        <v>58</v>
      </c>
      <c r="P195" s="2"/>
      <c r="Q195" s="2">
        <v>2384653045</v>
      </c>
      <c r="R195" s="2">
        <v>2000</v>
      </c>
      <c r="S195" s="2">
        <v>3060</v>
      </c>
      <c r="T195" s="13" t="str">
        <f t="shared" si="5"/>
        <v>BAT301AA</v>
      </c>
      <c r="U195" s="2" t="s">
        <v>455</v>
      </c>
      <c r="V195" s="2"/>
      <c r="W195" s="2">
        <v>7.16</v>
      </c>
      <c r="X195" s="2">
        <v>10.02</v>
      </c>
      <c r="Y195" s="2">
        <v>3</v>
      </c>
      <c r="Z195" s="2">
        <v>29.9</v>
      </c>
      <c r="AA195" s="2">
        <v>73</v>
      </c>
      <c r="AB195" s="2">
        <v>0.71</v>
      </c>
      <c r="AC195" s="3" t="str">
        <f t="shared" si="6"/>
        <v>Loose</v>
      </c>
    </row>
    <row r="196" spans="1:29" x14ac:dyDescent="0.25">
      <c r="A196" s="1" t="s">
        <v>456</v>
      </c>
      <c r="B196" s="2" t="s">
        <v>29</v>
      </c>
      <c r="C196" s="2"/>
      <c r="D196" s="2"/>
      <c r="E196" s="2" t="s">
        <v>437</v>
      </c>
      <c r="F196" s="2">
        <v>1</v>
      </c>
      <c r="G196" s="2">
        <v>0.28000000000000003</v>
      </c>
      <c r="H196" s="2" t="s">
        <v>73</v>
      </c>
      <c r="I196" s="2" t="s">
        <v>39</v>
      </c>
      <c r="J196" s="2" t="s">
        <v>33</v>
      </c>
      <c r="K196" s="2"/>
      <c r="L196" s="2"/>
      <c r="M196" s="2"/>
      <c r="N196" s="2"/>
      <c r="O196" s="2" t="s">
        <v>34</v>
      </c>
      <c r="P196" s="2"/>
      <c r="Q196" s="2"/>
      <c r="R196" s="2">
        <v>1500</v>
      </c>
      <c r="S196" s="2">
        <v>420</v>
      </c>
      <c r="T196" s="13" t="str">
        <f t="shared" si="5"/>
        <v>RH05AAAA</v>
      </c>
      <c r="U196" s="2" t="s">
        <v>457</v>
      </c>
      <c r="V196" s="2"/>
      <c r="W196" s="2">
        <v>5.42</v>
      </c>
      <c r="X196" s="2">
        <v>4.03</v>
      </c>
      <c r="Y196" s="2">
        <v>1.91</v>
      </c>
      <c r="Z196" s="2">
        <v>0</v>
      </c>
      <c r="AA196" s="2">
        <v>0</v>
      </c>
      <c r="AB196" s="2">
        <v>1.34</v>
      </c>
      <c r="AC196" s="3" t="str">
        <f t="shared" si="6"/>
        <v>Loose</v>
      </c>
    </row>
    <row r="197" spans="1:29" x14ac:dyDescent="0.25">
      <c r="A197" s="1" t="s">
        <v>458</v>
      </c>
      <c r="B197" s="2" t="s">
        <v>29</v>
      </c>
      <c r="C197" s="2"/>
      <c r="D197" s="2"/>
      <c r="E197" s="2" t="s">
        <v>437</v>
      </c>
      <c r="F197" s="2">
        <v>1</v>
      </c>
      <c r="G197" s="2">
        <v>1.55</v>
      </c>
      <c r="H197" s="2" t="s">
        <v>396</v>
      </c>
      <c r="I197" s="2" t="s">
        <v>32</v>
      </c>
      <c r="J197" s="2" t="s">
        <v>397</v>
      </c>
      <c r="K197" s="2"/>
      <c r="L197" s="2" t="s">
        <v>43</v>
      </c>
      <c r="M197" s="2" t="s">
        <v>43</v>
      </c>
      <c r="N197" s="2" t="s">
        <v>421</v>
      </c>
      <c r="O197" s="2" t="s">
        <v>58</v>
      </c>
      <c r="P197" s="2"/>
      <c r="Q197" s="2">
        <v>1477643885</v>
      </c>
      <c r="R197" s="2">
        <v>6500</v>
      </c>
      <c r="S197" s="2">
        <v>10075</v>
      </c>
      <c r="T197" s="13" t="str">
        <f t="shared" si="5"/>
        <v>BLL006AAAA</v>
      </c>
      <c r="U197" s="2" t="s">
        <v>459</v>
      </c>
      <c r="V197" s="2"/>
      <c r="W197" s="2">
        <v>7.76</v>
      </c>
      <c r="X197" s="2">
        <v>9.31</v>
      </c>
      <c r="Y197" s="2">
        <v>2.87</v>
      </c>
      <c r="Z197" s="2">
        <v>30.8</v>
      </c>
      <c r="AA197" s="2">
        <v>80</v>
      </c>
      <c r="AB197" s="2">
        <v>0.83</v>
      </c>
      <c r="AC197" s="3" t="str">
        <f t="shared" si="6"/>
        <v>Loose</v>
      </c>
    </row>
    <row r="198" spans="1:29" x14ac:dyDescent="0.25">
      <c r="A198" s="1" t="s">
        <v>460</v>
      </c>
      <c r="B198" s="2" t="s">
        <v>29</v>
      </c>
      <c r="C198" s="2"/>
      <c r="D198" s="2"/>
      <c r="E198" s="2" t="s">
        <v>437</v>
      </c>
      <c r="F198" s="2">
        <v>1</v>
      </c>
      <c r="G198" s="2">
        <v>1.02</v>
      </c>
      <c r="H198" s="2" t="s">
        <v>38</v>
      </c>
      <c r="I198" s="2" t="s">
        <v>53</v>
      </c>
      <c r="J198" s="2" t="s">
        <v>397</v>
      </c>
      <c r="K198" s="2"/>
      <c r="L198" s="2" t="s">
        <v>450</v>
      </c>
      <c r="M198" s="2" t="s">
        <v>43</v>
      </c>
      <c r="N198" s="2" t="s">
        <v>421</v>
      </c>
      <c r="O198" s="2" t="s">
        <v>58</v>
      </c>
      <c r="P198" s="2"/>
      <c r="Q198" s="2">
        <v>1475470024</v>
      </c>
      <c r="R198" s="2">
        <v>5500</v>
      </c>
      <c r="S198" s="2">
        <v>5610</v>
      </c>
      <c r="T198" s="13" t="str">
        <f t="shared" si="5"/>
        <v>BLL003AAAAA</v>
      </c>
      <c r="U198" s="2" t="s">
        <v>461</v>
      </c>
      <c r="V198" s="2"/>
      <c r="W198" s="2">
        <v>6.27</v>
      </c>
      <c r="X198" s="2">
        <v>9</v>
      </c>
      <c r="Y198" s="2">
        <v>2.64</v>
      </c>
      <c r="Z198" s="2">
        <v>29.3</v>
      </c>
      <c r="AA198" s="2">
        <v>81</v>
      </c>
      <c r="AB198" s="2">
        <v>0.7</v>
      </c>
      <c r="AC198" s="3" t="str">
        <f t="shared" si="6"/>
        <v>Loose</v>
      </c>
    </row>
    <row r="199" spans="1:29" x14ac:dyDescent="0.25">
      <c r="A199" s="1" t="s">
        <v>462</v>
      </c>
      <c r="B199" s="2" t="s">
        <v>29</v>
      </c>
      <c r="C199" s="2"/>
      <c r="D199" s="2"/>
      <c r="E199" s="2" t="s">
        <v>437</v>
      </c>
      <c r="F199" s="2">
        <v>1</v>
      </c>
      <c r="G199" s="2">
        <v>1.1100000000000001</v>
      </c>
      <c r="H199" s="2" t="s">
        <v>396</v>
      </c>
      <c r="I199" s="2" t="s">
        <v>53</v>
      </c>
      <c r="J199" s="2" t="s">
        <v>397</v>
      </c>
      <c r="K199" s="2"/>
      <c r="L199" s="2" t="s">
        <v>43</v>
      </c>
      <c r="M199" s="2" t="s">
        <v>43</v>
      </c>
      <c r="N199" s="2" t="s">
        <v>421</v>
      </c>
      <c r="O199" s="2" t="s">
        <v>61</v>
      </c>
      <c r="P199" s="2"/>
      <c r="Q199" s="2">
        <v>6481156685</v>
      </c>
      <c r="R199" s="2">
        <v>6800</v>
      </c>
      <c r="S199" s="2">
        <v>7548</v>
      </c>
      <c r="T199" s="13" t="str">
        <f t="shared" ref="T199:T262" si="7">IF(OR(TRIM(A199&amp;"")="",TRIM(A199&amp;"")="0"),"",HYPERLINK("https://gs.gsdiamonds.com/StoneDetails.aspx?name=" &amp; _xlfn.ENCODEURL(TRIM(A199&amp;"")), TRIM(A199&amp;"")))</f>
        <v>BLL027AAAAAA</v>
      </c>
      <c r="U199" s="2" t="s">
        <v>463</v>
      </c>
      <c r="V199" s="2"/>
      <c r="W199" s="2">
        <v>6.11</v>
      </c>
      <c r="X199" s="2">
        <v>8.86</v>
      </c>
      <c r="Y199" s="2">
        <v>2.58</v>
      </c>
      <c r="Z199" s="2">
        <v>29.1</v>
      </c>
      <c r="AA199" s="2">
        <v>79</v>
      </c>
      <c r="AB199" s="2">
        <v>0.69</v>
      </c>
      <c r="AC199" s="3" t="str">
        <f t="shared" si="6"/>
        <v>Loose</v>
      </c>
    </row>
    <row r="200" spans="1:29" x14ac:dyDescent="0.25">
      <c r="A200" s="1" t="s">
        <v>464</v>
      </c>
      <c r="B200" s="2" t="s">
        <v>29</v>
      </c>
      <c r="C200" s="2"/>
      <c r="D200" s="2"/>
      <c r="E200" s="2" t="s">
        <v>437</v>
      </c>
      <c r="F200" s="2">
        <v>1</v>
      </c>
      <c r="G200" s="2">
        <v>1.03</v>
      </c>
      <c r="H200" s="2" t="s">
        <v>73</v>
      </c>
      <c r="I200" s="2" t="s">
        <v>53</v>
      </c>
      <c r="J200" s="2" t="s">
        <v>33</v>
      </c>
      <c r="K200" s="2"/>
      <c r="L200" s="2" t="s">
        <v>450</v>
      </c>
      <c r="M200" s="2" t="s">
        <v>43</v>
      </c>
      <c r="N200" s="2" t="s">
        <v>421</v>
      </c>
      <c r="O200" s="2" t="s">
        <v>34</v>
      </c>
      <c r="P200" s="2"/>
      <c r="Q200" s="2">
        <v>6481317859</v>
      </c>
      <c r="R200" s="2">
        <v>4500</v>
      </c>
      <c r="S200" s="2">
        <v>4635</v>
      </c>
      <c r="T200" s="13" t="str">
        <f t="shared" si="7"/>
        <v>BLL001AAAAAA</v>
      </c>
      <c r="U200" s="2" t="s">
        <v>465</v>
      </c>
      <c r="V200" s="2"/>
      <c r="W200" s="2">
        <v>6.6</v>
      </c>
      <c r="X200" s="2">
        <v>8.5399999999999991</v>
      </c>
      <c r="Y200" s="2">
        <v>2.54</v>
      </c>
      <c r="Z200" s="2">
        <v>29.8</v>
      </c>
      <c r="AA200" s="2">
        <v>73</v>
      </c>
      <c r="AB200" s="2">
        <v>0.77</v>
      </c>
      <c r="AC200" s="3" t="str">
        <f t="shared" si="6"/>
        <v>Loose</v>
      </c>
    </row>
    <row r="201" spans="1:29" x14ac:dyDescent="0.25">
      <c r="A201" s="1" t="s">
        <v>466</v>
      </c>
      <c r="B201" s="2" t="s">
        <v>29</v>
      </c>
      <c r="C201" s="2"/>
      <c r="D201" s="2"/>
      <c r="E201" s="2" t="s">
        <v>437</v>
      </c>
      <c r="F201" s="2">
        <v>1</v>
      </c>
      <c r="G201" s="2">
        <v>0.41</v>
      </c>
      <c r="H201" s="2" t="s">
        <v>76</v>
      </c>
      <c r="I201" s="2" t="s">
        <v>53</v>
      </c>
      <c r="J201" s="2" t="s">
        <v>33</v>
      </c>
      <c r="K201" s="2"/>
      <c r="L201" s="2" t="s">
        <v>43</v>
      </c>
      <c r="M201" s="2" t="s">
        <v>450</v>
      </c>
      <c r="N201" s="2" t="s">
        <v>421</v>
      </c>
      <c r="O201" s="2" t="s">
        <v>61</v>
      </c>
      <c r="P201" s="2"/>
      <c r="Q201" s="2">
        <v>2235784240</v>
      </c>
      <c r="R201" s="2">
        <v>2500</v>
      </c>
      <c r="S201" s="2">
        <v>1025</v>
      </c>
      <c r="T201" s="13" t="str">
        <f t="shared" si="7"/>
        <v>YL015AAA</v>
      </c>
      <c r="U201" s="2" t="s">
        <v>467</v>
      </c>
      <c r="V201" s="2"/>
      <c r="W201" s="2">
        <v>4.3499999999999996</v>
      </c>
      <c r="X201" s="2">
        <v>5.92</v>
      </c>
      <c r="Y201" s="2">
        <v>2.48</v>
      </c>
      <c r="Z201" s="2">
        <v>41.9</v>
      </c>
      <c r="AA201" s="2">
        <v>74</v>
      </c>
      <c r="AB201" s="2">
        <v>0.73</v>
      </c>
      <c r="AC201" s="3" t="str">
        <f t="shared" si="6"/>
        <v>Loose</v>
      </c>
    </row>
    <row r="202" spans="1:29" x14ac:dyDescent="0.25">
      <c r="A202" s="1" t="s">
        <v>468</v>
      </c>
      <c r="B202" s="2" t="s">
        <v>37</v>
      </c>
      <c r="C202" s="2"/>
      <c r="D202" s="2"/>
      <c r="E202" s="2" t="s">
        <v>437</v>
      </c>
      <c r="F202" s="2">
        <v>2</v>
      </c>
      <c r="G202" s="2">
        <v>1.45</v>
      </c>
      <c r="H202" s="2" t="s">
        <v>38</v>
      </c>
      <c r="I202" s="2" t="s">
        <v>50</v>
      </c>
      <c r="J202" s="2" t="s">
        <v>33</v>
      </c>
      <c r="K202" s="2"/>
      <c r="L202" s="2"/>
      <c r="M202" s="2"/>
      <c r="N202" s="2"/>
      <c r="O202" s="2" t="s">
        <v>34</v>
      </c>
      <c r="P202" s="2"/>
      <c r="Q202" s="2"/>
      <c r="R202" s="2">
        <v>3900</v>
      </c>
      <c r="S202" s="2">
        <v>5655</v>
      </c>
      <c r="T202" s="13" t="str">
        <f t="shared" si="7"/>
        <v>CALFS137</v>
      </c>
      <c r="U202" s="2" t="s">
        <v>469</v>
      </c>
      <c r="V202" s="2"/>
      <c r="W202" s="2">
        <v>7.49</v>
      </c>
      <c r="X202" s="2">
        <v>5.73</v>
      </c>
      <c r="Y202" s="2">
        <v>2.64</v>
      </c>
      <c r="Z202" s="2">
        <v>0</v>
      </c>
      <c r="AA202" s="2">
        <v>0</v>
      </c>
      <c r="AB202" s="2">
        <v>1.31</v>
      </c>
      <c r="AC202" s="3" t="str">
        <f t="shared" si="6"/>
        <v>Pair</v>
      </c>
    </row>
    <row r="203" spans="1:29" x14ac:dyDescent="0.25">
      <c r="A203" s="1" t="s">
        <v>470</v>
      </c>
      <c r="B203" s="2" t="s">
        <v>29</v>
      </c>
      <c r="C203" s="2"/>
      <c r="D203" s="2"/>
      <c r="E203" s="2" t="s">
        <v>437</v>
      </c>
      <c r="F203" s="2">
        <v>1</v>
      </c>
      <c r="G203" s="2">
        <v>0.14000000000000001</v>
      </c>
      <c r="H203" s="2" t="s">
        <v>396</v>
      </c>
      <c r="I203" s="2" t="s">
        <v>57</v>
      </c>
      <c r="J203" s="2" t="s">
        <v>33</v>
      </c>
      <c r="K203" s="2"/>
      <c r="L203" s="2"/>
      <c r="M203" s="2"/>
      <c r="N203" s="2"/>
      <c r="O203" s="2" t="s">
        <v>58</v>
      </c>
      <c r="P203" s="2"/>
      <c r="Q203" s="2"/>
      <c r="R203" s="2">
        <v>1136</v>
      </c>
      <c r="S203" s="2">
        <v>159.04</v>
      </c>
      <c r="T203" s="13" t="str">
        <f t="shared" si="7"/>
        <v>AUR06BAAA</v>
      </c>
      <c r="U203" s="2" t="s">
        <v>471</v>
      </c>
      <c r="V203" s="2"/>
      <c r="W203" s="2">
        <v>4.21</v>
      </c>
      <c r="X203" s="2">
        <v>3.16</v>
      </c>
      <c r="Y203" s="2">
        <v>1.54</v>
      </c>
      <c r="Z203" s="2">
        <v>0</v>
      </c>
      <c r="AA203" s="2">
        <v>0</v>
      </c>
      <c r="AB203" s="2">
        <v>1.33</v>
      </c>
      <c r="AC203" s="3" t="str">
        <f t="shared" si="6"/>
        <v>Loose</v>
      </c>
    </row>
    <row r="204" spans="1:29" x14ac:dyDescent="0.25">
      <c r="A204" s="1" t="s">
        <v>472</v>
      </c>
      <c r="B204" s="2" t="s">
        <v>29</v>
      </c>
      <c r="C204" s="2"/>
      <c r="D204" s="2"/>
      <c r="E204" s="2" t="s">
        <v>437</v>
      </c>
      <c r="F204" s="2">
        <v>1</v>
      </c>
      <c r="G204" s="2">
        <v>0.85</v>
      </c>
      <c r="H204" s="2" t="s">
        <v>38</v>
      </c>
      <c r="I204" s="2" t="s">
        <v>32</v>
      </c>
      <c r="J204" s="2" t="s">
        <v>397</v>
      </c>
      <c r="K204" s="2"/>
      <c r="L204" s="2" t="s">
        <v>43</v>
      </c>
      <c r="M204" s="2" t="s">
        <v>43</v>
      </c>
      <c r="N204" s="2" t="s">
        <v>421</v>
      </c>
      <c r="O204" s="2" t="s">
        <v>34</v>
      </c>
      <c r="P204" s="2"/>
      <c r="Q204" s="2">
        <v>5232641156</v>
      </c>
      <c r="R204" s="2">
        <v>3500</v>
      </c>
      <c r="S204" s="2">
        <v>2975</v>
      </c>
      <c r="T204" s="13" t="str">
        <f t="shared" si="7"/>
        <v>LEV32801AAA</v>
      </c>
      <c r="U204" s="2" t="s">
        <v>473</v>
      </c>
      <c r="V204" s="2"/>
      <c r="W204" s="2">
        <v>6.18</v>
      </c>
      <c r="X204" s="2">
        <v>8.9499999999999993</v>
      </c>
      <c r="Y204" s="2">
        <v>2.33</v>
      </c>
      <c r="Z204" s="2">
        <v>26</v>
      </c>
      <c r="AA204" s="2">
        <v>81</v>
      </c>
      <c r="AB204" s="2">
        <v>0.69</v>
      </c>
      <c r="AC204" s="3" t="str">
        <f t="shared" si="6"/>
        <v>Loose</v>
      </c>
    </row>
    <row r="205" spans="1:29" x14ac:dyDescent="0.25">
      <c r="A205" s="1" t="s">
        <v>474</v>
      </c>
      <c r="B205" s="2" t="s">
        <v>37</v>
      </c>
      <c r="C205" s="2"/>
      <c r="D205" s="2"/>
      <c r="E205" s="2" t="s">
        <v>437</v>
      </c>
      <c r="F205" s="2">
        <v>2</v>
      </c>
      <c r="G205" s="2">
        <v>0.77</v>
      </c>
      <c r="H205" s="2" t="s">
        <v>38</v>
      </c>
      <c r="I205" s="2" t="s">
        <v>53</v>
      </c>
      <c r="J205" s="2" t="s">
        <v>397</v>
      </c>
      <c r="K205" s="2"/>
      <c r="L205" s="2"/>
      <c r="M205" s="2"/>
      <c r="N205" s="2"/>
      <c r="O205" s="2" t="s">
        <v>34</v>
      </c>
      <c r="P205" s="2"/>
      <c r="Q205" s="2"/>
      <c r="R205" s="2">
        <v>2800</v>
      </c>
      <c r="S205" s="2">
        <v>2156</v>
      </c>
      <c r="T205" s="13" t="str">
        <f t="shared" si="7"/>
        <v>CALFS157</v>
      </c>
      <c r="U205" s="2" t="s">
        <v>475</v>
      </c>
      <c r="V205" s="2"/>
      <c r="W205" s="2">
        <v>4.33</v>
      </c>
      <c r="X205" s="2">
        <v>5.77</v>
      </c>
      <c r="Y205" s="2">
        <v>2.33</v>
      </c>
      <c r="Z205" s="2">
        <v>0</v>
      </c>
      <c r="AA205" s="2">
        <v>0</v>
      </c>
      <c r="AB205" s="2">
        <v>0.75</v>
      </c>
      <c r="AC205" s="3" t="str">
        <f t="shared" si="6"/>
        <v>Pair</v>
      </c>
    </row>
    <row r="206" spans="1:29" x14ac:dyDescent="0.25">
      <c r="A206" s="1" t="s">
        <v>476</v>
      </c>
      <c r="B206" s="2" t="s">
        <v>29</v>
      </c>
      <c r="C206" s="2"/>
      <c r="D206" s="2"/>
      <c r="E206" s="2" t="s">
        <v>437</v>
      </c>
      <c r="F206" s="2">
        <v>1</v>
      </c>
      <c r="G206" s="2">
        <v>0.64</v>
      </c>
      <c r="H206" s="2" t="s">
        <v>137</v>
      </c>
      <c r="I206" s="2" t="s">
        <v>39</v>
      </c>
      <c r="J206" s="2" t="s">
        <v>397</v>
      </c>
      <c r="K206" s="2"/>
      <c r="L206" s="2" t="s">
        <v>43</v>
      </c>
      <c r="M206" s="2" t="s">
        <v>43</v>
      </c>
      <c r="N206" s="2" t="s">
        <v>421</v>
      </c>
      <c r="O206" s="2" t="s">
        <v>34</v>
      </c>
      <c r="P206" s="2"/>
      <c r="Q206" s="2">
        <v>1232607310</v>
      </c>
      <c r="R206" s="2">
        <v>3500</v>
      </c>
      <c r="S206" s="2">
        <v>2240</v>
      </c>
      <c r="T206" s="13" t="str">
        <f t="shared" si="7"/>
        <v>BLHL03AAA</v>
      </c>
      <c r="U206" s="2" t="s">
        <v>477</v>
      </c>
      <c r="V206" s="2"/>
      <c r="W206" s="2">
        <v>5.63</v>
      </c>
      <c r="X206" s="2">
        <v>7.7</v>
      </c>
      <c r="Y206" s="2">
        <v>2.17</v>
      </c>
      <c r="Z206" s="2">
        <v>28.1</v>
      </c>
      <c r="AA206" s="2">
        <v>77</v>
      </c>
      <c r="AB206" s="2">
        <v>0.73</v>
      </c>
      <c r="AC206" s="3" t="str">
        <f t="shared" si="6"/>
        <v>Loose</v>
      </c>
    </row>
    <row r="207" spans="1:29" x14ac:dyDescent="0.25">
      <c r="A207" s="1" t="s">
        <v>478</v>
      </c>
      <c r="B207" s="2" t="s">
        <v>37</v>
      </c>
      <c r="C207" s="2"/>
      <c r="D207" s="2"/>
      <c r="E207" s="2" t="s">
        <v>437</v>
      </c>
      <c r="F207" s="2">
        <v>2</v>
      </c>
      <c r="G207" s="2">
        <v>0.66</v>
      </c>
      <c r="H207" s="2" t="s">
        <v>43</v>
      </c>
      <c r="I207" s="2" t="s">
        <v>53</v>
      </c>
      <c r="J207" s="2" t="s">
        <v>33</v>
      </c>
      <c r="K207" s="2"/>
      <c r="L207" s="2"/>
      <c r="M207" s="2"/>
      <c r="N207" s="2"/>
      <c r="O207" s="2"/>
      <c r="P207" s="2"/>
      <c r="Q207" s="2"/>
      <c r="R207" s="2">
        <v>2500</v>
      </c>
      <c r="S207" s="2">
        <v>1650</v>
      </c>
      <c r="T207" s="13" t="str">
        <f t="shared" si="7"/>
        <v>CALFS159</v>
      </c>
      <c r="U207" s="2" t="s">
        <v>479</v>
      </c>
      <c r="V207" s="2"/>
      <c r="W207" s="2">
        <v>5.63</v>
      </c>
      <c r="X207" s="2">
        <v>3.83</v>
      </c>
      <c r="Y207" s="2">
        <v>2.17</v>
      </c>
      <c r="Z207" s="2">
        <v>0</v>
      </c>
      <c r="AA207" s="2">
        <v>0</v>
      </c>
      <c r="AB207" s="2">
        <v>1.47</v>
      </c>
      <c r="AC207" s="3" t="str">
        <f t="shared" si="6"/>
        <v>Pair</v>
      </c>
    </row>
    <row r="208" spans="1:29" x14ac:dyDescent="0.25">
      <c r="A208" s="1" t="s">
        <v>480</v>
      </c>
      <c r="B208" s="2" t="s">
        <v>37</v>
      </c>
      <c r="C208" s="2"/>
      <c r="D208" s="2"/>
      <c r="E208" s="2" t="s">
        <v>437</v>
      </c>
      <c r="F208" s="2">
        <v>2</v>
      </c>
      <c r="G208" s="2">
        <v>0.5</v>
      </c>
      <c r="H208" s="2" t="s">
        <v>43</v>
      </c>
      <c r="I208" s="2" t="s">
        <v>39</v>
      </c>
      <c r="J208" s="2" t="s">
        <v>33</v>
      </c>
      <c r="K208" s="2"/>
      <c r="L208" s="2"/>
      <c r="M208" s="2"/>
      <c r="N208" s="2"/>
      <c r="O208" s="2" t="s">
        <v>34</v>
      </c>
      <c r="P208" s="2"/>
      <c r="Q208" s="2"/>
      <c r="R208" s="2">
        <v>2100</v>
      </c>
      <c r="S208" s="2">
        <v>1050</v>
      </c>
      <c r="T208" s="13" t="str">
        <f t="shared" si="7"/>
        <v>CALFS160</v>
      </c>
      <c r="U208" s="2" t="s">
        <v>481</v>
      </c>
      <c r="V208" s="2"/>
      <c r="W208" s="2">
        <v>5.27</v>
      </c>
      <c r="X208" s="2">
        <v>3.68</v>
      </c>
      <c r="Y208" s="2">
        <v>2.0699999999999998</v>
      </c>
      <c r="Z208" s="2">
        <v>0</v>
      </c>
      <c r="AA208" s="2">
        <v>0</v>
      </c>
      <c r="AB208" s="2">
        <v>1.43</v>
      </c>
      <c r="AC208" s="3" t="str">
        <f t="shared" si="6"/>
        <v>Pair</v>
      </c>
    </row>
    <row r="209" spans="1:29" x14ac:dyDescent="0.25">
      <c r="A209" s="1" t="s">
        <v>482</v>
      </c>
      <c r="B209" s="2" t="s">
        <v>29</v>
      </c>
      <c r="C209" s="2"/>
      <c r="D209" s="2"/>
      <c r="E209" s="2" t="s">
        <v>437</v>
      </c>
      <c r="F209" s="2">
        <v>1</v>
      </c>
      <c r="G209" s="2">
        <v>0.38</v>
      </c>
      <c r="H209" s="2" t="s">
        <v>49</v>
      </c>
      <c r="I209" s="2" t="s">
        <v>50</v>
      </c>
      <c r="J209" s="2" t="s">
        <v>33</v>
      </c>
      <c r="K209" s="2"/>
      <c r="L209" s="2"/>
      <c r="M209" s="2"/>
      <c r="N209" s="2"/>
      <c r="O209" s="2" t="s">
        <v>46</v>
      </c>
      <c r="P209" s="2"/>
      <c r="Q209" s="2"/>
      <c r="R209" s="2">
        <v>1014</v>
      </c>
      <c r="S209" s="2">
        <v>385.32</v>
      </c>
      <c r="T209" s="13" t="str">
        <f t="shared" si="7"/>
        <v>KGKA25AAAA</v>
      </c>
      <c r="U209" s="2" t="s">
        <v>483</v>
      </c>
      <c r="V209" s="2"/>
      <c r="W209" s="2">
        <v>5.59</v>
      </c>
      <c r="X209" s="2">
        <v>4.28</v>
      </c>
      <c r="Y209" s="2">
        <v>2.2799999999999998</v>
      </c>
      <c r="Z209" s="2">
        <v>0</v>
      </c>
      <c r="AA209" s="2">
        <v>0</v>
      </c>
      <c r="AB209" s="2">
        <v>1.31</v>
      </c>
      <c r="AC209" s="3" t="str">
        <f t="shared" si="6"/>
        <v>Loose</v>
      </c>
    </row>
    <row r="210" spans="1:29" x14ac:dyDescent="0.25">
      <c r="A210" s="1" t="s">
        <v>484</v>
      </c>
      <c r="B210" s="2" t="s">
        <v>29</v>
      </c>
      <c r="C210" s="2"/>
      <c r="D210" s="2"/>
      <c r="E210" s="2" t="s">
        <v>437</v>
      </c>
      <c r="F210" s="2">
        <v>1</v>
      </c>
      <c r="G210" s="2">
        <v>0.65</v>
      </c>
      <c r="H210" s="2" t="s">
        <v>43</v>
      </c>
      <c r="I210" s="2" t="s">
        <v>57</v>
      </c>
      <c r="J210" s="2" t="s">
        <v>397</v>
      </c>
      <c r="K210" s="2"/>
      <c r="L210" s="2" t="s">
        <v>43</v>
      </c>
      <c r="M210" s="2" t="s">
        <v>43</v>
      </c>
      <c r="N210" s="2" t="s">
        <v>421</v>
      </c>
      <c r="O210" s="2" t="s">
        <v>58</v>
      </c>
      <c r="P210" s="2"/>
      <c r="Q210" s="2">
        <v>5232607323</v>
      </c>
      <c r="R210" s="2">
        <v>3500</v>
      </c>
      <c r="S210" s="2">
        <v>2275</v>
      </c>
      <c r="T210" s="13" t="str">
        <f t="shared" si="7"/>
        <v>BLA043AAAA</v>
      </c>
      <c r="U210" s="2" t="s">
        <v>485</v>
      </c>
      <c r="V210" s="2"/>
      <c r="W210" s="2">
        <v>5.52</v>
      </c>
      <c r="X210" s="2">
        <v>7.69</v>
      </c>
      <c r="Y210" s="2">
        <v>2.15</v>
      </c>
      <c r="Z210" s="2">
        <v>27.9</v>
      </c>
      <c r="AA210" s="2">
        <v>79</v>
      </c>
      <c r="AB210" s="2">
        <v>0.72</v>
      </c>
      <c r="AC210" s="3" t="str">
        <f t="shared" si="6"/>
        <v>Loose</v>
      </c>
    </row>
    <row r="211" spans="1:29" x14ac:dyDescent="0.25">
      <c r="A211" s="1" t="s">
        <v>486</v>
      </c>
      <c r="B211" s="2" t="s">
        <v>29</v>
      </c>
      <c r="C211" s="2"/>
      <c r="D211" s="2"/>
      <c r="E211" s="2" t="s">
        <v>437</v>
      </c>
      <c r="F211" s="2">
        <v>2</v>
      </c>
      <c r="G211" s="2">
        <v>0.47</v>
      </c>
      <c r="H211" s="2" t="s">
        <v>137</v>
      </c>
      <c r="I211" s="2" t="s">
        <v>57</v>
      </c>
      <c r="J211" s="2" t="s">
        <v>33</v>
      </c>
      <c r="K211" s="2"/>
      <c r="L211" s="2"/>
      <c r="M211" s="2"/>
      <c r="N211" s="2"/>
      <c r="O211" s="2"/>
      <c r="P211" s="2"/>
      <c r="Q211" s="2"/>
      <c r="R211" s="2">
        <v>2100</v>
      </c>
      <c r="S211" s="2">
        <v>987</v>
      </c>
      <c r="T211" s="13" t="str">
        <f t="shared" si="7"/>
        <v>CALFS163</v>
      </c>
      <c r="U211" s="2" t="s">
        <v>487</v>
      </c>
      <c r="V211" s="2"/>
      <c r="W211" s="2">
        <v>4.8899999999999997</v>
      </c>
      <c r="X211" s="2">
        <v>3.46</v>
      </c>
      <c r="Y211" s="2">
        <v>2.13</v>
      </c>
      <c r="Z211" s="2">
        <v>0</v>
      </c>
      <c r="AA211" s="2">
        <v>0</v>
      </c>
      <c r="AB211" s="2">
        <v>1.41</v>
      </c>
      <c r="AC211" s="3" t="str">
        <f t="shared" si="6"/>
        <v>Pair</v>
      </c>
    </row>
    <row r="212" spans="1:29" x14ac:dyDescent="0.25">
      <c r="A212" s="1" t="s">
        <v>488</v>
      </c>
      <c r="B212" s="2" t="s">
        <v>29</v>
      </c>
      <c r="C212" s="2"/>
      <c r="D212" s="2"/>
      <c r="E212" s="2" t="s">
        <v>437</v>
      </c>
      <c r="F212" s="2">
        <v>2</v>
      </c>
      <c r="G212" s="2">
        <v>0.68</v>
      </c>
      <c r="H212" s="2" t="s">
        <v>38</v>
      </c>
      <c r="I212" s="2" t="s">
        <v>57</v>
      </c>
      <c r="J212" s="2" t="s">
        <v>33</v>
      </c>
      <c r="K212" s="2"/>
      <c r="L212" s="2"/>
      <c r="M212" s="2"/>
      <c r="N212" s="2"/>
      <c r="O212" s="2"/>
      <c r="P212" s="2"/>
      <c r="Q212" s="2"/>
      <c r="R212" s="2">
        <v>2700</v>
      </c>
      <c r="S212" s="2">
        <v>1836</v>
      </c>
      <c r="T212" s="13" t="str">
        <f t="shared" si="7"/>
        <v>CALFS165</v>
      </c>
      <c r="U212" s="2" t="s">
        <v>489</v>
      </c>
      <c r="V212" s="2"/>
      <c r="W212" s="2">
        <v>6.09</v>
      </c>
      <c r="X212" s="2">
        <v>4.47</v>
      </c>
      <c r="Y212" s="2">
        <v>1.88</v>
      </c>
      <c r="Z212" s="2">
        <v>0</v>
      </c>
      <c r="AA212" s="2">
        <v>0</v>
      </c>
      <c r="AB212" s="2">
        <v>1.36</v>
      </c>
      <c r="AC212" s="3" t="str">
        <f t="shared" si="6"/>
        <v>Pair</v>
      </c>
    </row>
    <row r="213" spans="1:29" x14ac:dyDescent="0.25">
      <c r="A213" s="1" t="s">
        <v>490</v>
      </c>
      <c r="B213" s="2" t="s">
        <v>29</v>
      </c>
      <c r="C213" s="2"/>
      <c r="D213" s="2"/>
      <c r="E213" s="2" t="s">
        <v>437</v>
      </c>
      <c r="F213" s="2">
        <v>2</v>
      </c>
      <c r="G213" s="2">
        <v>0.7</v>
      </c>
      <c r="H213" s="2" t="s">
        <v>38</v>
      </c>
      <c r="I213" s="2" t="s">
        <v>32</v>
      </c>
      <c r="J213" s="2" t="s">
        <v>33</v>
      </c>
      <c r="K213" s="2"/>
      <c r="L213" s="2"/>
      <c r="M213" s="2"/>
      <c r="N213" s="2"/>
      <c r="O213" s="2"/>
      <c r="P213" s="2"/>
      <c r="Q213" s="2"/>
      <c r="R213" s="2">
        <v>1600</v>
      </c>
      <c r="S213" s="2">
        <v>1120</v>
      </c>
      <c r="T213" s="13" t="str">
        <f t="shared" si="7"/>
        <v>CALFS166Q</v>
      </c>
      <c r="U213" s="2" t="s">
        <v>491</v>
      </c>
      <c r="V213" s="2"/>
      <c r="W213" s="2">
        <v>5.39</v>
      </c>
      <c r="X213" s="2">
        <v>4.2699999999999996</v>
      </c>
      <c r="Y213" s="2">
        <v>2.38</v>
      </c>
      <c r="Z213" s="2">
        <v>0</v>
      </c>
      <c r="AA213" s="2">
        <v>0</v>
      </c>
      <c r="AB213" s="2">
        <v>1.26</v>
      </c>
      <c r="AC213" s="3" t="str">
        <f t="shared" si="6"/>
        <v>Pair</v>
      </c>
    </row>
    <row r="214" spans="1:29" x14ac:dyDescent="0.25">
      <c r="A214" s="1" t="s">
        <v>492</v>
      </c>
      <c r="B214" s="2" t="s">
        <v>29</v>
      </c>
      <c r="C214" s="2"/>
      <c r="D214" s="2"/>
      <c r="E214" s="2" t="s">
        <v>437</v>
      </c>
      <c r="F214" s="2">
        <v>2</v>
      </c>
      <c r="G214" s="2">
        <v>0.7</v>
      </c>
      <c r="H214" s="2" t="s">
        <v>396</v>
      </c>
      <c r="I214" s="2" t="s">
        <v>57</v>
      </c>
      <c r="J214" s="2" t="s">
        <v>397</v>
      </c>
      <c r="K214" s="2"/>
      <c r="L214" s="2"/>
      <c r="M214" s="2"/>
      <c r="N214" s="2"/>
      <c r="O214" s="2" t="s">
        <v>34</v>
      </c>
      <c r="P214" s="2"/>
      <c r="Q214" s="2"/>
      <c r="R214" s="2">
        <v>2900</v>
      </c>
      <c r="S214" s="2">
        <v>2030</v>
      </c>
      <c r="T214" s="13" t="str">
        <f t="shared" si="7"/>
        <v>CALFS167</v>
      </c>
      <c r="U214" s="2" t="s">
        <v>493</v>
      </c>
      <c r="V214" s="2"/>
      <c r="W214" s="2">
        <v>4.7300000000000004</v>
      </c>
      <c r="X214" s="2">
        <v>6.49</v>
      </c>
      <c r="Y214" s="2">
        <v>1.86</v>
      </c>
      <c r="Z214" s="2">
        <v>0</v>
      </c>
      <c r="AA214" s="2">
        <v>0</v>
      </c>
      <c r="AB214" s="2">
        <v>0.73</v>
      </c>
      <c r="AC214" s="3" t="str">
        <f t="shared" si="6"/>
        <v>Pair</v>
      </c>
    </row>
    <row r="215" spans="1:29" x14ac:dyDescent="0.25">
      <c r="A215" s="1" t="s">
        <v>494</v>
      </c>
      <c r="B215" s="2" t="s">
        <v>29</v>
      </c>
      <c r="C215" s="2"/>
      <c r="D215" s="2"/>
      <c r="E215" s="2" t="s">
        <v>437</v>
      </c>
      <c r="F215" s="2">
        <v>2</v>
      </c>
      <c r="G215" s="2">
        <v>0.98</v>
      </c>
      <c r="H215" s="2" t="s">
        <v>43</v>
      </c>
      <c r="I215" s="2" t="s">
        <v>53</v>
      </c>
      <c r="J215" s="2" t="s">
        <v>397</v>
      </c>
      <c r="K215" s="2"/>
      <c r="L215" s="2"/>
      <c r="M215" s="2"/>
      <c r="N215" s="2"/>
      <c r="O215" s="2" t="s">
        <v>34</v>
      </c>
      <c r="P215" s="2"/>
      <c r="Q215" s="2"/>
      <c r="R215" s="2">
        <v>2900</v>
      </c>
      <c r="S215" s="2">
        <v>2842</v>
      </c>
      <c r="T215" s="13" t="str">
        <f t="shared" si="7"/>
        <v>CALFS168</v>
      </c>
      <c r="U215" s="2" t="s">
        <v>495</v>
      </c>
      <c r="V215" s="2"/>
      <c r="W215" s="2">
        <v>4.7699999999999996</v>
      </c>
      <c r="X215" s="2">
        <v>6.24</v>
      </c>
      <c r="Y215" s="2">
        <v>2.39</v>
      </c>
      <c r="Z215" s="2">
        <v>0</v>
      </c>
      <c r="AA215" s="2">
        <v>0</v>
      </c>
      <c r="AB215" s="2">
        <v>0.76</v>
      </c>
      <c r="AC215" s="3" t="str">
        <f t="shared" si="6"/>
        <v>Pair</v>
      </c>
    </row>
    <row r="216" spans="1:29" x14ac:dyDescent="0.25">
      <c r="A216" s="1" t="s">
        <v>496</v>
      </c>
      <c r="B216" s="2" t="s">
        <v>29</v>
      </c>
      <c r="C216" s="2"/>
      <c r="D216" s="2"/>
      <c r="E216" s="2" t="s">
        <v>437</v>
      </c>
      <c r="F216" s="2">
        <v>1</v>
      </c>
      <c r="G216" s="2">
        <v>0.53</v>
      </c>
      <c r="H216" s="2" t="s">
        <v>396</v>
      </c>
      <c r="I216" s="2" t="s">
        <v>57</v>
      </c>
      <c r="J216" s="2" t="s">
        <v>33</v>
      </c>
      <c r="K216" s="2"/>
      <c r="L216" s="2"/>
      <c r="M216" s="2"/>
      <c r="N216" s="2"/>
      <c r="O216" s="2" t="s">
        <v>34</v>
      </c>
      <c r="P216" s="2"/>
      <c r="Q216" s="2"/>
      <c r="R216" s="2">
        <v>3500</v>
      </c>
      <c r="S216" s="2">
        <v>1855</v>
      </c>
      <c r="T216" s="13" t="str">
        <f t="shared" si="7"/>
        <v>LEV152413AA</v>
      </c>
      <c r="U216" s="2" t="s">
        <v>497</v>
      </c>
      <c r="V216" s="2"/>
      <c r="W216" s="2">
        <v>7.55</v>
      </c>
      <c r="X216" s="2">
        <v>5.62</v>
      </c>
      <c r="Y216" s="2">
        <v>1.86</v>
      </c>
      <c r="Z216" s="2">
        <v>0</v>
      </c>
      <c r="AA216" s="2">
        <v>0</v>
      </c>
      <c r="AB216" s="2">
        <v>1.34</v>
      </c>
      <c r="AC216" s="3" t="str">
        <f t="shared" si="6"/>
        <v>Loose</v>
      </c>
    </row>
    <row r="217" spans="1:29" x14ac:dyDescent="0.25">
      <c r="A217" s="1" t="s">
        <v>498</v>
      </c>
      <c r="B217" s="2" t="s">
        <v>29</v>
      </c>
      <c r="C217" s="2"/>
      <c r="D217" s="2"/>
      <c r="E217" s="2" t="s">
        <v>437</v>
      </c>
      <c r="F217" s="2">
        <v>2</v>
      </c>
      <c r="G217" s="2">
        <v>0.67</v>
      </c>
      <c r="H217" s="2" t="s">
        <v>43</v>
      </c>
      <c r="I217" s="2" t="s">
        <v>57</v>
      </c>
      <c r="J217" s="2" t="s">
        <v>33</v>
      </c>
      <c r="K217" s="2"/>
      <c r="L217" s="2"/>
      <c r="M217" s="2"/>
      <c r="N217" s="2"/>
      <c r="O217" s="2" t="s">
        <v>34</v>
      </c>
      <c r="P217" s="2"/>
      <c r="Q217" s="2"/>
      <c r="R217" s="2">
        <v>2200</v>
      </c>
      <c r="S217" s="2">
        <v>1474</v>
      </c>
      <c r="T217" s="13" t="str">
        <f t="shared" si="7"/>
        <v>CALFS169</v>
      </c>
      <c r="U217" s="2" t="s">
        <v>499</v>
      </c>
      <c r="V217" s="2"/>
      <c r="W217" s="2">
        <v>5.54</v>
      </c>
      <c r="X217" s="2">
        <v>4.32</v>
      </c>
      <c r="Y217" s="2">
        <v>2.15</v>
      </c>
      <c r="Z217" s="2">
        <v>0</v>
      </c>
      <c r="AA217" s="2">
        <v>0</v>
      </c>
      <c r="AB217" s="2">
        <v>1.28</v>
      </c>
      <c r="AC217" s="3" t="str">
        <f t="shared" si="6"/>
        <v>Pair</v>
      </c>
    </row>
    <row r="218" spans="1:29" x14ac:dyDescent="0.25">
      <c r="A218" s="1" t="s">
        <v>500</v>
      </c>
      <c r="B218" s="2" t="s">
        <v>29</v>
      </c>
      <c r="C218" s="2"/>
      <c r="D218" s="2"/>
      <c r="E218" s="2" t="s">
        <v>437</v>
      </c>
      <c r="F218" s="2">
        <v>2</v>
      </c>
      <c r="G218" s="2">
        <v>0.91</v>
      </c>
      <c r="H218" s="2" t="s">
        <v>396</v>
      </c>
      <c r="I218" s="2" t="s">
        <v>53</v>
      </c>
      <c r="J218" s="2" t="s">
        <v>397</v>
      </c>
      <c r="K218" s="2"/>
      <c r="L218" s="2"/>
      <c r="M218" s="2"/>
      <c r="N218" s="2"/>
      <c r="O218" s="2"/>
      <c r="P218" s="2"/>
      <c r="Q218" s="2"/>
      <c r="R218" s="2">
        <v>4400</v>
      </c>
      <c r="S218" s="2">
        <v>4004</v>
      </c>
      <c r="T218" s="13" t="str">
        <f t="shared" si="7"/>
        <v>CALFS171</v>
      </c>
      <c r="U218" s="2" t="s">
        <v>501</v>
      </c>
      <c r="V218" s="2"/>
      <c r="W218" s="2">
        <v>5.08</v>
      </c>
      <c r="X218" s="2">
        <v>7.06</v>
      </c>
      <c r="Y218" s="2">
        <v>1.96</v>
      </c>
      <c r="Z218" s="2">
        <v>0</v>
      </c>
      <c r="AA218" s="2">
        <v>0</v>
      </c>
      <c r="AB218" s="2">
        <v>0.72</v>
      </c>
      <c r="AC218" s="3" t="str">
        <f t="shared" si="6"/>
        <v>Pair</v>
      </c>
    </row>
    <row r="219" spans="1:29" x14ac:dyDescent="0.25">
      <c r="A219" s="1" t="s">
        <v>502</v>
      </c>
      <c r="B219" s="2" t="s">
        <v>29</v>
      </c>
      <c r="C219" s="2"/>
      <c r="D219" s="2"/>
      <c r="E219" s="2" t="s">
        <v>437</v>
      </c>
      <c r="F219" s="2">
        <v>2</v>
      </c>
      <c r="G219" s="2">
        <v>1.47</v>
      </c>
      <c r="H219" s="2" t="s">
        <v>137</v>
      </c>
      <c r="I219" s="2" t="s">
        <v>57</v>
      </c>
      <c r="J219" s="2" t="s">
        <v>397</v>
      </c>
      <c r="K219" s="2"/>
      <c r="L219" s="2"/>
      <c r="M219" s="2"/>
      <c r="N219" s="2"/>
      <c r="O219" s="2" t="s">
        <v>34</v>
      </c>
      <c r="P219" s="2"/>
      <c r="Q219" s="2"/>
      <c r="R219" s="2">
        <v>6200</v>
      </c>
      <c r="S219" s="2">
        <v>9114</v>
      </c>
      <c r="T219" s="13" t="str">
        <f t="shared" si="7"/>
        <v>CALFS172</v>
      </c>
      <c r="U219" s="2" t="s">
        <v>503</v>
      </c>
      <c r="V219" s="2"/>
      <c r="W219" s="2">
        <v>6.24</v>
      </c>
      <c r="X219" s="2">
        <v>8.41</v>
      </c>
      <c r="Y219" s="2">
        <v>2.15</v>
      </c>
      <c r="Z219" s="2">
        <v>0</v>
      </c>
      <c r="AA219" s="2">
        <v>0</v>
      </c>
      <c r="AB219" s="2">
        <v>0.74</v>
      </c>
      <c r="AC219" s="3" t="str">
        <f t="shared" si="6"/>
        <v>Pair</v>
      </c>
    </row>
    <row r="220" spans="1:29" x14ac:dyDescent="0.25">
      <c r="A220" s="1" t="s">
        <v>504</v>
      </c>
      <c r="B220" s="2" t="s">
        <v>29</v>
      </c>
      <c r="C220" s="2"/>
      <c r="D220" s="2"/>
      <c r="E220" s="2" t="s">
        <v>505</v>
      </c>
      <c r="F220" s="2">
        <v>1</v>
      </c>
      <c r="G220" s="2">
        <v>0.72</v>
      </c>
      <c r="H220" s="2" t="s">
        <v>67</v>
      </c>
      <c r="I220" s="2" t="s">
        <v>39</v>
      </c>
      <c r="J220" s="2" t="s">
        <v>69</v>
      </c>
      <c r="K220" s="2"/>
      <c r="L220" s="2" t="s">
        <v>450</v>
      </c>
      <c r="M220" s="2" t="s">
        <v>43</v>
      </c>
      <c r="N220" s="2" t="s">
        <v>421</v>
      </c>
      <c r="O220" s="2" t="s">
        <v>34</v>
      </c>
      <c r="P220" s="2"/>
      <c r="Q220" s="2">
        <v>7203051651</v>
      </c>
      <c r="R220" s="2">
        <v>1440</v>
      </c>
      <c r="S220" s="2">
        <v>1036.8</v>
      </c>
      <c r="T220" s="13" t="str">
        <f t="shared" si="7"/>
        <v>PLT55803</v>
      </c>
      <c r="U220" s="2" t="s">
        <v>506</v>
      </c>
      <c r="V220" s="2"/>
      <c r="W220" s="2">
        <v>6.17</v>
      </c>
      <c r="X220" s="2">
        <v>5.04</v>
      </c>
      <c r="Y220" s="2">
        <v>3.08</v>
      </c>
      <c r="Z220" s="2">
        <v>61</v>
      </c>
      <c r="AA220" s="2">
        <v>68</v>
      </c>
      <c r="AB220" s="2">
        <v>1.22</v>
      </c>
      <c r="AC220" s="3" t="str">
        <f t="shared" si="6"/>
        <v>Loose</v>
      </c>
    </row>
    <row r="221" spans="1:29" x14ac:dyDescent="0.25">
      <c r="A221" s="1" t="s">
        <v>507</v>
      </c>
      <c r="B221" s="2" t="s">
        <v>29</v>
      </c>
      <c r="C221" s="2"/>
      <c r="D221" s="2"/>
      <c r="E221" s="2" t="s">
        <v>508</v>
      </c>
      <c r="F221" s="2">
        <v>1</v>
      </c>
      <c r="G221" s="2">
        <v>0.39</v>
      </c>
      <c r="H221" s="2" t="s">
        <v>76</v>
      </c>
      <c r="I221" s="2" t="s">
        <v>32</v>
      </c>
      <c r="J221" s="2" t="s">
        <v>33</v>
      </c>
      <c r="K221" s="2"/>
      <c r="L221" s="2" t="s">
        <v>450</v>
      </c>
      <c r="M221" s="2" t="s">
        <v>43</v>
      </c>
      <c r="N221" s="2" t="s">
        <v>421</v>
      </c>
      <c r="O221" s="2" t="s">
        <v>58</v>
      </c>
      <c r="P221" s="2"/>
      <c r="Q221" s="2">
        <v>7301014629</v>
      </c>
      <c r="R221" s="2">
        <v>950</v>
      </c>
      <c r="S221" s="2">
        <v>370.5</v>
      </c>
      <c r="T221" s="13" t="str">
        <f t="shared" si="7"/>
        <v>LEVY527C1001</v>
      </c>
      <c r="U221" s="2" t="s">
        <v>509</v>
      </c>
      <c r="V221" s="2"/>
      <c r="W221" s="2">
        <v>4.75</v>
      </c>
      <c r="X221" s="2">
        <v>3.83</v>
      </c>
      <c r="Y221" s="2">
        <v>2.6</v>
      </c>
      <c r="Z221" s="2">
        <v>67.900000000000006</v>
      </c>
      <c r="AA221" s="2">
        <v>76</v>
      </c>
      <c r="AB221" s="2">
        <v>1.24</v>
      </c>
      <c r="AC221" s="3" t="str">
        <f t="shared" si="6"/>
        <v>Loose</v>
      </c>
    </row>
    <row r="222" spans="1:29" x14ac:dyDescent="0.25">
      <c r="A222" s="1" t="s">
        <v>510</v>
      </c>
      <c r="B222" s="2" t="s">
        <v>37</v>
      </c>
      <c r="C222" s="2"/>
      <c r="D222" s="2"/>
      <c r="E222" s="2" t="s">
        <v>511</v>
      </c>
      <c r="F222" s="2">
        <v>2</v>
      </c>
      <c r="G222" s="2">
        <v>0.34</v>
      </c>
      <c r="H222" s="2" t="s">
        <v>31</v>
      </c>
      <c r="I222" s="2" t="s">
        <v>32</v>
      </c>
      <c r="J222" s="2" t="s">
        <v>33</v>
      </c>
      <c r="K222" s="2"/>
      <c r="L222" s="2"/>
      <c r="M222" s="2"/>
      <c r="N222" s="2"/>
      <c r="O222" s="2" t="s">
        <v>34</v>
      </c>
      <c r="P222" s="2"/>
      <c r="Q222" s="2"/>
      <c r="R222" s="2">
        <v>1100</v>
      </c>
      <c r="S222" s="2">
        <v>374</v>
      </c>
      <c r="T222" s="13" t="str">
        <f t="shared" si="7"/>
        <v>CUSH001</v>
      </c>
      <c r="U222" s="2" t="s">
        <v>512</v>
      </c>
      <c r="V222" s="2"/>
      <c r="W222" s="2">
        <v>3</v>
      </c>
      <c r="X222" s="2">
        <v>3.52</v>
      </c>
      <c r="Y222" s="2">
        <v>1.84</v>
      </c>
      <c r="Z222" s="2">
        <v>0</v>
      </c>
      <c r="AA222" s="2">
        <v>0</v>
      </c>
      <c r="AB222" s="2">
        <v>0.85</v>
      </c>
      <c r="AC222" s="3" t="str">
        <f t="shared" si="6"/>
        <v>Pair</v>
      </c>
    </row>
    <row r="223" spans="1:29" x14ac:dyDescent="0.25">
      <c r="A223" s="1" t="s">
        <v>513</v>
      </c>
      <c r="B223" s="2" t="s">
        <v>37</v>
      </c>
      <c r="C223" s="2"/>
      <c r="D223" s="2"/>
      <c r="E223" s="2" t="s">
        <v>511</v>
      </c>
      <c r="F223" s="2">
        <v>2</v>
      </c>
      <c r="G223" s="2">
        <v>0.36</v>
      </c>
      <c r="H223" s="2" t="s">
        <v>137</v>
      </c>
      <c r="I223" s="2" t="s">
        <v>57</v>
      </c>
      <c r="J223" s="2" t="s">
        <v>33</v>
      </c>
      <c r="K223" s="2"/>
      <c r="L223" s="2"/>
      <c r="M223" s="2"/>
      <c r="N223" s="2"/>
      <c r="O223" s="2" t="s">
        <v>514</v>
      </c>
      <c r="P223" s="2"/>
      <c r="Q223" s="2"/>
      <c r="R223" s="2">
        <v>1100</v>
      </c>
      <c r="S223" s="2">
        <v>396</v>
      </c>
      <c r="T223" s="13" t="str">
        <f t="shared" si="7"/>
        <v>CUSH002</v>
      </c>
      <c r="U223" s="2" t="s">
        <v>515</v>
      </c>
      <c r="V223" s="2"/>
      <c r="W223" s="2">
        <v>3.78</v>
      </c>
      <c r="X223" s="2">
        <v>2.92</v>
      </c>
      <c r="Y223" s="2">
        <v>2.19</v>
      </c>
      <c r="Z223" s="2">
        <v>0</v>
      </c>
      <c r="AA223" s="2">
        <v>0</v>
      </c>
      <c r="AB223" s="2">
        <v>1.29</v>
      </c>
      <c r="AC223" s="3" t="str">
        <f t="shared" si="6"/>
        <v>Pair</v>
      </c>
    </row>
    <row r="224" spans="1:29" x14ac:dyDescent="0.25">
      <c r="A224" s="1" t="s">
        <v>516</v>
      </c>
      <c r="B224" s="2" t="s">
        <v>29</v>
      </c>
      <c r="C224" s="2"/>
      <c r="D224" s="2"/>
      <c r="E224" s="2" t="s">
        <v>517</v>
      </c>
      <c r="F224" s="2">
        <v>1</v>
      </c>
      <c r="G224" s="2">
        <v>1.2</v>
      </c>
      <c r="H224" s="2" t="s">
        <v>76</v>
      </c>
      <c r="I224" s="2" t="s">
        <v>518</v>
      </c>
      <c r="J224" s="2" t="s">
        <v>33</v>
      </c>
      <c r="K224" s="2"/>
      <c r="L224" s="2" t="s">
        <v>450</v>
      </c>
      <c r="M224" s="2" t="s">
        <v>43</v>
      </c>
      <c r="N224" s="2" t="s">
        <v>421</v>
      </c>
      <c r="O224" s="2" t="s">
        <v>58</v>
      </c>
      <c r="P224" s="2"/>
      <c r="Q224" s="2">
        <v>1136500263</v>
      </c>
      <c r="R224" s="2">
        <v>3000</v>
      </c>
      <c r="S224" s="2">
        <v>3600</v>
      </c>
      <c r="T224" s="13" t="str">
        <f t="shared" si="7"/>
        <v>PLT189</v>
      </c>
      <c r="U224" s="2" t="s">
        <v>519</v>
      </c>
      <c r="V224" s="2"/>
      <c r="W224" s="2">
        <v>6.89</v>
      </c>
      <c r="X224" s="2">
        <v>5.26</v>
      </c>
      <c r="Y224" s="2">
        <v>3.66</v>
      </c>
      <c r="Z224" s="2">
        <v>69.599999999999994</v>
      </c>
      <c r="AA224" s="2">
        <v>64</v>
      </c>
      <c r="AB224" s="2">
        <v>1.31</v>
      </c>
      <c r="AC224" s="3" t="str">
        <f t="shared" si="6"/>
        <v>Loose</v>
      </c>
    </row>
    <row r="225" spans="1:29" x14ac:dyDescent="0.25">
      <c r="A225" s="1" t="s">
        <v>520</v>
      </c>
      <c r="B225" s="2" t="s">
        <v>37</v>
      </c>
      <c r="C225" s="2"/>
      <c r="D225" s="2"/>
      <c r="E225" s="2" t="s">
        <v>517</v>
      </c>
      <c r="F225" s="2">
        <v>1</v>
      </c>
      <c r="G225" s="2">
        <v>0.88</v>
      </c>
      <c r="H225" s="2" t="s">
        <v>137</v>
      </c>
      <c r="I225" s="2" t="s">
        <v>53</v>
      </c>
      <c r="J225" s="2" t="s">
        <v>397</v>
      </c>
      <c r="K225" s="2"/>
      <c r="L225" s="2" t="s">
        <v>43</v>
      </c>
      <c r="M225" s="2" t="s">
        <v>38</v>
      </c>
      <c r="N225" s="2" t="s">
        <v>421</v>
      </c>
      <c r="O225" s="2" t="s">
        <v>34</v>
      </c>
      <c r="P225" s="2"/>
      <c r="Q225" s="2">
        <v>6482152805</v>
      </c>
      <c r="R225" s="2">
        <v>2900</v>
      </c>
      <c r="S225" s="2">
        <v>2552</v>
      </c>
      <c r="T225" s="13" t="str">
        <f t="shared" si="7"/>
        <v>RADK001AA</v>
      </c>
      <c r="U225" s="2" t="s">
        <v>521</v>
      </c>
      <c r="V225" s="2"/>
      <c r="W225" s="2">
        <v>5.49</v>
      </c>
      <c r="X225" s="2">
        <v>5.25</v>
      </c>
      <c r="Y225" s="2">
        <v>3.41</v>
      </c>
      <c r="Z225" s="2">
        <v>64.900000000000006</v>
      </c>
      <c r="AA225" s="2">
        <v>69</v>
      </c>
      <c r="AB225" s="2">
        <v>1.05</v>
      </c>
      <c r="AC225" s="3" t="str">
        <f t="shared" si="6"/>
        <v>Loose</v>
      </c>
    </row>
    <row r="226" spans="1:29" x14ac:dyDescent="0.25">
      <c r="A226" s="1" t="s">
        <v>522</v>
      </c>
      <c r="B226" s="2" t="s">
        <v>29</v>
      </c>
      <c r="C226" s="2"/>
      <c r="D226" s="2"/>
      <c r="E226" s="2" t="s">
        <v>523</v>
      </c>
      <c r="F226" s="2">
        <v>1</v>
      </c>
      <c r="G226" s="2">
        <v>0.17</v>
      </c>
      <c r="H226" s="2" t="s">
        <v>76</v>
      </c>
      <c r="I226" s="2" t="s">
        <v>57</v>
      </c>
      <c r="J226" s="2" t="s">
        <v>33</v>
      </c>
      <c r="K226" s="2"/>
      <c r="L226" s="2"/>
      <c r="M226" s="2"/>
      <c r="N226" s="2"/>
      <c r="O226" s="2" t="s">
        <v>58</v>
      </c>
      <c r="P226" s="2"/>
      <c r="Q226" s="2"/>
      <c r="R226" s="2">
        <v>302</v>
      </c>
      <c r="S226" s="2">
        <v>51.34</v>
      </c>
      <c r="T226" s="13" t="str">
        <f t="shared" si="7"/>
        <v>BIBR40</v>
      </c>
      <c r="U226" s="2" t="s">
        <v>524</v>
      </c>
      <c r="V226" s="2"/>
      <c r="W226" s="2">
        <v>2.5499999999999998</v>
      </c>
      <c r="X226" s="2">
        <v>3.6</v>
      </c>
      <c r="Y226" s="2">
        <v>2.21</v>
      </c>
      <c r="Z226" s="2">
        <v>0</v>
      </c>
      <c r="AA226" s="2">
        <v>0</v>
      </c>
      <c r="AB226" s="2">
        <v>0.71</v>
      </c>
      <c r="AC226" s="3" t="str">
        <f t="shared" si="6"/>
        <v>Loose</v>
      </c>
    </row>
    <row r="227" spans="1:29" x14ac:dyDescent="0.25">
      <c r="A227" s="1" t="s">
        <v>525</v>
      </c>
      <c r="B227" s="2" t="s">
        <v>29</v>
      </c>
      <c r="C227" s="2"/>
      <c r="D227" s="2"/>
      <c r="E227" s="2" t="s">
        <v>530</v>
      </c>
      <c r="F227" s="2">
        <v>1</v>
      </c>
      <c r="G227" s="2">
        <v>0.56999999999999995</v>
      </c>
      <c r="H227" s="2" t="s">
        <v>76</v>
      </c>
      <c r="I227" s="2" t="s">
        <v>53</v>
      </c>
      <c r="J227" s="2" t="s">
        <v>33</v>
      </c>
      <c r="K227" s="2"/>
      <c r="L227" s="2" t="s">
        <v>450</v>
      </c>
      <c r="M227" s="2" t="s">
        <v>43</v>
      </c>
      <c r="N227" s="2" t="s">
        <v>421</v>
      </c>
      <c r="O227" s="2" t="s">
        <v>58</v>
      </c>
      <c r="P227" s="2"/>
      <c r="Q227" s="2">
        <v>6331267760</v>
      </c>
      <c r="R227" s="2">
        <v>2600</v>
      </c>
      <c r="S227" s="2">
        <v>1482</v>
      </c>
      <c r="T227" s="13" t="str">
        <f t="shared" si="7"/>
        <v>MTH8022</v>
      </c>
      <c r="U227" s="2" t="s">
        <v>526</v>
      </c>
      <c r="V227" s="2"/>
      <c r="W227" s="2">
        <v>9.1999999999999993</v>
      </c>
      <c r="X227" s="2">
        <v>4.3600000000000003</v>
      </c>
      <c r="Y227" s="2">
        <v>2.0499999999999998</v>
      </c>
      <c r="Z227" s="2">
        <v>46.9</v>
      </c>
      <c r="AA227" s="2">
        <v>61</v>
      </c>
      <c r="AB227" s="2">
        <v>2.11</v>
      </c>
      <c r="AC227" s="3" t="str">
        <f t="shared" si="6"/>
        <v>Loose</v>
      </c>
    </row>
    <row r="228" spans="1:29" x14ac:dyDescent="0.25">
      <c r="A228" s="1" t="s">
        <v>527</v>
      </c>
      <c r="B228" s="2" t="s">
        <v>37</v>
      </c>
      <c r="C228" s="2"/>
      <c r="D228" s="2"/>
      <c r="E228" s="2" t="s">
        <v>530</v>
      </c>
      <c r="F228" s="2">
        <v>1</v>
      </c>
      <c r="G228" s="2">
        <v>1.51</v>
      </c>
      <c r="H228" s="2" t="s">
        <v>73</v>
      </c>
      <c r="I228" s="2" t="s">
        <v>68</v>
      </c>
      <c r="J228" s="2" t="s">
        <v>33</v>
      </c>
      <c r="K228" s="2"/>
      <c r="L228" s="2" t="s">
        <v>450</v>
      </c>
      <c r="M228" s="2" t="s">
        <v>450</v>
      </c>
      <c r="N228" s="2" t="s">
        <v>421</v>
      </c>
      <c r="O228" s="2" t="s">
        <v>34</v>
      </c>
      <c r="P228" s="2"/>
      <c r="Q228" s="2">
        <v>6222448283</v>
      </c>
      <c r="R228" s="2">
        <v>5000</v>
      </c>
      <c r="S228" s="2">
        <v>7550</v>
      </c>
      <c r="T228" s="13" t="str">
        <f t="shared" si="7"/>
        <v>PLT3211</v>
      </c>
      <c r="U228" s="2" t="s">
        <v>528</v>
      </c>
      <c r="V228" s="2"/>
      <c r="W228" s="2">
        <v>11.71</v>
      </c>
      <c r="X228" s="2">
        <v>6.66</v>
      </c>
      <c r="Y228" s="2">
        <v>2.89</v>
      </c>
      <c r="Z228" s="2">
        <v>43.4</v>
      </c>
      <c r="AA228" s="2">
        <v>69</v>
      </c>
      <c r="AB228" s="2">
        <v>1.76</v>
      </c>
      <c r="AC228" s="3" t="str">
        <f t="shared" si="6"/>
        <v>Loose</v>
      </c>
    </row>
    <row r="229" spans="1:29" x14ac:dyDescent="0.25">
      <c r="A229" s="1" t="s">
        <v>529</v>
      </c>
      <c r="B229" s="2" t="s">
        <v>37</v>
      </c>
      <c r="C229" s="2"/>
      <c r="D229" s="2"/>
      <c r="E229" s="2" t="s">
        <v>530</v>
      </c>
      <c r="F229" s="2">
        <v>2</v>
      </c>
      <c r="G229" s="2">
        <v>0.78</v>
      </c>
      <c r="H229" s="2" t="s">
        <v>38</v>
      </c>
      <c r="I229" s="2" t="s">
        <v>50</v>
      </c>
      <c r="J229" s="2" t="s">
        <v>33</v>
      </c>
      <c r="K229" s="2"/>
      <c r="L229" s="2"/>
      <c r="M229" s="2"/>
      <c r="N229" s="2"/>
      <c r="O229" s="2" t="s">
        <v>514</v>
      </c>
      <c r="P229" s="2"/>
      <c r="Q229" s="2"/>
      <c r="R229" s="2">
        <v>1500</v>
      </c>
      <c r="S229" s="2">
        <v>1170</v>
      </c>
      <c r="T229" s="13" t="str">
        <f t="shared" si="7"/>
        <v>CADILK016N</v>
      </c>
      <c r="U229" s="2" t="s">
        <v>531</v>
      </c>
      <c r="V229" s="2"/>
      <c r="W229" s="2">
        <v>5.82</v>
      </c>
      <c r="X229" s="2">
        <v>3.47</v>
      </c>
      <c r="Y229" s="2">
        <v>2.8</v>
      </c>
      <c r="Z229" s="2">
        <v>0</v>
      </c>
      <c r="AA229" s="2">
        <v>0</v>
      </c>
      <c r="AB229" s="2">
        <v>1.68</v>
      </c>
      <c r="AC229" s="3" t="str">
        <f t="shared" si="6"/>
        <v>Pair</v>
      </c>
    </row>
    <row r="230" spans="1:29" x14ac:dyDescent="0.25">
      <c r="A230" s="1" t="s">
        <v>532</v>
      </c>
      <c r="B230" s="2" t="s">
        <v>29</v>
      </c>
      <c r="C230" s="2"/>
      <c r="D230" s="2"/>
      <c r="E230" s="2" t="s">
        <v>530</v>
      </c>
      <c r="F230" s="2">
        <v>1</v>
      </c>
      <c r="G230" s="2">
        <v>1.03</v>
      </c>
      <c r="H230" s="2" t="s">
        <v>38</v>
      </c>
      <c r="I230" s="2" t="s">
        <v>39</v>
      </c>
      <c r="J230" s="2" t="s">
        <v>397</v>
      </c>
      <c r="K230" s="2"/>
      <c r="L230" s="2" t="s">
        <v>450</v>
      </c>
      <c r="M230" s="2" t="s">
        <v>43</v>
      </c>
      <c r="N230" s="2" t="s">
        <v>421</v>
      </c>
      <c r="O230" s="2" t="s">
        <v>533</v>
      </c>
      <c r="P230" s="2"/>
      <c r="Q230" s="2">
        <v>3185133405</v>
      </c>
      <c r="R230" s="2">
        <v>5500</v>
      </c>
      <c r="S230" s="2">
        <v>5665</v>
      </c>
      <c r="T230" s="13" t="str">
        <f t="shared" si="7"/>
        <v>PLT191671</v>
      </c>
      <c r="U230" s="2" t="s">
        <v>534</v>
      </c>
      <c r="V230" s="2"/>
      <c r="W230" s="2">
        <v>9.4499999999999993</v>
      </c>
      <c r="X230" s="2">
        <v>7.25</v>
      </c>
      <c r="Y230" s="2">
        <v>2.44</v>
      </c>
      <c r="Z230" s="2">
        <v>33.6</v>
      </c>
      <c r="AA230" s="2">
        <v>68</v>
      </c>
      <c r="AB230" s="2">
        <v>1.3</v>
      </c>
      <c r="AC230" s="3" t="str">
        <f t="shared" si="6"/>
        <v>Loose</v>
      </c>
    </row>
    <row r="231" spans="1:29" x14ac:dyDescent="0.25">
      <c r="A231" s="1" t="s">
        <v>535</v>
      </c>
      <c r="B231" s="2" t="s">
        <v>29</v>
      </c>
      <c r="C231" s="2"/>
      <c r="D231" s="2"/>
      <c r="E231" s="2" t="s">
        <v>530</v>
      </c>
      <c r="F231" s="2">
        <v>1</v>
      </c>
      <c r="G231" s="2">
        <v>0.75</v>
      </c>
      <c r="H231" s="2" t="s">
        <v>43</v>
      </c>
      <c r="I231" s="2" t="s">
        <v>32</v>
      </c>
      <c r="J231" s="2" t="s">
        <v>397</v>
      </c>
      <c r="K231" s="2"/>
      <c r="L231" s="2" t="s">
        <v>450</v>
      </c>
      <c r="M231" s="2" t="s">
        <v>43</v>
      </c>
      <c r="N231" s="2" t="s">
        <v>421</v>
      </c>
      <c r="O231" s="2" t="s">
        <v>61</v>
      </c>
      <c r="P231" s="2"/>
      <c r="Q231" s="2">
        <v>1335267559</v>
      </c>
      <c r="R231" s="2">
        <v>3500</v>
      </c>
      <c r="S231" s="2">
        <v>2625</v>
      </c>
      <c r="T231" s="13" t="str">
        <f t="shared" si="7"/>
        <v>AOR02A</v>
      </c>
      <c r="U231" s="2" t="s">
        <v>536</v>
      </c>
      <c r="V231" s="2"/>
      <c r="W231" s="2">
        <v>5.49</v>
      </c>
      <c r="X231" s="2">
        <v>11.38</v>
      </c>
      <c r="Y231" s="2">
        <v>2.09</v>
      </c>
      <c r="Z231" s="2">
        <v>18.399999999999999</v>
      </c>
      <c r="AA231" s="2">
        <v>69</v>
      </c>
      <c r="AB231" s="2">
        <v>0.48</v>
      </c>
      <c r="AC231" s="3" t="str">
        <f t="shared" si="6"/>
        <v>Loose</v>
      </c>
    </row>
    <row r="232" spans="1:29" x14ac:dyDescent="0.25">
      <c r="A232" s="1" t="s">
        <v>537</v>
      </c>
      <c r="B232" s="2" t="s">
        <v>37</v>
      </c>
      <c r="C232" s="2"/>
      <c r="D232" s="2"/>
      <c r="E232" s="2" t="s">
        <v>530</v>
      </c>
      <c r="F232" s="2">
        <v>2</v>
      </c>
      <c r="G232" s="2">
        <v>0.45</v>
      </c>
      <c r="H232" s="2" t="s">
        <v>31</v>
      </c>
      <c r="I232" s="2" t="s">
        <v>50</v>
      </c>
      <c r="J232" s="2" t="s">
        <v>33</v>
      </c>
      <c r="K232" s="2"/>
      <c r="L232" s="2"/>
      <c r="M232" s="2"/>
      <c r="N232" s="2"/>
      <c r="O232" s="2" t="s">
        <v>34</v>
      </c>
      <c r="P232" s="2"/>
      <c r="Q232" s="2"/>
      <c r="R232" s="2">
        <v>1800</v>
      </c>
      <c r="S232" s="2">
        <v>810</v>
      </c>
      <c r="T232" s="13" t="str">
        <f t="shared" si="7"/>
        <v>CADILK025</v>
      </c>
      <c r="U232" s="2" t="s">
        <v>538</v>
      </c>
      <c r="V232" s="2"/>
      <c r="W232" s="2">
        <v>5.21</v>
      </c>
      <c r="X232" s="2">
        <v>3.57</v>
      </c>
      <c r="Y232" s="2">
        <v>1.89</v>
      </c>
      <c r="Z232" s="2">
        <v>0</v>
      </c>
      <c r="AA232" s="2">
        <v>0</v>
      </c>
      <c r="AB232" s="2">
        <v>1.46</v>
      </c>
      <c r="AC232" s="3" t="str">
        <f t="shared" si="6"/>
        <v>Pair</v>
      </c>
    </row>
    <row r="233" spans="1:29" x14ac:dyDescent="0.25">
      <c r="A233" s="1" t="s">
        <v>539</v>
      </c>
      <c r="B233" s="2" t="s">
        <v>29</v>
      </c>
      <c r="C233" s="2"/>
      <c r="D233" s="2"/>
      <c r="E233" s="2" t="s">
        <v>530</v>
      </c>
      <c r="F233" s="2">
        <v>1</v>
      </c>
      <c r="G233" s="2">
        <v>0.89</v>
      </c>
      <c r="H233" s="2" t="s">
        <v>49</v>
      </c>
      <c r="I233" s="2" t="s">
        <v>50</v>
      </c>
      <c r="J233" s="2" t="s">
        <v>33</v>
      </c>
      <c r="K233" s="2"/>
      <c r="L233" s="2" t="s">
        <v>450</v>
      </c>
      <c r="M233" s="2" t="s">
        <v>450</v>
      </c>
      <c r="N233" s="2" t="s">
        <v>421</v>
      </c>
      <c r="O233" s="2" t="s">
        <v>58</v>
      </c>
      <c r="P233" s="2"/>
      <c r="Q233" s="2">
        <v>7361655620</v>
      </c>
      <c r="R233" s="2">
        <v>3900</v>
      </c>
      <c r="S233" s="2">
        <v>3471</v>
      </c>
      <c r="T233" s="13" t="str">
        <f t="shared" si="7"/>
        <v>PLT314AAA</v>
      </c>
      <c r="U233" s="2" t="s">
        <v>540</v>
      </c>
      <c r="V233" s="2"/>
      <c r="W233" s="2">
        <v>5.79</v>
      </c>
      <c r="X233" s="2">
        <v>11.9</v>
      </c>
      <c r="Y233" s="2">
        <v>2.14</v>
      </c>
      <c r="Z233" s="2">
        <v>18</v>
      </c>
      <c r="AA233" s="2">
        <v>79</v>
      </c>
      <c r="AB233" s="2">
        <v>0.49</v>
      </c>
      <c r="AC233" s="3" t="str">
        <f t="shared" si="6"/>
        <v>Loose</v>
      </c>
    </row>
    <row r="234" spans="1:29" x14ac:dyDescent="0.25">
      <c r="A234" s="1" t="s">
        <v>541</v>
      </c>
      <c r="B234" s="2" t="s">
        <v>37</v>
      </c>
      <c r="C234" s="2"/>
      <c r="D234" s="2"/>
      <c r="E234" s="2" t="s">
        <v>530</v>
      </c>
      <c r="F234" s="2">
        <v>2</v>
      </c>
      <c r="G234" s="2">
        <v>0.42</v>
      </c>
      <c r="H234" s="2" t="s">
        <v>43</v>
      </c>
      <c r="I234" s="2" t="s">
        <v>57</v>
      </c>
      <c r="J234" s="2" t="s">
        <v>33</v>
      </c>
      <c r="K234" s="2"/>
      <c r="L234" s="2"/>
      <c r="M234" s="2"/>
      <c r="N234" s="2"/>
      <c r="O234" s="2" t="s">
        <v>34</v>
      </c>
      <c r="P234" s="2"/>
      <c r="Q234" s="2"/>
      <c r="R234" s="2">
        <v>2100</v>
      </c>
      <c r="S234" s="2">
        <v>882</v>
      </c>
      <c r="T234" s="13" t="str">
        <f t="shared" si="7"/>
        <v>CADILKS031</v>
      </c>
      <c r="U234" s="2" t="s">
        <v>542</v>
      </c>
      <c r="V234" s="2"/>
      <c r="W234" s="2">
        <v>5.86</v>
      </c>
      <c r="X234" s="2">
        <v>3.08</v>
      </c>
      <c r="Y234" s="2">
        <v>1.76</v>
      </c>
      <c r="Z234" s="2">
        <v>0</v>
      </c>
      <c r="AA234" s="2">
        <v>0</v>
      </c>
      <c r="AB234" s="2">
        <v>1.9</v>
      </c>
      <c r="AC234" s="3" t="str">
        <f t="shared" si="6"/>
        <v>Pair</v>
      </c>
    </row>
    <row r="235" spans="1:29" x14ac:dyDescent="0.25">
      <c r="A235" s="1" t="s">
        <v>543</v>
      </c>
      <c r="B235" s="2" t="s">
        <v>29</v>
      </c>
      <c r="C235" s="2"/>
      <c r="D235" s="2"/>
      <c r="E235" s="2" t="s">
        <v>530</v>
      </c>
      <c r="F235" s="2">
        <v>1</v>
      </c>
      <c r="G235" s="2">
        <v>1.46</v>
      </c>
      <c r="H235" s="2" t="s">
        <v>76</v>
      </c>
      <c r="I235" s="2" t="s">
        <v>53</v>
      </c>
      <c r="J235" s="2" t="s">
        <v>33</v>
      </c>
      <c r="K235" s="2"/>
      <c r="L235" s="2" t="s">
        <v>450</v>
      </c>
      <c r="M235" s="2" t="s">
        <v>43</v>
      </c>
      <c r="N235" s="2" t="s">
        <v>421</v>
      </c>
      <c r="O235" s="2" t="s">
        <v>70</v>
      </c>
      <c r="P235" s="2"/>
      <c r="Q235" s="2">
        <v>1339248936</v>
      </c>
      <c r="R235" s="2">
        <v>5500</v>
      </c>
      <c r="S235" s="2">
        <v>8030</v>
      </c>
      <c r="T235" s="13" t="str">
        <f t="shared" si="7"/>
        <v>TCL001ABAA</v>
      </c>
      <c r="U235" s="2" t="s">
        <v>544</v>
      </c>
      <c r="V235" s="2"/>
      <c r="W235" s="2">
        <v>6.52</v>
      </c>
      <c r="X235" s="2">
        <v>11.95</v>
      </c>
      <c r="Y235" s="2">
        <v>2.84</v>
      </c>
      <c r="Z235" s="2">
        <v>23.8</v>
      </c>
      <c r="AA235" s="2">
        <v>73</v>
      </c>
      <c r="AB235" s="2">
        <v>0.55000000000000004</v>
      </c>
      <c r="AC235" s="3" t="str">
        <f t="shared" si="6"/>
        <v>Loose</v>
      </c>
    </row>
    <row r="236" spans="1:29" x14ac:dyDescent="0.25">
      <c r="A236" s="1" t="s">
        <v>545</v>
      </c>
      <c r="B236" s="2" t="s">
        <v>29</v>
      </c>
      <c r="C236" s="2"/>
      <c r="D236" s="2"/>
      <c r="E236" s="2" t="s">
        <v>530</v>
      </c>
      <c r="F236" s="2">
        <v>1</v>
      </c>
      <c r="G236" s="2">
        <v>0.92</v>
      </c>
      <c r="H236" s="2" t="s">
        <v>49</v>
      </c>
      <c r="I236" s="2" t="s">
        <v>39</v>
      </c>
      <c r="J236" s="2" t="s">
        <v>33</v>
      </c>
      <c r="K236" s="2"/>
      <c r="L236" s="2" t="s">
        <v>450</v>
      </c>
      <c r="M236" s="2" t="s">
        <v>450</v>
      </c>
      <c r="N236" s="2" t="s">
        <v>421</v>
      </c>
      <c r="O236" s="2" t="s">
        <v>61</v>
      </c>
      <c r="P236" s="2"/>
      <c r="Q236" s="2">
        <v>7282534353</v>
      </c>
      <c r="R236" s="2">
        <v>3500</v>
      </c>
      <c r="S236" s="2">
        <v>3220</v>
      </c>
      <c r="T236" s="13" t="str">
        <f t="shared" si="7"/>
        <v>AMTL02</v>
      </c>
      <c r="U236" s="2" t="s">
        <v>546</v>
      </c>
      <c r="V236" s="2"/>
      <c r="W236" s="2">
        <v>8.99</v>
      </c>
      <c r="X236" s="2">
        <v>6.25</v>
      </c>
      <c r="Y236" s="2">
        <v>2.42</v>
      </c>
      <c r="Z236" s="2">
        <v>38.700000000000003</v>
      </c>
      <c r="AA236" s="2">
        <v>72</v>
      </c>
      <c r="AB236" s="2">
        <v>1.44</v>
      </c>
      <c r="AC236" s="3" t="str">
        <f t="shared" si="6"/>
        <v>Loose</v>
      </c>
    </row>
    <row r="237" spans="1:29" x14ac:dyDescent="0.25">
      <c r="A237" s="1" t="s">
        <v>547</v>
      </c>
      <c r="B237" s="2" t="s">
        <v>29</v>
      </c>
      <c r="C237" s="2"/>
      <c r="D237" s="2"/>
      <c r="E237" s="2" t="s">
        <v>530</v>
      </c>
      <c r="F237" s="2">
        <v>2</v>
      </c>
      <c r="G237" s="2">
        <v>0.08</v>
      </c>
      <c r="H237" s="2" t="s">
        <v>137</v>
      </c>
      <c r="I237" s="2" t="s">
        <v>53</v>
      </c>
      <c r="J237" s="2" t="s">
        <v>33</v>
      </c>
      <c r="K237" s="2"/>
      <c r="L237" s="2"/>
      <c r="M237" s="2"/>
      <c r="N237" s="2"/>
      <c r="O237" s="2" t="s">
        <v>34</v>
      </c>
      <c r="P237" s="2"/>
      <c r="Q237" s="2"/>
      <c r="R237" s="2">
        <v>1800</v>
      </c>
      <c r="S237" s="2">
        <v>144</v>
      </c>
      <c r="T237" s="13" t="str">
        <f t="shared" si="7"/>
        <v>CADILK034</v>
      </c>
      <c r="U237" s="2" t="s">
        <v>548</v>
      </c>
      <c r="V237" s="2"/>
      <c r="W237" s="2">
        <v>1.99</v>
      </c>
      <c r="X237" s="2">
        <v>3.38</v>
      </c>
      <c r="Y237" s="2">
        <v>1.39</v>
      </c>
      <c r="Z237" s="2">
        <v>0</v>
      </c>
      <c r="AA237" s="2">
        <v>0</v>
      </c>
      <c r="AB237" s="2">
        <v>0.59</v>
      </c>
      <c r="AC237" s="3" t="str">
        <f t="shared" si="6"/>
        <v>Pair</v>
      </c>
    </row>
    <row r="238" spans="1:29" x14ac:dyDescent="0.25">
      <c r="A238" s="1" t="s">
        <v>549</v>
      </c>
      <c r="B238" s="2" t="s">
        <v>29</v>
      </c>
      <c r="C238" s="2"/>
      <c r="D238" s="2"/>
      <c r="E238" s="2" t="s">
        <v>530</v>
      </c>
      <c r="F238" s="2">
        <v>1</v>
      </c>
      <c r="G238" s="2">
        <v>0.2</v>
      </c>
      <c r="H238" s="2" t="s">
        <v>76</v>
      </c>
      <c r="I238" s="2" t="s">
        <v>32</v>
      </c>
      <c r="J238" s="2" t="s">
        <v>33</v>
      </c>
      <c r="K238" s="2"/>
      <c r="L238" s="2"/>
      <c r="M238" s="2"/>
      <c r="N238" s="2"/>
      <c r="O238" s="2" t="s">
        <v>34</v>
      </c>
      <c r="P238" s="2"/>
      <c r="Q238" s="2"/>
      <c r="R238" s="2">
        <v>1078</v>
      </c>
      <c r="S238" s="2">
        <v>215.6</v>
      </c>
      <c r="T238" s="13" t="str">
        <f t="shared" si="7"/>
        <v>SHBT029</v>
      </c>
      <c r="U238" s="2" t="s">
        <v>550</v>
      </c>
      <c r="V238" s="2"/>
      <c r="W238" s="2">
        <v>6.07</v>
      </c>
      <c r="X238" s="2">
        <v>3.39</v>
      </c>
      <c r="Y238" s="2">
        <v>1.6</v>
      </c>
      <c r="Z238" s="2">
        <v>0</v>
      </c>
      <c r="AA238" s="2">
        <v>0</v>
      </c>
      <c r="AB238" s="2">
        <v>1.79</v>
      </c>
      <c r="AC238" s="3" t="str">
        <f t="shared" si="6"/>
        <v>Loose</v>
      </c>
    </row>
    <row r="239" spans="1:29" x14ac:dyDescent="0.25">
      <c r="A239" s="1" t="s">
        <v>551</v>
      </c>
      <c r="B239" s="2" t="s">
        <v>29</v>
      </c>
      <c r="C239" s="2"/>
      <c r="D239" s="2"/>
      <c r="E239" s="2" t="s">
        <v>530</v>
      </c>
      <c r="F239" s="2">
        <v>1</v>
      </c>
      <c r="G239" s="2">
        <v>1.47</v>
      </c>
      <c r="H239" s="2" t="s">
        <v>108</v>
      </c>
      <c r="I239" s="2" t="s">
        <v>57</v>
      </c>
      <c r="J239" s="2" t="s">
        <v>69</v>
      </c>
      <c r="K239" s="2"/>
      <c r="L239" s="2" t="s">
        <v>450</v>
      </c>
      <c r="M239" s="2" t="s">
        <v>450</v>
      </c>
      <c r="N239" s="2" t="s">
        <v>421</v>
      </c>
      <c r="O239" s="2" t="s">
        <v>58</v>
      </c>
      <c r="P239" s="2"/>
      <c r="Q239" s="2">
        <v>2337268762</v>
      </c>
      <c r="R239" s="2">
        <v>4000</v>
      </c>
      <c r="S239" s="2">
        <v>5880</v>
      </c>
      <c r="T239" s="13" t="str">
        <f t="shared" si="7"/>
        <v>PLT605AAA</v>
      </c>
      <c r="U239" s="2" t="s">
        <v>552</v>
      </c>
      <c r="V239" s="2"/>
      <c r="W239" s="2">
        <v>7.04</v>
      </c>
      <c r="X239" s="2">
        <v>13.27</v>
      </c>
      <c r="Y239" s="2">
        <v>2.37</v>
      </c>
      <c r="Z239" s="2">
        <v>17.8</v>
      </c>
      <c r="AA239" s="2">
        <v>83</v>
      </c>
      <c r="AB239" s="2">
        <v>0.53</v>
      </c>
      <c r="AC239" s="3" t="str">
        <f t="shared" si="6"/>
        <v>Loose</v>
      </c>
    </row>
    <row r="240" spans="1:29" x14ac:dyDescent="0.25">
      <c r="A240" s="1" t="s">
        <v>553</v>
      </c>
      <c r="B240" s="2" t="s">
        <v>37</v>
      </c>
      <c r="C240" s="2"/>
      <c r="D240" s="2"/>
      <c r="E240" s="2" t="s">
        <v>530</v>
      </c>
      <c r="F240" s="2">
        <v>2</v>
      </c>
      <c r="G240" s="2">
        <v>0.45</v>
      </c>
      <c r="H240" s="2" t="s">
        <v>76</v>
      </c>
      <c r="I240" s="2" t="s">
        <v>53</v>
      </c>
      <c r="J240" s="2" t="s">
        <v>33</v>
      </c>
      <c r="K240" s="2"/>
      <c r="L240" s="2"/>
      <c r="M240" s="2"/>
      <c r="N240" s="2"/>
      <c r="O240" s="2" t="s">
        <v>70</v>
      </c>
      <c r="P240" s="2"/>
      <c r="Q240" s="2"/>
      <c r="R240" s="2">
        <v>1400</v>
      </c>
      <c r="S240" s="2">
        <v>630</v>
      </c>
      <c r="T240" s="13" t="str">
        <f t="shared" si="7"/>
        <v>CADILK037</v>
      </c>
      <c r="U240" s="2" t="s">
        <v>554</v>
      </c>
      <c r="V240" s="2"/>
      <c r="W240" s="2">
        <v>5.9</v>
      </c>
      <c r="X240" s="2">
        <v>4.1100000000000003</v>
      </c>
      <c r="Y240" s="2">
        <v>1.65</v>
      </c>
      <c r="Z240" s="2">
        <v>0</v>
      </c>
      <c r="AA240" s="2">
        <v>0</v>
      </c>
      <c r="AB240" s="2">
        <v>1.44</v>
      </c>
      <c r="AC240" s="3" t="str">
        <f t="shared" si="6"/>
        <v>Pair</v>
      </c>
    </row>
    <row r="241" spans="1:29" x14ac:dyDescent="0.25">
      <c r="A241" s="1" t="s">
        <v>555</v>
      </c>
      <c r="B241" s="2" t="s">
        <v>29</v>
      </c>
      <c r="C241" s="2"/>
      <c r="D241" s="2"/>
      <c r="E241" s="2" t="s">
        <v>530</v>
      </c>
      <c r="F241" s="2">
        <v>1</v>
      </c>
      <c r="G241" s="2">
        <v>0.45</v>
      </c>
      <c r="H241" s="2" t="s">
        <v>67</v>
      </c>
      <c r="I241" s="2" t="s">
        <v>32</v>
      </c>
      <c r="J241" s="2" t="s">
        <v>69</v>
      </c>
      <c r="K241" s="2"/>
      <c r="L241" s="2"/>
      <c r="M241" s="2"/>
      <c r="N241" s="2"/>
      <c r="O241" s="2" t="s">
        <v>70</v>
      </c>
      <c r="P241" s="2"/>
      <c r="Q241" s="2"/>
      <c r="R241" s="2">
        <v>2635</v>
      </c>
      <c r="S241" s="2">
        <v>1185.75</v>
      </c>
      <c r="T241" s="13" t="str">
        <f t="shared" si="7"/>
        <v>PLT202409AA</v>
      </c>
      <c r="U241" s="2" t="s">
        <v>556</v>
      </c>
      <c r="V241" s="2"/>
      <c r="W241" s="2">
        <v>8.7200000000000006</v>
      </c>
      <c r="X241" s="2">
        <v>4.46</v>
      </c>
      <c r="Y241" s="2">
        <v>1.99</v>
      </c>
      <c r="Z241" s="2">
        <v>0</v>
      </c>
      <c r="AA241" s="2">
        <v>0</v>
      </c>
      <c r="AB241" s="2">
        <v>1.96</v>
      </c>
      <c r="AC241" s="3" t="str">
        <f t="shared" si="6"/>
        <v>Loose</v>
      </c>
    </row>
    <row r="242" spans="1:29" x14ac:dyDescent="0.25">
      <c r="A242" s="1" t="s">
        <v>557</v>
      </c>
      <c r="B242" s="2" t="s">
        <v>29</v>
      </c>
      <c r="C242" s="2"/>
      <c r="D242" s="2"/>
      <c r="E242" s="2" t="s">
        <v>530</v>
      </c>
      <c r="F242" s="2">
        <v>2</v>
      </c>
      <c r="G242" s="2">
        <v>0.53</v>
      </c>
      <c r="H242" s="2" t="s">
        <v>137</v>
      </c>
      <c r="I242" s="2" t="s">
        <v>53</v>
      </c>
      <c r="J242" s="2" t="s">
        <v>33</v>
      </c>
      <c r="K242" s="2"/>
      <c r="L242" s="2"/>
      <c r="M242" s="2"/>
      <c r="N242" s="2"/>
      <c r="O242" s="2" t="s">
        <v>70</v>
      </c>
      <c r="P242" s="2"/>
      <c r="Q242" s="2"/>
      <c r="R242" s="2">
        <v>2600</v>
      </c>
      <c r="S242" s="2">
        <v>1378</v>
      </c>
      <c r="T242" s="13" t="str">
        <f t="shared" si="7"/>
        <v>CADILKS097</v>
      </c>
      <c r="U242" s="2" t="s">
        <v>558</v>
      </c>
      <c r="V242" s="2"/>
      <c r="W242" s="2">
        <v>5.72</v>
      </c>
      <c r="X242" s="2">
        <v>3.82</v>
      </c>
      <c r="Y242" s="2">
        <v>2.08</v>
      </c>
      <c r="Z242" s="2">
        <v>0</v>
      </c>
      <c r="AA242" s="2">
        <v>0</v>
      </c>
      <c r="AB242" s="2">
        <v>1.5</v>
      </c>
      <c r="AC242" s="3" t="str">
        <f t="shared" si="6"/>
        <v>Pair</v>
      </c>
    </row>
    <row r="243" spans="1:29" x14ac:dyDescent="0.25">
      <c r="A243" s="1" t="s">
        <v>559</v>
      </c>
      <c r="B243" s="2" t="s">
        <v>29</v>
      </c>
      <c r="C243" s="2"/>
      <c r="D243" s="2"/>
      <c r="E243" s="2" t="s">
        <v>530</v>
      </c>
      <c r="F243" s="2">
        <v>2</v>
      </c>
      <c r="G243" s="2">
        <v>0.34</v>
      </c>
      <c r="H243" s="2" t="s">
        <v>43</v>
      </c>
      <c r="I243" s="2" t="s">
        <v>53</v>
      </c>
      <c r="J243" s="2" t="s">
        <v>33</v>
      </c>
      <c r="K243" s="2"/>
      <c r="L243" s="2"/>
      <c r="M243" s="2"/>
      <c r="N243" s="2"/>
      <c r="O243" s="2" t="s">
        <v>34</v>
      </c>
      <c r="P243" s="2"/>
      <c r="Q243" s="2"/>
      <c r="R243" s="2">
        <v>1600</v>
      </c>
      <c r="S243" s="2">
        <v>544</v>
      </c>
      <c r="T243" s="13" t="str">
        <f t="shared" si="7"/>
        <v>CADILKS109</v>
      </c>
      <c r="U243" s="2" t="s">
        <v>560</v>
      </c>
      <c r="V243" s="2"/>
      <c r="W243" s="2">
        <v>5.17</v>
      </c>
      <c r="X243" s="2">
        <v>3.71</v>
      </c>
      <c r="Y243" s="2">
        <v>1.65</v>
      </c>
      <c r="Z243" s="2">
        <v>0</v>
      </c>
      <c r="AA243" s="2">
        <v>0</v>
      </c>
      <c r="AB243" s="2">
        <v>1.39</v>
      </c>
      <c r="AC243" s="3" t="str">
        <f t="shared" si="6"/>
        <v>Pair</v>
      </c>
    </row>
    <row r="244" spans="1:29" x14ac:dyDescent="0.25">
      <c r="A244" s="1" t="s">
        <v>561</v>
      </c>
      <c r="B244" s="2" t="s">
        <v>37</v>
      </c>
      <c r="C244" s="2"/>
      <c r="D244" s="2"/>
      <c r="E244" s="2" t="s">
        <v>530</v>
      </c>
      <c r="F244" s="2">
        <v>2</v>
      </c>
      <c r="G244" s="2">
        <v>0.42</v>
      </c>
      <c r="H244" s="2" t="s">
        <v>137</v>
      </c>
      <c r="I244" s="2" t="s">
        <v>32</v>
      </c>
      <c r="J244" s="2" t="s">
        <v>33</v>
      </c>
      <c r="K244" s="2"/>
      <c r="L244" s="2"/>
      <c r="M244" s="2"/>
      <c r="N244" s="2"/>
      <c r="O244" s="2" t="s">
        <v>34</v>
      </c>
      <c r="P244" s="2"/>
      <c r="Q244" s="2"/>
      <c r="R244" s="2">
        <v>1800</v>
      </c>
      <c r="S244" s="2">
        <v>756</v>
      </c>
      <c r="T244" s="13" t="str">
        <f t="shared" si="7"/>
        <v>CADILK045</v>
      </c>
      <c r="U244" s="2" t="s">
        <v>562</v>
      </c>
      <c r="V244" s="2"/>
      <c r="W244" s="2">
        <v>5.5</v>
      </c>
      <c r="X244" s="2">
        <v>3.79</v>
      </c>
      <c r="Y244" s="2">
        <v>1.75</v>
      </c>
      <c r="Z244" s="2">
        <v>0</v>
      </c>
      <c r="AA244" s="2">
        <v>0</v>
      </c>
      <c r="AB244" s="2">
        <v>1.45</v>
      </c>
      <c r="AC244" s="3" t="str">
        <f t="shared" si="6"/>
        <v>Pair</v>
      </c>
    </row>
    <row r="245" spans="1:29" x14ac:dyDescent="0.25">
      <c r="A245" s="1" t="s">
        <v>563</v>
      </c>
      <c r="B245" s="2" t="s">
        <v>29</v>
      </c>
      <c r="C245" s="2"/>
      <c r="D245" s="2"/>
      <c r="E245" s="2" t="s">
        <v>530</v>
      </c>
      <c r="F245" s="2">
        <v>1</v>
      </c>
      <c r="G245" s="2">
        <v>1.35</v>
      </c>
      <c r="H245" s="2" t="s">
        <v>76</v>
      </c>
      <c r="I245" s="2" t="s">
        <v>53</v>
      </c>
      <c r="J245" s="2" t="s">
        <v>33</v>
      </c>
      <c r="K245" s="2"/>
      <c r="L245" s="2" t="s">
        <v>450</v>
      </c>
      <c r="M245" s="2" t="s">
        <v>450</v>
      </c>
      <c r="N245" s="2" t="s">
        <v>421</v>
      </c>
      <c r="O245" s="2" t="s">
        <v>70</v>
      </c>
      <c r="P245" s="2"/>
      <c r="Q245" s="2">
        <v>2266966528</v>
      </c>
      <c r="R245" s="2">
        <v>3500</v>
      </c>
      <c r="S245" s="2">
        <v>4725</v>
      </c>
      <c r="T245" s="13" t="str">
        <f t="shared" si="7"/>
        <v>PLT0321</v>
      </c>
      <c r="U245" s="2" t="s">
        <v>564</v>
      </c>
      <c r="V245" s="2"/>
      <c r="W245" s="2">
        <v>11.15</v>
      </c>
      <c r="X245" s="2">
        <v>6.49</v>
      </c>
      <c r="Y245" s="2">
        <v>2.78</v>
      </c>
      <c r="Z245" s="2">
        <v>42.8</v>
      </c>
      <c r="AA245" s="2">
        <v>72</v>
      </c>
      <c r="AB245" s="2">
        <v>1.72</v>
      </c>
      <c r="AC245" s="3" t="str">
        <f t="shared" si="6"/>
        <v>Loose</v>
      </c>
    </row>
    <row r="246" spans="1:29" x14ac:dyDescent="0.25">
      <c r="A246" s="1" t="s">
        <v>565</v>
      </c>
      <c r="B246" s="2" t="s">
        <v>37</v>
      </c>
      <c r="C246" s="2"/>
      <c r="D246" s="2"/>
      <c r="E246" s="2" t="s">
        <v>530</v>
      </c>
      <c r="F246" s="2">
        <v>1</v>
      </c>
      <c r="G246" s="2">
        <v>0.37</v>
      </c>
      <c r="H246" s="2" t="s">
        <v>49</v>
      </c>
      <c r="I246" s="2" t="s">
        <v>105</v>
      </c>
      <c r="J246" s="2" t="s">
        <v>69</v>
      </c>
      <c r="K246" s="2"/>
      <c r="L246" s="2"/>
      <c r="M246" s="2"/>
      <c r="N246" s="2"/>
      <c r="O246" s="2" t="s">
        <v>77</v>
      </c>
      <c r="P246" s="2"/>
      <c r="Q246" s="2"/>
      <c r="R246" s="2">
        <v>1400</v>
      </c>
      <c r="S246" s="2">
        <v>518</v>
      </c>
      <c r="T246" s="13" t="str">
        <f t="shared" si="7"/>
        <v>ADKA019A</v>
      </c>
      <c r="U246" s="2" t="s">
        <v>566</v>
      </c>
      <c r="V246" s="2"/>
      <c r="W246" s="2">
        <v>7.77</v>
      </c>
      <c r="X246" s="2">
        <v>4.79</v>
      </c>
      <c r="Y246" s="2">
        <v>1.91</v>
      </c>
      <c r="Z246" s="2">
        <v>0</v>
      </c>
      <c r="AA246" s="2">
        <v>0</v>
      </c>
      <c r="AB246" s="2">
        <v>1.62</v>
      </c>
      <c r="AC246" s="3" t="str">
        <f t="shared" si="6"/>
        <v>Loose</v>
      </c>
    </row>
    <row r="247" spans="1:29" x14ac:dyDescent="0.25">
      <c r="A247" s="1" t="s">
        <v>567</v>
      </c>
      <c r="B247" s="2" t="s">
        <v>29</v>
      </c>
      <c r="C247" s="2"/>
      <c r="D247" s="2"/>
      <c r="E247" s="2" t="s">
        <v>530</v>
      </c>
      <c r="F247" s="2">
        <v>1</v>
      </c>
      <c r="G247" s="2">
        <v>0.99</v>
      </c>
      <c r="H247" s="2" t="s">
        <v>73</v>
      </c>
      <c r="I247" s="2" t="s">
        <v>53</v>
      </c>
      <c r="J247" s="2" t="s">
        <v>33</v>
      </c>
      <c r="K247" s="2"/>
      <c r="L247" s="2" t="s">
        <v>450</v>
      </c>
      <c r="M247" s="2" t="s">
        <v>450</v>
      </c>
      <c r="N247" s="2" t="s">
        <v>421</v>
      </c>
      <c r="O247" s="2" t="s">
        <v>46</v>
      </c>
      <c r="P247" s="2"/>
      <c r="Q247" s="2">
        <v>2337267592</v>
      </c>
      <c r="R247" s="2">
        <v>3300</v>
      </c>
      <c r="S247" s="2">
        <v>3267</v>
      </c>
      <c r="T247" s="13" t="str">
        <f t="shared" si="7"/>
        <v>PLT07231AAA</v>
      </c>
      <c r="U247" s="2" t="s">
        <v>568</v>
      </c>
      <c r="V247" s="2"/>
      <c r="W247" s="2">
        <v>5.05</v>
      </c>
      <c r="X247" s="2">
        <v>9.42</v>
      </c>
      <c r="Y247" s="2">
        <v>3.19</v>
      </c>
      <c r="Z247" s="2">
        <v>33.9</v>
      </c>
      <c r="AA247" s="2">
        <v>78</v>
      </c>
      <c r="AB247" s="2">
        <v>0.54</v>
      </c>
      <c r="AC247" s="3" t="str">
        <f t="shared" si="6"/>
        <v>Loose</v>
      </c>
    </row>
    <row r="248" spans="1:29" x14ac:dyDescent="0.25">
      <c r="A248" s="1" t="s">
        <v>569</v>
      </c>
      <c r="B248" s="2" t="s">
        <v>37</v>
      </c>
      <c r="C248" s="2"/>
      <c r="D248" s="2"/>
      <c r="E248" s="2" t="s">
        <v>530</v>
      </c>
      <c r="F248" s="2">
        <v>2</v>
      </c>
      <c r="G248" s="2">
        <v>0.49</v>
      </c>
      <c r="H248" s="2" t="s">
        <v>43</v>
      </c>
      <c r="I248" s="2" t="s">
        <v>32</v>
      </c>
      <c r="J248" s="2" t="s">
        <v>33</v>
      </c>
      <c r="K248" s="2"/>
      <c r="L248" s="2"/>
      <c r="M248" s="2"/>
      <c r="N248" s="2"/>
      <c r="O248" s="2"/>
      <c r="P248" s="2"/>
      <c r="Q248" s="2"/>
      <c r="R248" s="2">
        <v>2700</v>
      </c>
      <c r="S248" s="2">
        <v>1323</v>
      </c>
      <c r="T248" s="13" t="str">
        <f t="shared" si="7"/>
        <v>CADILKS158</v>
      </c>
      <c r="U248" s="2" t="s">
        <v>570</v>
      </c>
      <c r="V248" s="2"/>
      <c r="W248" s="2">
        <v>7.9</v>
      </c>
      <c r="X248" s="2">
        <v>3.34</v>
      </c>
      <c r="Y248" s="2">
        <v>1.57</v>
      </c>
      <c r="Z248" s="2">
        <v>0</v>
      </c>
      <c r="AA248" s="2">
        <v>0</v>
      </c>
      <c r="AB248" s="2">
        <v>2.37</v>
      </c>
      <c r="AC248" s="3" t="str">
        <f t="shared" si="6"/>
        <v>Pair</v>
      </c>
    </row>
    <row r="249" spans="1:29" x14ac:dyDescent="0.25">
      <c r="A249" s="1" t="s">
        <v>571</v>
      </c>
      <c r="B249" s="2" t="s">
        <v>29</v>
      </c>
      <c r="C249" s="2"/>
      <c r="D249" s="2"/>
      <c r="E249" s="2" t="s">
        <v>530</v>
      </c>
      <c r="F249" s="2">
        <v>2</v>
      </c>
      <c r="G249" s="2">
        <v>0.08</v>
      </c>
      <c r="H249" s="2" t="s">
        <v>38</v>
      </c>
      <c r="I249" s="2" t="s">
        <v>32</v>
      </c>
      <c r="J249" s="2" t="s">
        <v>33</v>
      </c>
      <c r="K249" s="2"/>
      <c r="L249" s="2"/>
      <c r="M249" s="2"/>
      <c r="N249" s="2"/>
      <c r="O249" s="2"/>
      <c r="P249" s="2"/>
      <c r="Q249" s="2"/>
      <c r="R249" s="2">
        <v>1000</v>
      </c>
      <c r="S249" s="2">
        <v>80</v>
      </c>
      <c r="T249" s="13" t="str">
        <f t="shared" si="7"/>
        <v>CADILKS182</v>
      </c>
      <c r="U249" s="2" t="s">
        <v>572</v>
      </c>
      <c r="V249" s="2"/>
      <c r="W249" s="2">
        <v>3.55</v>
      </c>
      <c r="X249" s="2">
        <v>1.75</v>
      </c>
      <c r="Y249" s="2">
        <v>1.08</v>
      </c>
      <c r="Z249" s="2">
        <v>0</v>
      </c>
      <c r="AA249" s="2">
        <v>0</v>
      </c>
      <c r="AB249" s="2">
        <v>2.0299999999999998</v>
      </c>
      <c r="AC249" s="3" t="str">
        <f t="shared" si="6"/>
        <v>Pair</v>
      </c>
    </row>
    <row r="250" spans="1:29" x14ac:dyDescent="0.25">
      <c r="A250" s="1" t="s">
        <v>573</v>
      </c>
      <c r="B250" s="2" t="s">
        <v>29</v>
      </c>
      <c r="C250" s="2"/>
      <c r="D250" s="2"/>
      <c r="E250" s="2" t="s">
        <v>530</v>
      </c>
      <c r="F250" s="2">
        <v>1</v>
      </c>
      <c r="G250" s="2">
        <v>0.12</v>
      </c>
      <c r="H250" s="2" t="s">
        <v>137</v>
      </c>
      <c r="I250" s="2" t="s">
        <v>32</v>
      </c>
      <c r="J250" s="2" t="s">
        <v>33</v>
      </c>
      <c r="K250" s="2"/>
      <c r="L250" s="2"/>
      <c r="M250" s="2"/>
      <c r="N250" s="2"/>
      <c r="O250" s="2" t="s">
        <v>34</v>
      </c>
      <c r="P250" s="2"/>
      <c r="Q250" s="2"/>
      <c r="R250" s="2">
        <v>308</v>
      </c>
      <c r="S250" s="2">
        <v>36.96</v>
      </c>
      <c r="T250" s="13" t="str">
        <f t="shared" si="7"/>
        <v>SHNY003B</v>
      </c>
      <c r="U250" s="2" t="s">
        <v>574</v>
      </c>
      <c r="V250" s="2"/>
      <c r="W250" s="2">
        <v>5.91</v>
      </c>
      <c r="X250" s="2">
        <v>3.03</v>
      </c>
      <c r="Y250" s="2">
        <v>1.05</v>
      </c>
      <c r="Z250" s="2">
        <v>0</v>
      </c>
      <c r="AA250" s="2">
        <v>0</v>
      </c>
      <c r="AB250" s="2">
        <v>1.95</v>
      </c>
      <c r="AC250" s="3" t="str">
        <f t="shared" si="6"/>
        <v>Loose</v>
      </c>
    </row>
    <row r="251" spans="1:29" x14ac:dyDescent="0.25">
      <c r="A251" s="1" t="s">
        <v>575</v>
      </c>
      <c r="B251" s="2" t="s">
        <v>29</v>
      </c>
      <c r="C251" s="2"/>
      <c r="D251" s="2"/>
      <c r="E251" s="2" t="s">
        <v>530</v>
      </c>
      <c r="F251" s="2">
        <v>2</v>
      </c>
      <c r="G251" s="2">
        <v>0.16</v>
      </c>
      <c r="H251" s="2" t="s">
        <v>396</v>
      </c>
      <c r="I251" s="2" t="s">
        <v>39</v>
      </c>
      <c r="J251" s="2" t="s">
        <v>33</v>
      </c>
      <c r="K251" s="2"/>
      <c r="L251" s="2"/>
      <c r="M251" s="2"/>
      <c r="N251" s="2"/>
      <c r="O251" s="2" t="s">
        <v>61</v>
      </c>
      <c r="P251" s="2"/>
      <c r="Q251" s="2"/>
      <c r="R251" s="2">
        <v>2100</v>
      </c>
      <c r="S251" s="2">
        <v>336</v>
      </c>
      <c r="T251" s="13" t="str">
        <f t="shared" si="7"/>
        <v>CADILKS225</v>
      </c>
      <c r="U251" s="2" t="s">
        <v>576</v>
      </c>
      <c r="V251" s="2"/>
      <c r="W251" s="2">
        <v>4.7699999999999996</v>
      </c>
      <c r="X251" s="2">
        <v>2.63</v>
      </c>
      <c r="Y251" s="2">
        <v>1.08</v>
      </c>
      <c r="Z251" s="2">
        <v>0</v>
      </c>
      <c r="AA251" s="2">
        <v>0</v>
      </c>
      <c r="AB251" s="2">
        <v>1.81</v>
      </c>
      <c r="AC251" s="3" t="str">
        <f t="shared" si="6"/>
        <v>Pair</v>
      </c>
    </row>
    <row r="252" spans="1:29" x14ac:dyDescent="0.25">
      <c r="A252" s="1" t="s">
        <v>577</v>
      </c>
      <c r="B252" s="2" t="s">
        <v>29</v>
      </c>
      <c r="C252" s="2"/>
      <c r="D252" s="2"/>
      <c r="E252" s="2" t="s">
        <v>530</v>
      </c>
      <c r="F252" s="2">
        <v>2</v>
      </c>
      <c r="G252" s="2">
        <v>0.1</v>
      </c>
      <c r="H252" s="2" t="s">
        <v>43</v>
      </c>
      <c r="I252" s="2" t="s">
        <v>53</v>
      </c>
      <c r="J252" s="2" t="s">
        <v>33</v>
      </c>
      <c r="K252" s="2"/>
      <c r="L252" s="2"/>
      <c r="M252" s="2"/>
      <c r="N252" s="2"/>
      <c r="O252" s="2"/>
      <c r="P252" s="2"/>
      <c r="Q252" s="2"/>
      <c r="R252" s="2">
        <v>1400</v>
      </c>
      <c r="S252" s="2">
        <v>140</v>
      </c>
      <c r="T252" s="13" t="str">
        <f t="shared" si="7"/>
        <v>CADILKS228</v>
      </c>
      <c r="U252" s="2" t="s">
        <v>578</v>
      </c>
      <c r="V252" s="2"/>
      <c r="W252" s="2">
        <v>3.8</v>
      </c>
      <c r="X252" s="2">
        <v>1.99</v>
      </c>
      <c r="Y252" s="2">
        <v>1.04</v>
      </c>
      <c r="Z252" s="2">
        <v>0</v>
      </c>
      <c r="AA252" s="2">
        <v>0</v>
      </c>
      <c r="AB252" s="2">
        <v>1.91</v>
      </c>
      <c r="AC252" s="3" t="str">
        <f t="shared" si="6"/>
        <v>Pair</v>
      </c>
    </row>
    <row r="253" spans="1:29" x14ac:dyDescent="0.25">
      <c r="A253" s="1" t="s">
        <v>579</v>
      </c>
      <c r="B253" s="2" t="s">
        <v>37</v>
      </c>
      <c r="C253" s="2"/>
      <c r="D253" s="2"/>
      <c r="E253" s="2" t="s">
        <v>530</v>
      </c>
      <c r="F253" s="2">
        <v>2</v>
      </c>
      <c r="G253" s="2">
        <v>0.17</v>
      </c>
      <c r="H253" s="2" t="s">
        <v>38</v>
      </c>
      <c r="I253" s="2" t="s">
        <v>50</v>
      </c>
      <c r="J253" s="2" t="s">
        <v>33</v>
      </c>
      <c r="K253" s="2"/>
      <c r="L253" s="2"/>
      <c r="M253" s="2"/>
      <c r="N253" s="2"/>
      <c r="O253" s="2"/>
      <c r="P253" s="2"/>
      <c r="Q253" s="2"/>
      <c r="R253" s="2">
        <v>1400</v>
      </c>
      <c r="S253" s="2">
        <v>238</v>
      </c>
      <c r="T253" s="13" t="str">
        <f t="shared" si="7"/>
        <v>CADILKS230</v>
      </c>
      <c r="U253" s="2" t="s">
        <v>580</v>
      </c>
      <c r="V253" s="2"/>
      <c r="W253" s="2">
        <v>4.9400000000000004</v>
      </c>
      <c r="X253" s="2">
        <v>2.4500000000000002</v>
      </c>
      <c r="Y253" s="2">
        <v>1.36</v>
      </c>
      <c r="Z253" s="2">
        <v>0</v>
      </c>
      <c r="AA253" s="2">
        <v>0</v>
      </c>
      <c r="AB253" s="2">
        <v>2.02</v>
      </c>
      <c r="AC253" s="3" t="str">
        <f t="shared" si="6"/>
        <v>Pair</v>
      </c>
    </row>
    <row r="254" spans="1:29" x14ac:dyDescent="0.25">
      <c r="A254" s="1" t="s">
        <v>581</v>
      </c>
      <c r="B254" s="2" t="s">
        <v>29</v>
      </c>
      <c r="C254" s="2"/>
      <c r="D254" s="2"/>
      <c r="E254" s="2" t="s">
        <v>530</v>
      </c>
      <c r="F254" s="2">
        <v>2</v>
      </c>
      <c r="G254" s="2">
        <v>0.28000000000000003</v>
      </c>
      <c r="H254" s="2" t="s">
        <v>73</v>
      </c>
      <c r="I254" s="2" t="s">
        <v>53</v>
      </c>
      <c r="J254" s="2" t="s">
        <v>33</v>
      </c>
      <c r="K254" s="2"/>
      <c r="L254" s="2"/>
      <c r="M254" s="2"/>
      <c r="N254" s="2"/>
      <c r="O254" s="2" t="s">
        <v>46</v>
      </c>
      <c r="P254" s="2"/>
      <c r="Q254" s="2"/>
      <c r="R254" s="2">
        <v>1400</v>
      </c>
      <c r="S254" s="2">
        <v>392</v>
      </c>
      <c r="T254" s="13" t="str">
        <f t="shared" si="7"/>
        <v>CADILKS233</v>
      </c>
      <c r="U254" s="2" t="s">
        <v>582</v>
      </c>
      <c r="V254" s="2"/>
      <c r="W254" s="2">
        <v>3.45</v>
      </c>
      <c r="X254" s="2">
        <v>4.54</v>
      </c>
      <c r="Y254" s="2">
        <v>1.45</v>
      </c>
      <c r="Z254" s="2">
        <v>0</v>
      </c>
      <c r="AA254" s="2">
        <v>0</v>
      </c>
      <c r="AB254" s="2">
        <v>0.76</v>
      </c>
      <c r="AC254" s="3" t="str">
        <f t="shared" si="6"/>
        <v>Pair</v>
      </c>
    </row>
    <row r="255" spans="1:29" x14ac:dyDescent="0.25">
      <c r="A255" s="1" t="s">
        <v>583</v>
      </c>
      <c r="B255" s="2" t="s">
        <v>37</v>
      </c>
      <c r="C255" s="2"/>
      <c r="D255" s="2"/>
      <c r="E255" s="2" t="s">
        <v>530</v>
      </c>
      <c r="F255" s="2">
        <v>2</v>
      </c>
      <c r="G255" s="2">
        <v>0.19</v>
      </c>
      <c r="H255" s="2" t="s">
        <v>137</v>
      </c>
      <c r="I255" s="2" t="s">
        <v>53</v>
      </c>
      <c r="J255" s="2" t="s">
        <v>33</v>
      </c>
      <c r="K255" s="2"/>
      <c r="L255" s="2"/>
      <c r="M255" s="2"/>
      <c r="N255" s="2"/>
      <c r="O255" s="2"/>
      <c r="P255" s="2"/>
      <c r="Q255" s="2"/>
      <c r="R255" s="2">
        <v>2000</v>
      </c>
      <c r="S255" s="2">
        <v>380</v>
      </c>
      <c r="T255" s="13" t="str">
        <f t="shared" si="7"/>
        <v>CADILKS236</v>
      </c>
      <c r="U255" s="2" t="s">
        <v>584</v>
      </c>
      <c r="V255" s="2"/>
      <c r="W255" s="2">
        <v>4.9800000000000004</v>
      </c>
      <c r="X255" s="2">
        <v>2.81</v>
      </c>
      <c r="Y255" s="2">
        <v>1.06</v>
      </c>
      <c r="Z255" s="2">
        <v>0</v>
      </c>
      <c r="AA255" s="2">
        <v>0</v>
      </c>
      <c r="AB255" s="2">
        <v>1.77</v>
      </c>
      <c r="AC255" s="3" t="str">
        <f t="shared" si="6"/>
        <v>Pair</v>
      </c>
    </row>
    <row r="256" spans="1:29" x14ac:dyDescent="0.25">
      <c r="A256" s="1" t="s">
        <v>585</v>
      </c>
      <c r="B256" s="2" t="s">
        <v>29</v>
      </c>
      <c r="C256" s="2"/>
      <c r="D256" s="2"/>
      <c r="E256" s="2" t="s">
        <v>530</v>
      </c>
      <c r="F256" s="2">
        <v>1</v>
      </c>
      <c r="G256" s="2">
        <v>0.46</v>
      </c>
      <c r="H256" s="2" t="s">
        <v>396</v>
      </c>
      <c r="I256" s="2" t="s">
        <v>53</v>
      </c>
      <c r="J256" s="2" t="s">
        <v>397</v>
      </c>
      <c r="K256" s="2"/>
      <c r="L256" s="2" t="s">
        <v>450</v>
      </c>
      <c r="M256" s="2" t="s">
        <v>450</v>
      </c>
      <c r="N256" s="2" t="s">
        <v>421</v>
      </c>
      <c r="O256" s="2" t="s">
        <v>61</v>
      </c>
      <c r="P256" s="2"/>
      <c r="Q256" s="2">
        <v>6381580756</v>
      </c>
      <c r="R256" s="2">
        <v>5216</v>
      </c>
      <c r="S256" s="2">
        <v>2399.36</v>
      </c>
      <c r="T256" s="13" t="str">
        <f t="shared" si="7"/>
        <v>PLT71201AA</v>
      </c>
      <c r="U256" s="2" t="s">
        <v>586</v>
      </c>
      <c r="V256" s="2"/>
      <c r="W256" s="2">
        <v>4.3099999999999996</v>
      </c>
      <c r="X256" s="2">
        <v>10.15</v>
      </c>
      <c r="Y256" s="2">
        <v>1.55</v>
      </c>
      <c r="Z256" s="2">
        <v>15.3</v>
      </c>
      <c r="AA256" s="2">
        <v>89</v>
      </c>
      <c r="AB256" s="2">
        <v>0.42</v>
      </c>
      <c r="AC256" s="3" t="str">
        <f t="shared" si="6"/>
        <v>Loose</v>
      </c>
    </row>
    <row r="257" spans="1:29" x14ac:dyDescent="0.25">
      <c r="A257" s="1" t="s">
        <v>587</v>
      </c>
      <c r="B257" s="2" t="s">
        <v>29</v>
      </c>
      <c r="C257" s="2"/>
      <c r="D257" s="2"/>
      <c r="E257" s="2" t="s">
        <v>530</v>
      </c>
      <c r="F257" s="2">
        <v>2</v>
      </c>
      <c r="G257" s="2">
        <v>0.28000000000000003</v>
      </c>
      <c r="H257" s="2" t="s">
        <v>38</v>
      </c>
      <c r="I257" s="2" t="s">
        <v>39</v>
      </c>
      <c r="J257" s="2" t="s">
        <v>33</v>
      </c>
      <c r="K257" s="2"/>
      <c r="L257" s="2"/>
      <c r="M257" s="2"/>
      <c r="N257" s="2"/>
      <c r="O257" s="2"/>
      <c r="P257" s="2"/>
      <c r="Q257" s="2"/>
      <c r="R257" s="2">
        <v>1500</v>
      </c>
      <c r="S257" s="2">
        <v>420</v>
      </c>
      <c r="T257" s="13" t="str">
        <f t="shared" si="7"/>
        <v>CADILKS238Q</v>
      </c>
      <c r="U257" s="2" t="s">
        <v>588</v>
      </c>
      <c r="V257" s="2"/>
      <c r="W257" s="2">
        <v>6.49</v>
      </c>
      <c r="X257" s="2">
        <v>3.37</v>
      </c>
      <c r="Y257" s="2">
        <v>0.99</v>
      </c>
      <c r="Z257" s="2">
        <v>0</v>
      </c>
      <c r="AA257" s="2">
        <v>0</v>
      </c>
      <c r="AB257" s="2">
        <v>1.93</v>
      </c>
      <c r="AC257" s="3" t="str">
        <f t="shared" si="6"/>
        <v>Pair</v>
      </c>
    </row>
    <row r="258" spans="1:29" x14ac:dyDescent="0.25">
      <c r="A258" s="1" t="s">
        <v>589</v>
      </c>
      <c r="B258" s="2" t="s">
        <v>29</v>
      </c>
      <c r="C258" s="2"/>
      <c r="D258" s="2"/>
      <c r="E258" s="2" t="s">
        <v>530</v>
      </c>
      <c r="F258" s="2">
        <v>1</v>
      </c>
      <c r="G258" s="2">
        <v>0.69</v>
      </c>
      <c r="H258" s="2" t="s">
        <v>396</v>
      </c>
      <c r="I258" s="2" t="s">
        <v>105</v>
      </c>
      <c r="J258" s="2" t="s">
        <v>69</v>
      </c>
      <c r="K258" s="2"/>
      <c r="L258" s="2" t="s">
        <v>450</v>
      </c>
      <c r="M258" s="2" t="s">
        <v>450</v>
      </c>
      <c r="N258" s="2" t="s">
        <v>421</v>
      </c>
      <c r="O258" s="2" t="s">
        <v>34</v>
      </c>
      <c r="P258" s="2"/>
      <c r="Q258" s="2">
        <v>2388653043</v>
      </c>
      <c r="R258" s="2">
        <v>3500</v>
      </c>
      <c r="S258" s="2">
        <v>2415</v>
      </c>
      <c r="T258" s="13" t="str">
        <f t="shared" si="7"/>
        <v>SMN173A</v>
      </c>
      <c r="U258" s="2" t="s">
        <v>590</v>
      </c>
      <c r="V258" s="2"/>
      <c r="W258" s="2">
        <v>5.3</v>
      </c>
      <c r="X258" s="2">
        <v>9.77</v>
      </c>
      <c r="Y258" s="2">
        <v>2.15</v>
      </c>
      <c r="Z258" s="2">
        <v>22</v>
      </c>
      <c r="AA258" s="2">
        <v>89</v>
      </c>
      <c r="AB258" s="2">
        <v>0.54</v>
      </c>
      <c r="AC258" s="3" t="str">
        <f t="shared" ref="AC258:AC321" si="8">IF(F258=2,"Pair","Loose")</f>
        <v>Loose</v>
      </c>
    </row>
    <row r="259" spans="1:29" x14ac:dyDescent="0.25">
      <c r="A259" s="1" t="s">
        <v>591</v>
      </c>
      <c r="B259" s="2" t="s">
        <v>37</v>
      </c>
      <c r="C259" s="2"/>
      <c r="D259" s="2"/>
      <c r="E259" s="2" t="s">
        <v>530</v>
      </c>
      <c r="F259" s="2">
        <v>2</v>
      </c>
      <c r="G259" s="2">
        <v>1.2</v>
      </c>
      <c r="H259" s="2" t="s">
        <v>73</v>
      </c>
      <c r="I259" s="2" t="s">
        <v>50</v>
      </c>
      <c r="J259" s="2" t="s">
        <v>33</v>
      </c>
      <c r="K259" s="2"/>
      <c r="L259" s="2"/>
      <c r="M259" s="2"/>
      <c r="N259" s="2"/>
      <c r="O259" s="2"/>
      <c r="P259" s="2"/>
      <c r="Q259" s="2"/>
      <c r="R259" s="2">
        <v>2600</v>
      </c>
      <c r="S259" s="2">
        <v>3120</v>
      </c>
      <c r="T259" s="13" t="str">
        <f t="shared" si="7"/>
        <v>CADILKS248Q</v>
      </c>
      <c r="U259" s="2" t="s">
        <v>592</v>
      </c>
      <c r="V259" s="2"/>
      <c r="W259" s="2">
        <v>7.99</v>
      </c>
      <c r="X259" s="2">
        <v>5.24</v>
      </c>
      <c r="Y259" s="2">
        <v>2.87</v>
      </c>
      <c r="Z259" s="2">
        <v>0</v>
      </c>
      <c r="AA259" s="2">
        <v>0</v>
      </c>
      <c r="AB259" s="2">
        <v>1.52</v>
      </c>
      <c r="AC259" s="3" t="str">
        <f t="shared" si="8"/>
        <v>Pair</v>
      </c>
    </row>
    <row r="260" spans="1:29" x14ac:dyDescent="0.25">
      <c r="A260" s="1" t="s">
        <v>593</v>
      </c>
      <c r="B260" s="2" t="s">
        <v>37</v>
      </c>
      <c r="C260" s="2"/>
      <c r="D260" s="2"/>
      <c r="E260" s="2" t="s">
        <v>530</v>
      </c>
      <c r="F260" s="2">
        <v>2</v>
      </c>
      <c r="G260" s="2">
        <v>1.03</v>
      </c>
      <c r="H260" s="2" t="s">
        <v>38</v>
      </c>
      <c r="I260" s="2" t="s">
        <v>50</v>
      </c>
      <c r="J260" s="2" t="s">
        <v>33</v>
      </c>
      <c r="K260" s="2"/>
      <c r="L260" s="2"/>
      <c r="M260" s="2"/>
      <c r="N260" s="2"/>
      <c r="O260" s="2" t="s">
        <v>34</v>
      </c>
      <c r="P260" s="2"/>
      <c r="Q260" s="2"/>
      <c r="R260" s="2">
        <v>2800</v>
      </c>
      <c r="S260" s="2">
        <v>2884</v>
      </c>
      <c r="T260" s="13" t="str">
        <f t="shared" si="7"/>
        <v>CADILK064</v>
      </c>
      <c r="U260" s="2" t="s">
        <v>594</v>
      </c>
      <c r="V260" s="2"/>
      <c r="W260" s="2">
        <v>8.8000000000000007</v>
      </c>
      <c r="X260" s="2">
        <v>4.3899999999999997</v>
      </c>
      <c r="Y260" s="2">
        <v>2.39</v>
      </c>
      <c r="Z260" s="2">
        <v>0</v>
      </c>
      <c r="AA260" s="2">
        <v>0</v>
      </c>
      <c r="AB260" s="2">
        <v>2</v>
      </c>
      <c r="AC260" s="3" t="str">
        <f t="shared" si="8"/>
        <v>Pair</v>
      </c>
    </row>
    <row r="261" spans="1:29" x14ac:dyDescent="0.25">
      <c r="A261" s="1" t="s">
        <v>595</v>
      </c>
      <c r="B261" s="2" t="s">
        <v>37</v>
      </c>
      <c r="C261" s="2"/>
      <c r="D261" s="2"/>
      <c r="E261" s="2" t="s">
        <v>530</v>
      </c>
      <c r="F261" s="2">
        <v>2</v>
      </c>
      <c r="G261" s="2">
        <v>0.22</v>
      </c>
      <c r="H261" s="2" t="s">
        <v>396</v>
      </c>
      <c r="I261" s="2" t="s">
        <v>68</v>
      </c>
      <c r="J261" s="2" t="s">
        <v>33</v>
      </c>
      <c r="K261" s="2"/>
      <c r="L261" s="2"/>
      <c r="M261" s="2"/>
      <c r="N261" s="2"/>
      <c r="O261" s="2" t="s">
        <v>34</v>
      </c>
      <c r="P261" s="2"/>
      <c r="Q261" s="2"/>
      <c r="R261" s="2">
        <v>2200</v>
      </c>
      <c r="S261" s="2">
        <v>484</v>
      </c>
      <c r="T261" s="13" t="str">
        <f t="shared" si="7"/>
        <v>CADILKS261</v>
      </c>
      <c r="U261" s="2" t="s">
        <v>596</v>
      </c>
      <c r="V261" s="2"/>
      <c r="W261" s="2">
        <v>6.03</v>
      </c>
      <c r="X261" s="2">
        <v>2.85</v>
      </c>
      <c r="Y261" s="2">
        <v>0.99</v>
      </c>
      <c r="Z261" s="2">
        <v>0</v>
      </c>
      <c r="AA261" s="2">
        <v>0</v>
      </c>
      <c r="AB261" s="2">
        <v>2.12</v>
      </c>
      <c r="AC261" s="3" t="str">
        <f t="shared" si="8"/>
        <v>Pair</v>
      </c>
    </row>
    <row r="262" spans="1:29" x14ac:dyDescent="0.25">
      <c r="A262" s="1" t="s">
        <v>597</v>
      </c>
      <c r="B262" s="2" t="s">
        <v>29</v>
      </c>
      <c r="C262" s="2"/>
      <c r="D262" s="2"/>
      <c r="E262" s="2" t="s">
        <v>530</v>
      </c>
      <c r="F262" s="2">
        <v>1</v>
      </c>
      <c r="G262" s="2">
        <v>0.34</v>
      </c>
      <c r="H262" s="2" t="s">
        <v>31</v>
      </c>
      <c r="I262" s="2" t="s">
        <v>32</v>
      </c>
      <c r="J262" s="2" t="s">
        <v>33</v>
      </c>
      <c r="K262" s="2"/>
      <c r="L262" s="2"/>
      <c r="M262" s="2"/>
      <c r="N262" s="2"/>
      <c r="O262" s="2" t="s">
        <v>58</v>
      </c>
      <c r="P262" s="2"/>
      <c r="Q262" s="2"/>
      <c r="R262" s="2">
        <v>3200</v>
      </c>
      <c r="S262" s="2">
        <v>1088</v>
      </c>
      <c r="T262" s="13" t="str">
        <f t="shared" si="7"/>
        <v>OR13AA</v>
      </c>
      <c r="U262" s="2" t="s">
        <v>598</v>
      </c>
      <c r="V262" s="2"/>
      <c r="W262" s="2">
        <v>7.47</v>
      </c>
      <c r="X262" s="2">
        <v>3.04</v>
      </c>
      <c r="Y262" s="2">
        <v>2.09</v>
      </c>
      <c r="Z262" s="2">
        <v>0</v>
      </c>
      <c r="AA262" s="2">
        <v>0</v>
      </c>
      <c r="AB262" s="2">
        <v>2.46</v>
      </c>
      <c r="AC262" s="3" t="str">
        <f t="shared" si="8"/>
        <v>Loose</v>
      </c>
    </row>
    <row r="263" spans="1:29" x14ac:dyDescent="0.25">
      <c r="A263" s="1" t="s">
        <v>599</v>
      </c>
      <c r="B263" s="2" t="s">
        <v>29</v>
      </c>
      <c r="C263" s="2"/>
      <c r="D263" s="2"/>
      <c r="E263" s="2" t="s">
        <v>530</v>
      </c>
      <c r="F263" s="2">
        <v>1</v>
      </c>
      <c r="G263" s="2">
        <v>0.62</v>
      </c>
      <c r="H263" s="2" t="s">
        <v>38</v>
      </c>
      <c r="I263" s="2" t="s">
        <v>57</v>
      </c>
      <c r="J263" s="2" t="s">
        <v>397</v>
      </c>
      <c r="K263" s="2"/>
      <c r="L263" s="2" t="s">
        <v>450</v>
      </c>
      <c r="M263" s="2" t="s">
        <v>43</v>
      </c>
      <c r="N263" s="2" t="s">
        <v>421</v>
      </c>
      <c r="O263" s="2" t="s">
        <v>58</v>
      </c>
      <c r="P263" s="2"/>
      <c r="Q263" s="2">
        <v>2447238947</v>
      </c>
      <c r="R263" s="2">
        <v>5000</v>
      </c>
      <c r="S263" s="2">
        <v>3100</v>
      </c>
      <c r="T263" s="13" t="str">
        <f t="shared" ref="T263:T326" si="9">IF(OR(TRIM(A263&amp;"")="",TRIM(A263&amp;"")="0"),"",HYPERLINK("https://gs.gsdiamonds.com/StoneDetails.aspx?name=" &amp; _xlfn.ENCODEURL(TRIM(A263&amp;"")), TRIM(A263&amp;"")))</f>
        <v>NR003A</v>
      </c>
      <c r="U263" s="2" t="s">
        <v>600</v>
      </c>
      <c r="V263" s="2"/>
      <c r="W263" s="2">
        <v>5.04</v>
      </c>
      <c r="X263" s="2">
        <v>8.9600000000000009</v>
      </c>
      <c r="Y263" s="2">
        <v>1.95</v>
      </c>
      <c r="Z263" s="2">
        <v>21.7</v>
      </c>
      <c r="AA263" s="2">
        <v>76</v>
      </c>
      <c r="AB263" s="2">
        <v>0.56000000000000005</v>
      </c>
      <c r="AC263" s="3" t="str">
        <f t="shared" si="8"/>
        <v>Loose</v>
      </c>
    </row>
    <row r="264" spans="1:29" x14ac:dyDescent="0.25">
      <c r="A264" s="1" t="s">
        <v>601</v>
      </c>
      <c r="B264" s="2" t="s">
        <v>29</v>
      </c>
      <c r="C264" s="2"/>
      <c r="D264" s="2"/>
      <c r="E264" s="2" t="s">
        <v>530</v>
      </c>
      <c r="F264" s="2">
        <v>1</v>
      </c>
      <c r="G264" s="2">
        <v>0.39</v>
      </c>
      <c r="H264" s="2" t="s">
        <v>137</v>
      </c>
      <c r="I264" s="2" t="s">
        <v>68</v>
      </c>
      <c r="J264" s="2" t="s">
        <v>397</v>
      </c>
      <c r="K264" s="2"/>
      <c r="L264" s="2" t="s">
        <v>43</v>
      </c>
      <c r="M264" s="2" t="s">
        <v>43</v>
      </c>
      <c r="N264" s="2" t="s">
        <v>421</v>
      </c>
      <c r="O264" s="2" t="s">
        <v>61</v>
      </c>
      <c r="P264" s="2"/>
      <c r="Q264" s="2">
        <v>6451393206</v>
      </c>
      <c r="R264" s="2">
        <v>3000</v>
      </c>
      <c r="S264" s="2">
        <v>1170</v>
      </c>
      <c r="T264" s="13" t="str">
        <f t="shared" si="9"/>
        <v>PLT2436017AAA</v>
      </c>
      <c r="U264" s="2" t="s">
        <v>602</v>
      </c>
      <c r="V264" s="2"/>
      <c r="W264" s="2">
        <v>3.83</v>
      </c>
      <c r="X264" s="2">
        <v>8.0299999999999994</v>
      </c>
      <c r="Y264" s="2">
        <v>1.73</v>
      </c>
      <c r="Z264" s="2">
        <v>21.6</v>
      </c>
      <c r="AA264" s="2">
        <v>79</v>
      </c>
      <c r="AB264" s="2">
        <v>0.48</v>
      </c>
      <c r="AC264" s="3" t="str">
        <f t="shared" si="8"/>
        <v>Loose</v>
      </c>
    </row>
    <row r="265" spans="1:29" x14ac:dyDescent="0.25">
      <c r="A265" s="1" t="s">
        <v>603</v>
      </c>
      <c r="B265" s="2" t="s">
        <v>29</v>
      </c>
      <c r="C265" s="2"/>
      <c r="D265" s="2"/>
      <c r="E265" s="2" t="s">
        <v>530</v>
      </c>
      <c r="F265" s="2">
        <v>1</v>
      </c>
      <c r="G265" s="2">
        <v>0.62</v>
      </c>
      <c r="H265" s="2" t="s">
        <v>396</v>
      </c>
      <c r="I265" s="2" t="s">
        <v>68</v>
      </c>
      <c r="J265" s="2" t="s">
        <v>397</v>
      </c>
      <c r="K265" s="2"/>
      <c r="L265" s="2" t="s">
        <v>43</v>
      </c>
      <c r="M265" s="2" t="s">
        <v>43</v>
      </c>
      <c r="N265" s="2" t="s">
        <v>421</v>
      </c>
      <c r="O265" s="2" t="s">
        <v>61</v>
      </c>
      <c r="P265" s="2"/>
      <c r="Q265" s="2">
        <v>1455656506</v>
      </c>
      <c r="R265" s="2">
        <v>5000</v>
      </c>
      <c r="S265" s="2">
        <v>3100</v>
      </c>
      <c r="T265" s="13" t="str">
        <f t="shared" si="9"/>
        <v>NR094AAA</v>
      </c>
      <c r="U265" s="2" t="s">
        <v>604</v>
      </c>
      <c r="V265" s="2"/>
      <c r="W265" s="2">
        <v>4.79</v>
      </c>
      <c r="X265" s="2">
        <v>8.56</v>
      </c>
      <c r="Y265" s="2">
        <v>2.1</v>
      </c>
      <c r="Z265" s="2">
        <v>24.5</v>
      </c>
      <c r="AA265" s="2">
        <v>75</v>
      </c>
      <c r="AB265" s="2">
        <v>0.56000000000000005</v>
      </c>
      <c r="AC265" s="3" t="str">
        <f t="shared" si="8"/>
        <v>Loose</v>
      </c>
    </row>
    <row r="266" spans="1:29" x14ac:dyDescent="0.25">
      <c r="A266" s="1" t="s">
        <v>605</v>
      </c>
      <c r="B266" s="2" t="s">
        <v>29</v>
      </c>
      <c r="C266" s="2"/>
      <c r="D266" s="2"/>
      <c r="E266" s="2" t="s">
        <v>530</v>
      </c>
      <c r="F266" s="2">
        <v>1</v>
      </c>
      <c r="G266" s="2">
        <v>0.21</v>
      </c>
      <c r="H266" s="2" t="s">
        <v>76</v>
      </c>
      <c r="I266" s="2" t="s">
        <v>68</v>
      </c>
      <c r="J266" s="2" t="s">
        <v>33</v>
      </c>
      <c r="K266" s="2"/>
      <c r="L266" s="2"/>
      <c r="M266" s="2"/>
      <c r="N266" s="2"/>
      <c r="O266" s="2" t="s">
        <v>34</v>
      </c>
      <c r="P266" s="2"/>
      <c r="Q266" s="2"/>
      <c r="R266" s="2">
        <v>165</v>
      </c>
      <c r="S266" s="2">
        <v>34.65</v>
      </c>
      <c r="T266" s="13" t="str">
        <f t="shared" si="9"/>
        <v>RH05BA</v>
      </c>
      <c r="U266" s="2" t="s">
        <v>606</v>
      </c>
      <c r="V266" s="2"/>
      <c r="W266" s="2">
        <v>6.8</v>
      </c>
      <c r="X266" s="2">
        <v>3.7</v>
      </c>
      <c r="Y266" s="2">
        <v>1.25</v>
      </c>
      <c r="Z266" s="2">
        <v>0</v>
      </c>
      <c r="AA266" s="2">
        <v>0</v>
      </c>
      <c r="AB266" s="2">
        <v>1.84</v>
      </c>
      <c r="AC266" s="3" t="str">
        <f t="shared" si="8"/>
        <v>Loose</v>
      </c>
    </row>
    <row r="267" spans="1:29" x14ac:dyDescent="0.25">
      <c r="A267" s="1" t="s">
        <v>607</v>
      </c>
      <c r="B267" s="2" t="s">
        <v>29</v>
      </c>
      <c r="C267" s="2"/>
      <c r="D267" s="2"/>
      <c r="E267" s="2" t="s">
        <v>530</v>
      </c>
      <c r="F267" s="2">
        <v>1</v>
      </c>
      <c r="G267" s="2">
        <v>0.27</v>
      </c>
      <c r="H267" s="2" t="s">
        <v>137</v>
      </c>
      <c r="I267" s="2" t="s">
        <v>105</v>
      </c>
      <c r="J267" s="2" t="s">
        <v>69</v>
      </c>
      <c r="K267" s="2"/>
      <c r="L267" s="2"/>
      <c r="M267" s="2"/>
      <c r="N267" s="2"/>
      <c r="O267" s="2" t="s">
        <v>77</v>
      </c>
      <c r="P267" s="2"/>
      <c r="Q267" s="2"/>
      <c r="R267" s="2">
        <v>1000</v>
      </c>
      <c r="S267" s="2">
        <v>270</v>
      </c>
      <c r="T267" s="13" t="str">
        <f t="shared" si="9"/>
        <v>PH03BAAA</v>
      </c>
      <c r="U267" s="2" t="s">
        <v>608</v>
      </c>
      <c r="V267" s="2"/>
      <c r="W267" s="2">
        <v>7.87</v>
      </c>
      <c r="X267" s="2">
        <v>3.99</v>
      </c>
      <c r="Y267" s="2">
        <v>1.35</v>
      </c>
      <c r="Z267" s="2">
        <v>0</v>
      </c>
      <c r="AA267" s="2">
        <v>0</v>
      </c>
      <c r="AB267" s="2">
        <v>1.97</v>
      </c>
      <c r="AC267" s="3" t="str">
        <f t="shared" si="8"/>
        <v>Loose</v>
      </c>
    </row>
    <row r="268" spans="1:29" x14ac:dyDescent="0.25">
      <c r="A268" s="1" t="s">
        <v>609</v>
      </c>
      <c r="B268" s="2" t="s">
        <v>37</v>
      </c>
      <c r="C268" s="2"/>
      <c r="D268" s="2"/>
      <c r="E268" s="2" t="s">
        <v>530</v>
      </c>
      <c r="F268" s="2">
        <v>1</v>
      </c>
      <c r="G268" s="2">
        <v>1.03</v>
      </c>
      <c r="H268" s="2" t="s">
        <v>49</v>
      </c>
      <c r="I268" s="2" t="s">
        <v>610</v>
      </c>
      <c r="J268" s="2" t="s">
        <v>69</v>
      </c>
      <c r="K268" s="2"/>
      <c r="L268" s="2" t="s">
        <v>450</v>
      </c>
      <c r="M268" s="2" t="s">
        <v>43</v>
      </c>
      <c r="N268" s="2" t="s">
        <v>421</v>
      </c>
      <c r="O268" s="2" t="s">
        <v>34</v>
      </c>
      <c r="P268" s="2"/>
      <c r="Q268" s="2">
        <v>6482119914</v>
      </c>
      <c r="R268" s="2">
        <v>2500</v>
      </c>
      <c r="S268" s="2">
        <v>2575</v>
      </c>
      <c r="T268" s="13" t="str">
        <f t="shared" si="9"/>
        <v>BLL009AAAAAA</v>
      </c>
      <c r="U268" s="2" t="s">
        <v>611</v>
      </c>
      <c r="V268" s="2"/>
      <c r="W268" s="2">
        <v>6.75</v>
      </c>
      <c r="X268" s="2">
        <v>7.89</v>
      </c>
      <c r="Y268" s="2">
        <v>2.71</v>
      </c>
      <c r="Z268" s="2">
        <v>34.299999999999997</v>
      </c>
      <c r="AA268" s="2">
        <v>70</v>
      </c>
      <c r="AB268" s="2">
        <v>0.86</v>
      </c>
      <c r="AC268" s="3" t="str">
        <f t="shared" si="8"/>
        <v>Loose</v>
      </c>
    </row>
    <row r="269" spans="1:29" x14ac:dyDescent="0.25">
      <c r="A269" s="1" t="s">
        <v>612</v>
      </c>
      <c r="B269" s="2" t="s">
        <v>29</v>
      </c>
      <c r="C269" s="2"/>
      <c r="D269" s="2"/>
      <c r="E269" s="2" t="s">
        <v>530</v>
      </c>
      <c r="F269" s="2">
        <v>1</v>
      </c>
      <c r="G269" s="2">
        <v>0.68</v>
      </c>
      <c r="H269" s="2" t="s">
        <v>76</v>
      </c>
      <c r="I269" s="2" t="s">
        <v>53</v>
      </c>
      <c r="J269" s="2" t="s">
        <v>33</v>
      </c>
      <c r="K269" s="2"/>
      <c r="L269" s="2" t="s">
        <v>43</v>
      </c>
      <c r="M269" s="2" t="s">
        <v>38</v>
      </c>
      <c r="N269" s="2" t="s">
        <v>421</v>
      </c>
      <c r="O269" s="2" t="s">
        <v>34</v>
      </c>
      <c r="P269" s="2"/>
      <c r="Q269" s="2">
        <v>1489119907</v>
      </c>
      <c r="R269" s="2">
        <v>3200</v>
      </c>
      <c r="S269" s="2">
        <v>2176</v>
      </c>
      <c r="T269" s="13" t="str">
        <f t="shared" si="9"/>
        <v>BLL021AAAAA</v>
      </c>
      <c r="U269" s="2" t="s">
        <v>613</v>
      </c>
      <c r="V269" s="2"/>
      <c r="W269" s="2">
        <v>6</v>
      </c>
      <c r="X269" s="2">
        <v>7.1</v>
      </c>
      <c r="Y269" s="2">
        <v>2.36</v>
      </c>
      <c r="Z269" s="2">
        <v>33.200000000000003</v>
      </c>
      <c r="AA269" s="2">
        <v>72</v>
      </c>
      <c r="AB269" s="2">
        <v>0.85</v>
      </c>
      <c r="AC269" s="3" t="str">
        <f t="shared" si="8"/>
        <v>Loose</v>
      </c>
    </row>
    <row r="270" spans="1:29" x14ac:dyDescent="0.25">
      <c r="A270" s="1" t="s">
        <v>614</v>
      </c>
      <c r="B270" s="2" t="s">
        <v>29</v>
      </c>
      <c r="C270" s="2"/>
      <c r="D270" s="2"/>
      <c r="E270" s="2" t="s">
        <v>530</v>
      </c>
      <c r="F270" s="2">
        <v>1</v>
      </c>
      <c r="G270" s="2">
        <v>0.19</v>
      </c>
      <c r="H270" s="2" t="s">
        <v>31</v>
      </c>
      <c r="I270" s="2" t="s">
        <v>39</v>
      </c>
      <c r="J270" s="2" t="s">
        <v>33</v>
      </c>
      <c r="K270" s="2"/>
      <c r="L270" s="2"/>
      <c r="M270" s="2"/>
      <c r="N270" s="2"/>
      <c r="O270" s="2" t="s">
        <v>46</v>
      </c>
      <c r="P270" s="2"/>
      <c r="Q270" s="2"/>
      <c r="R270" s="2">
        <v>1232</v>
      </c>
      <c r="S270" s="2">
        <v>234.08</v>
      </c>
      <c r="T270" s="13" t="str">
        <f t="shared" si="9"/>
        <v>LVP044A</v>
      </c>
      <c r="U270" s="2" t="s">
        <v>615</v>
      </c>
      <c r="V270" s="2"/>
      <c r="W270" s="2">
        <v>7.12</v>
      </c>
      <c r="X270" s="2">
        <v>3.59</v>
      </c>
      <c r="Y270" s="2">
        <v>1.1499999999999999</v>
      </c>
      <c r="Z270" s="2">
        <v>0</v>
      </c>
      <c r="AA270" s="2">
        <v>0</v>
      </c>
      <c r="AB270" s="2">
        <v>1.98</v>
      </c>
      <c r="AC270" s="3" t="str">
        <f t="shared" si="8"/>
        <v>Loose</v>
      </c>
    </row>
    <row r="271" spans="1:29" x14ac:dyDescent="0.25">
      <c r="A271" s="1" t="s">
        <v>616</v>
      </c>
      <c r="B271" s="2" t="s">
        <v>29</v>
      </c>
      <c r="C271" s="2"/>
      <c r="D271" s="2"/>
      <c r="E271" s="2" t="s">
        <v>530</v>
      </c>
      <c r="F271" s="2">
        <v>1</v>
      </c>
      <c r="G271" s="2">
        <v>0.35</v>
      </c>
      <c r="H271" s="2" t="s">
        <v>31</v>
      </c>
      <c r="I271" s="2" t="s">
        <v>32</v>
      </c>
      <c r="J271" s="2" t="s">
        <v>397</v>
      </c>
      <c r="K271" s="2"/>
      <c r="L271" s="2" t="s">
        <v>450</v>
      </c>
      <c r="M271" s="2" t="s">
        <v>38</v>
      </c>
      <c r="N271" s="2" t="s">
        <v>421</v>
      </c>
      <c r="O271" s="2" t="s">
        <v>34</v>
      </c>
      <c r="P271" s="2"/>
      <c r="Q271" s="2">
        <v>6472946485</v>
      </c>
      <c r="R271" s="2">
        <v>3500</v>
      </c>
      <c r="S271" s="2">
        <v>1225</v>
      </c>
      <c r="T271" s="13" t="str">
        <f t="shared" si="9"/>
        <v>LVP036AAAAA</v>
      </c>
      <c r="U271" s="2" t="s">
        <v>617</v>
      </c>
      <c r="V271" s="2"/>
      <c r="W271" s="2">
        <v>4.33</v>
      </c>
      <c r="X271" s="2">
        <v>8.1999999999999993</v>
      </c>
      <c r="Y271" s="2">
        <v>1.55</v>
      </c>
      <c r="Z271" s="2">
        <v>18.899999999999999</v>
      </c>
      <c r="AA271" s="2">
        <v>78</v>
      </c>
      <c r="AB271" s="2">
        <v>0.53</v>
      </c>
      <c r="AC271" s="3" t="str">
        <f t="shared" si="8"/>
        <v>Loose</v>
      </c>
    </row>
    <row r="272" spans="1:29" x14ac:dyDescent="0.25">
      <c r="A272" s="1" t="s">
        <v>618</v>
      </c>
      <c r="B272" s="2" t="s">
        <v>29</v>
      </c>
      <c r="C272" s="2"/>
      <c r="D272" s="2"/>
      <c r="E272" s="2" t="s">
        <v>530</v>
      </c>
      <c r="F272" s="2">
        <v>1</v>
      </c>
      <c r="G272" s="2">
        <v>0.15</v>
      </c>
      <c r="H272" s="2" t="s">
        <v>43</v>
      </c>
      <c r="I272" s="2" t="s">
        <v>50</v>
      </c>
      <c r="J272" s="2" t="s">
        <v>33</v>
      </c>
      <c r="K272" s="2"/>
      <c r="L272" s="2"/>
      <c r="M272" s="2"/>
      <c r="N272" s="2"/>
      <c r="O272" s="2" t="s">
        <v>77</v>
      </c>
      <c r="P272" s="2"/>
      <c r="Q272" s="2"/>
      <c r="R272" s="2">
        <v>1000</v>
      </c>
      <c r="S272" s="2">
        <v>150</v>
      </c>
      <c r="T272" s="13" t="str">
        <f t="shared" si="9"/>
        <v>LVP005BA</v>
      </c>
      <c r="U272" s="2" t="s">
        <v>619</v>
      </c>
      <c r="V272" s="2"/>
      <c r="W272" s="2">
        <v>6.94</v>
      </c>
      <c r="X272" s="2">
        <v>3.24</v>
      </c>
      <c r="Y272" s="2">
        <v>0.99</v>
      </c>
      <c r="Z272" s="2">
        <v>0</v>
      </c>
      <c r="AA272" s="2">
        <v>0</v>
      </c>
      <c r="AB272" s="2">
        <v>2.14</v>
      </c>
      <c r="AC272" s="3" t="str">
        <f t="shared" si="8"/>
        <v>Loose</v>
      </c>
    </row>
    <row r="273" spans="1:29" x14ac:dyDescent="0.25">
      <c r="A273" s="1" t="s">
        <v>620</v>
      </c>
      <c r="B273" s="2" t="s">
        <v>29</v>
      </c>
      <c r="C273" s="2"/>
      <c r="D273" s="2"/>
      <c r="E273" s="2" t="s">
        <v>530</v>
      </c>
      <c r="F273" s="2">
        <v>1</v>
      </c>
      <c r="G273" s="2">
        <v>0.53</v>
      </c>
      <c r="H273" s="2"/>
      <c r="I273" s="2" t="s">
        <v>68</v>
      </c>
      <c r="J273" s="2" t="s">
        <v>397</v>
      </c>
      <c r="K273" s="2"/>
      <c r="L273" s="2" t="s">
        <v>43</v>
      </c>
      <c r="M273" s="2" t="s">
        <v>43</v>
      </c>
      <c r="N273" s="2" t="s">
        <v>421</v>
      </c>
      <c r="O273" s="2" t="s">
        <v>34</v>
      </c>
      <c r="P273" s="2"/>
      <c r="Q273" s="2">
        <v>2484872386</v>
      </c>
      <c r="R273" s="2">
        <v>3500</v>
      </c>
      <c r="S273" s="2">
        <v>1855</v>
      </c>
      <c r="T273" s="13" t="str">
        <f t="shared" si="9"/>
        <v>LVP012AAA</v>
      </c>
      <c r="U273" s="2" t="s">
        <v>621</v>
      </c>
      <c r="V273" s="2"/>
      <c r="W273" s="2">
        <v>4.21</v>
      </c>
      <c r="X273" s="2">
        <v>8.01</v>
      </c>
      <c r="Y273" s="2">
        <v>2.16</v>
      </c>
      <c r="Z273" s="2">
        <v>27</v>
      </c>
      <c r="AA273" s="2">
        <v>76</v>
      </c>
      <c r="AB273" s="2">
        <v>0.53</v>
      </c>
      <c r="AC273" s="3" t="str">
        <f t="shared" si="8"/>
        <v>Loose</v>
      </c>
    </row>
    <row r="274" spans="1:29" x14ac:dyDescent="0.25">
      <c r="A274" s="1" t="s">
        <v>622</v>
      </c>
      <c r="B274" s="2" t="s">
        <v>29</v>
      </c>
      <c r="C274" s="2"/>
      <c r="D274" s="2"/>
      <c r="E274" s="2" t="s">
        <v>530</v>
      </c>
      <c r="F274" s="2">
        <v>1</v>
      </c>
      <c r="G274" s="2">
        <v>0.45</v>
      </c>
      <c r="H274" s="2" t="s">
        <v>43</v>
      </c>
      <c r="I274" s="2" t="s">
        <v>53</v>
      </c>
      <c r="J274" s="2" t="s">
        <v>397</v>
      </c>
      <c r="K274" s="2"/>
      <c r="L274" s="2" t="s">
        <v>43</v>
      </c>
      <c r="M274" s="2" t="s">
        <v>43</v>
      </c>
      <c r="N274" s="2" t="s">
        <v>421</v>
      </c>
      <c r="O274" s="2" t="s">
        <v>77</v>
      </c>
      <c r="P274" s="2"/>
      <c r="Q274" s="2">
        <v>2484583210</v>
      </c>
      <c r="R274" s="2">
        <v>4300</v>
      </c>
      <c r="S274" s="2">
        <v>1935</v>
      </c>
      <c r="T274" s="13" t="str">
        <f t="shared" si="9"/>
        <v>KRNL02AA</v>
      </c>
      <c r="U274" s="2" t="s">
        <v>623</v>
      </c>
      <c r="V274" s="2"/>
      <c r="W274" s="2">
        <v>4.3899999999999997</v>
      </c>
      <c r="X274" s="2">
        <v>8.51</v>
      </c>
      <c r="Y274" s="2">
        <v>1.91</v>
      </c>
      <c r="Z274" s="2">
        <v>22.4</v>
      </c>
      <c r="AA274" s="2">
        <v>78</v>
      </c>
      <c r="AB274" s="2">
        <v>0.52</v>
      </c>
      <c r="AC274" s="3" t="str">
        <f t="shared" si="8"/>
        <v>Loose</v>
      </c>
    </row>
    <row r="275" spans="1:29" x14ac:dyDescent="0.25">
      <c r="A275" s="1" t="s">
        <v>624</v>
      </c>
      <c r="B275" s="2" t="s">
        <v>29</v>
      </c>
      <c r="C275" s="2"/>
      <c r="D275" s="2"/>
      <c r="E275" s="2" t="s">
        <v>530</v>
      </c>
      <c r="F275" s="2">
        <v>1</v>
      </c>
      <c r="G275" s="2">
        <v>0.4</v>
      </c>
      <c r="H275" s="2" t="s">
        <v>137</v>
      </c>
      <c r="I275" s="2" t="s">
        <v>32</v>
      </c>
      <c r="J275" s="2" t="s">
        <v>397</v>
      </c>
      <c r="K275" s="2"/>
      <c r="L275" s="2" t="s">
        <v>43</v>
      </c>
      <c r="M275" s="2" t="s">
        <v>43</v>
      </c>
      <c r="N275" s="2" t="s">
        <v>421</v>
      </c>
      <c r="O275" s="2" t="s">
        <v>70</v>
      </c>
      <c r="P275" s="2"/>
      <c r="Q275" s="2">
        <v>6492352759</v>
      </c>
      <c r="R275" s="2">
        <v>2500</v>
      </c>
      <c r="S275" s="2">
        <v>1000</v>
      </c>
      <c r="T275" s="13" t="str">
        <f t="shared" si="9"/>
        <v>KGKA01AAAA</v>
      </c>
      <c r="U275" s="2" t="s">
        <v>625</v>
      </c>
      <c r="V275" s="2"/>
      <c r="W275" s="2">
        <v>4.34</v>
      </c>
      <c r="X275" s="2">
        <v>5.92</v>
      </c>
      <c r="Y275" s="2">
        <v>2.2599999999999998</v>
      </c>
      <c r="Z275" s="2">
        <v>38.1</v>
      </c>
      <c r="AA275" s="2">
        <v>71</v>
      </c>
      <c r="AB275" s="2">
        <v>0.73</v>
      </c>
      <c r="AC275" s="3" t="str">
        <f t="shared" si="8"/>
        <v>Loose</v>
      </c>
    </row>
    <row r="276" spans="1:29" x14ac:dyDescent="0.25">
      <c r="A276" s="1" t="s">
        <v>626</v>
      </c>
      <c r="B276" s="2" t="s">
        <v>29</v>
      </c>
      <c r="C276" s="2"/>
      <c r="D276" s="2"/>
      <c r="E276" s="2" t="s">
        <v>530</v>
      </c>
      <c r="F276" s="2">
        <v>2</v>
      </c>
      <c r="G276" s="2">
        <v>0.97</v>
      </c>
      <c r="H276" s="2" t="s">
        <v>43</v>
      </c>
      <c r="I276" s="2" t="s">
        <v>57</v>
      </c>
      <c r="J276" s="2" t="s">
        <v>397</v>
      </c>
      <c r="K276" s="2"/>
      <c r="L276" s="2"/>
      <c r="M276" s="2"/>
      <c r="N276" s="2"/>
      <c r="O276" s="2" t="s">
        <v>34</v>
      </c>
      <c r="P276" s="2"/>
      <c r="Q276" s="2"/>
      <c r="R276" s="2">
        <v>4100</v>
      </c>
      <c r="S276" s="2">
        <v>3977</v>
      </c>
      <c r="T276" s="13" t="str">
        <f t="shared" si="9"/>
        <v>CADILKS298</v>
      </c>
      <c r="U276" s="2" t="s">
        <v>627</v>
      </c>
      <c r="V276" s="2"/>
      <c r="W276" s="2">
        <v>4.0999999999999996</v>
      </c>
      <c r="X276" s="2">
        <v>7.78</v>
      </c>
      <c r="Y276" s="2">
        <v>2.17</v>
      </c>
      <c r="Z276" s="2">
        <v>0</v>
      </c>
      <c r="AA276" s="2">
        <v>0</v>
      </c>
      <c r="AB276" s="2">
        <v>0.53</v>
      </c>
      <c r="AC276" s="3" t="str">
        <f t="shared" si="8"/>
        <v>Pair</v>
      </c>
    </row>
    <row r="277" spans="1:29" x14ac:dyDescent="0.25">
      <c r="A277" s="1" t="s">
        <v>628</v>
      </c>
      <c r="B277" s="2" t="s">
        <v>29</v>
      </c>
      <c r="C277" s="2"/>
      <c r="D277" s="2"/>
      <c r="E277" s="2" t="s">
        <v>530</v>
      </c>
      <c r="F277" s="2">
        <v>2</v>
      </c>
      <c r="G277" s="2">
        <v>0.43</v>
      </c>
      <c r="H277" s="2" t="s">
        <v>38</v>
      </c>
      <c r="I277" s="2" t="s">
        <v>39</v>
      </c>
      <c r="J277" s="2" t="s">
        <v>33</v>
      </c>
      <c r="K277" s="2"/>
      <c r="L277" s="2"/>
      <c r="M277" s="2"/>
      <c r="N277" s="2"/>
      <c r="O277" s="2"/>
      <c r="P277" s="2"/>
      <c r="Q277" s="2"/>
      <c r="R277" s="2">
        <v>3000</v>
      </c>
      <c r="S277" s="2">
        <v>1290</v>
      </c>
      <c r="T277" s="13" t="str">
        <f t="shared" si="9"/>
        <v>CADILKS299</v>
      </c>
      <c r="U277" s="2" t="s">
        <v>629</v>
      </c>
      <c r="V277" s="2"/>
      <c r="W277" s="2">
        <v>6.51</v>
      </c>
      <c r="X277" s="2">
        <v>3.43</v>
      </c>
      <c r="Y277" s="2">
        <v>1.52</v>
      </c>
      <c r="Z277" s="2">
        <v>0</v>
      </c>
      <c r="AA277" s="2">
        <v>0</v>
      </c>
      <c r="AB277" s="2">
        <v>1.9</v>
      </c>
      <c r="AC277" s="3" t="str">
        <f t="shared" si="8"/>
        <v>Pair</v>
      </c>
    </row>
    <row r="278" spans="1:29" x14ac:dyDescent="0.25">
      <c r="A278" s="1" t="s">
        <v>630</v>
      </c>
      <c r="B278" s="2" t="s">
        <v>29</v>
      </c>
      <c r="C278" s="2"/>
      <c r="D278" s="2"/>
      <c r="E278" s="2" t="s">
        <v>530</v>
      </c>
      <c r="F278" s="2">
        <v>1</v>
      </c>
      <c r="G278" s="2">
        <v>0.32</v>
      </c>
      <c r="H278" s="2" t="s">
        <v>396</v>
      </c>
      <c r="I278" s="2" t="s">
        <v>57</v>
      </c>
      <c r="J278" s="2" t="s">
        <v>397</v>
      </c>
      <c r="K278" s="2"/>
      <c r="L278" s="2" t="s">
        <v>450</v>
      </c>
      <c r="M278" s="2" t="s">
        <v>43</v>
      </c>
      <c r="N278" s="2" t="s">
        <v>421</v>
      </c>
      <c r="O278" s="2" t="s">
        <v>34</v>
      </c>
      <c r="P278" s="2"/>
      <c r="Q278" s="2">
        <v>7498348036</v>
      </c>
      <c r="R278" s="2">
        <v>3000</v>
      </c>
      <c r="S278" s="2">
        <v>960</v>
      </c>
      <c r="T278" s="13" t="str">
        <f t="shared" si="9"/>
        <v>GRKS06BAAA001</v>
      </c>
      <c r="U278" s="2" t="s">
        <v>631</v>
      </c>
      <c r="V278" s="2"/>
      <c r="W278" s="2">
        <v>3.64</v>
      </c>
      <c r="X278" s="2">
        <v>8.4499999999999993</v>
      </c>
      <c r="Y278" s="2">
        <v>1.49</v>
      </c>
      <c r="Z278" s="2">
        <v>17.600000000000001</v>
      </c>
      <c r="AA278" s="2">
        <v>79</v>
      </c>
      <c r="AB278" s="2">
        <v>0.43</v>
      </c>
      <c r="AC278" s="3" t="str">
        <f t="shared" si="8"/>
        <v>Loose</v>
      </c>
    </row>
    <row r="279" spans="1:29" x14ac:dyDescent="0.25">
      <c r="A279" s="1" t="s">
        <v>632</v>
      </c>
      <c r="B279" s="2" t="s">
        <v>29</v>
      </c>
      <c r="C279" s="2"/>
      <c r="D279" s="2"/>
      <c r="E279" s="2" t="s">
        <v>530</v>
      </c>
      <c r="F279" s="2">
        <v>1</v>
      </c>
      <c r="G279" s="2">
        <v>0.4</v>
      </c>
      <c r="H279" s="2" t="s">
        <v>43</v>
      </c>
      <c r="I279" s="2" t="s">
        <v>68</v>
      </c>
      <c r="J279" s="2" t="s">
        <v>397</v>
      </c>
      <c r="K279" s="2"/>
      <c r="L279" s="2" t="s">
        <v>43</v>
      </c>
      <c r="M279" s="2" t="s">
        <v>43</v>
      </c>
      <c r="N279" s="2" t="s">
        <v>421</v>
      </c>
      <c r="O279" s="2" t="s">
        <v>34</v>
      </c>
      <c r="P279" s="2"/>
      <c r="Q279" s="2">
        <v>1503297289</v>
      </c>
      <c r="R279" s="2">
        <v>4300</v>
      </c>
      <c r="S279" s="2">
        <v>1720</v>
      </c>
      <c r="T279" s="13" t="str">
        <f t="shared" si="9"/>
        <v>BLL015BAA</v>
      </c>
      <c r="U279" s="2" t="s">
        <v>633</v>
      </c>
      <c r="V279" s="2"/>
      <c r="W279" s="2">
        <v>4.0199999999999996</v>
      </c>
      <c r="X279" s="2">
        <v>8.23</v>
      </c>
      <c r="Y279" s="2">
        <v>1.75</v>
      </c>
      <c r="Z279" s="2">
        <v>21.3</v>
      </c>
      <c r="AA279" s="2">
        <v>81</v>
      </c>
      <c r="AB279" s="2">
        <v>0.49</v>
      </c>
      <c r="AC279" s="3" t="str">
        <f t="shared" si="8"/>
        <v>Loose</v>
      </c>
    </row>
    <row r="280" spans="1:29" x14ac:dyDescent="0.25">
      <c r="A280" s="1" t="s">
        <v>634</v>
      </c>
      <c r="B280" s="2" t="s">
        <v>29</v>
      </c>
      <c r="C280" s="2"/>
      <c r="D280" s="2"/>
      <c r="E280" s="2" t="s">
        <v>530</v>
      </c>
      <c r="F280" s="2">
        <v>1</v>
      </c>
      <c r="G280" s="2">
        <v>0.44</v>
      </c>
      <c r="H280" s="2" t="s">
        <v>31</v>
      </c>
      <c r="I280" s="2" t="s">
        <v>39</v>
      </c>
      <c r="J280" s="2" t="s">
        <v>397</v>
      </c>
      <c r="K280" s="2"/>
      <c r="L280" s="2" t="s">
        <v>43</v>
      </c>
      <c r="M280" s="2" t="s">
        <v>43</v>
      </c>
      <c r="N280" s="2" t="s">
        <v>421</v>
      </c>
      <c r="O280" s="2" t="s">
        <v>34</v>
      </c>
      <c r="P280" s="2"/>
      <c r="Q280" s="2">
        <v>1236496137</v>
      </c>
      <c r="R280" s="2">
        <v>4000</v>
      </c>
      <c r="S280" s="2">
        <v>1760</v>
      </c>
      <c r="T280" s="13" t="str">
        <f t="shared" si="9"/>
        <v>LEV326AAAA</v>
      </c>
      <c r="U280" s="2" t="s">
        <v>635</v>
      </c>
      <c r="V280" s="2"/>
      <c r="W280" s="2">
        <v>4.33</v>
      </c>
      <c r="X280" s="2">
        <v>9.76</v>
      </c>
      <c r="Y280" s="2">
        <v>1.54</v>
      </c>
      <c r="Z280" s="2">
        <v>15.8</v>
      </c>
      <c r="AA280" s="2">
        <v>84</v>
      </c>
      <c r="AB280" s="2">
        <v>0.44</v>
      </c>
      <c r="AC280" s="3" t="str">
        <f t="shared" si="8"/>
        <v>Loose</v>
      </c>
    </row>
    <row r="281" spans="1:29" x14ac:dyDescent="0.25">
      <c r="A281" s="1" t="s">
        <v>636</v>
      </c>
      <c r="B281" s="2" t="s">
        <v>29</v>
      </c>
      <c r="C281" s="2"/>
      <c r="D281" s="2"/>
      <c r="E281" s="2" t="s">
        <v>530</v>
      </c>
      <c r="F281" s="2">
        <v>1</v>
      </c>
      <c r="G281" s="2">
        <v>0.41</v>
      </c>
      <c r="H281" s="2" t="s">
        <v>137</v>
      </c>
      <c r="I281" s="2" t="s">
        <v>68</v>
      </c>
      <c r="J281" s="2" t="s">
        <v>397</v>
      </c>
      <c r="K281" s="2"/>
      <c r="L281" s="2" t="s">
        <v>43</v>
      </c>
      <c r="M281" s="2" t="s">
        <v>43</v>
      </c>
      <c r="N281" s="2" t="s">
        <v>421</v>
      </c>
      <c r="O281" s="2" t="s">
        <v>34</v>
      </c>
      <c r="P281" s="2"/>
      <c r="Q281" s="2">
        <v>2235493768</v>
      </c>
      <c r="R281" s="2">
        <v>3500</v>
      </c>
      <c r="S281" s="2">
        <v>1435</v>
      </c>
      <c r="T281" s="13" t="str">
        <f t="shared" si="9"/>
        <v>LEV074A</v>
      </c>
      <c r="U281" s="2" t="s">
        <v>637</v>
      </c>
      <c r="V281" s="2"/>
      <c r="W281" s="2">
        <v>4.87</v>
      </c>
      <c r="X281" s="2">
        <v>9.3699999999999992</v>
      </c>
      <c r="Y281" s="2">
        <v>1.5</v>
      </c>
      <c r="Z281" s="2">
        <v>16</v>
      </c>
      <c r="AA281" s="2">
        <v>85</v>
      </c>
      <c r="AB281" s="2">
        <v>0.52</v>
      </c>
      <c r="AC281" s="3" t="str">
        <f t="shared" si="8"/>
        <v>Loose</v>
      </c>
    </row>
    <row r="282" spans="1:29" x14ac:dyDescent="0.25">
      <c r="A282" s="1" t="s">
        <v>638</v>
      </c>
      <c r="B282" s="2" t="s">
        <v>29</v>
      </c>
      <c r="C282" s="2"/>
      <c r="D282" s="2"/>
      <c r="E282" s="2" t="s">
        <v>530</v>
      </c>
      <c r="F282" s="2">
        <v>2</v>
      </c>
      <c r="G282" s="2">
        <v>0.8</v>
      </c>
      <c r="H282" s="2" t="s">
        <v>43</v>
      </c>
      <c r="I282" s="2" t="s">
        <v>53</v>
      </c>
      <c r="J282" s="2" t="s">
        <v>397</v>
      </c>
      <c r="K282" s="2"/>
      <c r="L282" s="2"/>
      <c r="M282" s="2"/>
      <c r="N282" s="2"/>
      <c r="O282" s="2"/>
      <c r="P282" s="2"/>
      <c r="Q282" s="2"/>
      <c r="R282" s="2">
        <v>3400</v>
      </c>
      <c r="S282" s="2">
        <v>2720</v>
      </c>
      <c r="T282" s="13" t="str">
        <f t="shared" si="9"/>
        <v>CADILKS321</v>
      </c>
      <c r="U282" s="2" t="s">
        <v>639</v>
      </c>
      <c r="V282" s="2"/>
      <c r="W282" s="2">
        <v>4.16</v>
      </c>
      <c r="X282" s="2">
        <v>7.62</v>
      </c>
      <c r="Y282" s="2">
        <v>1.81</v>
      </c>
      <c r="Z282" s="2">
        <v>0</v>
      </c>
      <c r="AA282" s="2">
        <v>0</v>
      </c>
      <c r="AB282" s="2">
        <v>0.55000000000000004</v>
      </c>
      <c r="AC282" s="3" t="str">
        <f t="shared" si="8"/>
        <v>Pair</v>
      </c>
    </row>
    <row r="283" spans="1:29" x14ac:dyDescent="0.25">
      <c r="A283" s="1" t="s">
        <v>640</v>
      </c>
      <c r="B283" s="2" t="s">
        <v>29</v>
      </c>
      <c r="C283" s="2"/>
      <c r="D283" s="2"/>
      <c r="E283" s="2" t="s">
        <v>530</v>
      </c>
      <c r="F283" s="2">
        <v>1</v>
      </c>
      <c r="G283" s="2">
        <v>0.54</v>
      </c>
      <c r="H283" s="2" t="s">
        <v>396</v>
      </c>
      <c r="I283" s="2" t="s">
        <v>57</v>
      </c>
      <c r="J283" s="2" t="s">
        <v>397</v>
      </c>
      <c r="K283" s="2"/>
      <c r="L283" s="2" t="s">
        <v>43</v>
      </c>
      <c r="M283" s="2" t="s">
        <v>450</v>
      </c>
      <c r="N283" s="2" t="s">
        <v>421</v>
      </c>
      <c r="O283" s="2" t="s">
        <v>34</v>
      </c>
      <c r="P283" s="2"/>
      <c r="Q283" s="2">
        <v>5231641144</v>
      </c>
      <c r="R283" s="2">
        <v>2500</v>
      </c>
      <c r="S283" s="2">
        <v>1350</v>
      </c>
      <c r="T283" s="13" t="str">
        <f t="shared" si="9"/>
        <v>LEV522AA</v>
      </c>
      <c r="U283" s="2" t="s">
        <v>641</v>
      </c>
      <c r="V283" s="2"/>
      <c r="W283" s="2">
        <v>4.24</v>
      </c>
      <c r="X283" s="2">
        <v>8</v>
      </c>
      <c r="Y283" s="2">
        <v>2.16</v>
      </c>
      <c r="Z283" s="2">
        <v>27.1</v>
      </c>
      <c r="AA283" s="2">
        <v>79</v>
      </c>
      <c r="AB283" s="2">
        <v>0.53</v>
      </c>
      <c r="AC283" s="3" t="str">
        <f t="shared" si="8"/>
        <v>Loose</v>
      </c>
    </row>
    <row r="284" spans="1:29" x14ac:dyDescent="0.25">
      <c r="A284" s="1" t="s">
        <v>642</v>
      </c>
      <c r="B284" s="2" t="s">
        <v>29</v>
      </c>
      <c r="C284" s="2"/>
      <c r="D284" s="2"/>
      <c r="E284" s="2" t="s">
        <v>530</v>
      </c>
      <c r="F284" s="2">
        <v>1</v>
      </c>
      <c r="G284" s="2">
        <v>0.87</v>
      </c>
      <c r="H284" s="2" t="s">
        <v>31</v>
      </c>
      <c r="I284" s="2" t="s">
        <v>57</v>
      </c>
      <c r="J284" s="2" t="s">
        <v>397</v>
      </c>
      <c r="K284" s="2"/>
      <c r="L284" s="2" t="s">
        <v>43</v>
      </c>
      <c r="M284" s="2" t="s">
        <v>43</v>
      </c>
      <c r="N284" s="2" t="s">
        <v>421</v>
      </c>
      <c r="O284" s="2" t="s">
        <v>34</v>
      </c>
      <c r="P284" s="2"/>
      <c r="Q284" s="2">
        <v>5231672961</v>
      </c>
      <c r="R284" s="2">
        <v>6989</v>
      </c>
      <c r="S284" s="2">
        <v>6080.43</v>
      </c>
      <c r="T284" s="13" t="str">
        <f t="shared" si="9"/>
        <v>LEV505AAAAAA</v>
      </c>
      <c r="U284" s="2" t="s">
        <v>643</v>
      </c>
      <c r="V284" s="2"/>
      <c r="W284" s="2">
        <v>5.12</v>
      </c>
      <c r="X284" s="2">
        <v>9.18</v>
      </c>
      <c r="Y284" s="2">
        <v>2.73</v>
      </c>
      <c r="Z284" s="2">
        <v>29.7</v>
      </c>
      <c r="AA284" s="2">
        <v>76</v>
      </c>
      <c r="AB284" s="2">
        <v>0.56000000000000005</v>
      </c>
      <c r="AC284" s="3" t="str">
        <f t="shared" si="8"/>
        <v>Loose</v>
      </c>
    </row>
    <row r="285" spans="1:29" x14ac:dyDescent="0.25">
      <c r="A285" s="1" t="s">
        <v>644</v>
      </c>
      <c r="B285" s="2" t="s">
        <v>29</v>
      </c>
      <c r="C285" s="2"/>
      <c r="D285" s="2"/>
      <c r="E285" s="2" t="s">
        <v>530</v>
      </c>
      <c r="F285" s="2">
        <v>2</v>
      </c>
      <c r="G285" s="2">
        <v>0.72</v>
      </c>
      <c r="H285" s="2" t="s">
        <v>137</v>
      </c>
      <c r="I285" s="2" t="s">
        <v>32</v>
      </c>
      <c r="J285" s="2" t="s">
        <v>33</v>
      </c>
      <c r="K285" s="2"/>
      <c r="L285" s="2"/>
      <c r="M285" s="2"/>
      <c r="N285" s="2"/>
      <c r="O285" s="2" t="s">
        <v>34</v>
      </c>
      <c r="P285" s="2"/>
      <c r="Q285" s="2"/>
      <c r="R285" s="2">
        <v>2700</v>
      </c>
      <c r="S285" s="2">
        <v>1944</v>
      </c>
      <c r="T285" s="13" t="str">
        <f t="shared" si="9"/>
        <v>CADILKS326</v>
      </c>
      <c r="U285" s="2" t="s">
        <v>645</v>
      </c>
      <c r="V285" s="2"/>
      <c r="W285" s="2">
        <v>8.94</v>
      </c>
      <c r="X285" s="2">
        <v>4.4400000000000004</v>
      </c>
      <c r="Y285" s="2">
        <v>1.65</v>
      </c>
      <c r="Z285" s="2">
        <v>0</v>
      </c>
      <c r="AA285" s="2">
        <v>0</v>
      </c>
      <c r="AB285" s="2">
        <v>2.0099999999999998</v>
      </c>
      <c r="AC285" s="3" t="str">
        <f t="shared" si="8"/>
        <v>Pair</v>
      </c>
    </row>
    <row r="286" spans="1:29" x14ac:dyDescent="0.25">
      <c r="A286" s="1" t="s">
        <v>646</v>
      </c>
      <c r="B286" s="2" t="s">
        <v>29</v>
      </c>
      <c r="C286" s="2"/>
      <c r="D286" s="2"/>
      <c r="E286" s="2" t="s">
        <v>530</v>
      </c>
      <c r="F286" s="2">
        <v>2</v>
      </c>
      <c r="G286" s="2">
        <v>0.39</v>
      </c>
      <c r="H286" s="2" t="s">
        <v>396</v>
      </c>
      <c r="I286" s="2" t="s">
        <v>53</v>
      </c>
      <c r="J286" s="2" t="s">
        <v>33</v>
      </c>
      <c r="K286" s="2"/>
      <c r="L286" s="2"/>
      <c r="M286" s="2"/>
      <c r="N286" s="2"/>
      <c r="O286" s="2" t="s">
        <v>34</v>
      </c>
      <c r="P286" s="2"/>
      <c r="Q286" s="2"/>
      <c r="R286" s="2">
        <v>2300</v>
      </c>
      <c r="S286" s="2">
        <v>897</v>
      </c>
      <c r="T286" s="13" t="str">
        <f t="shared" si="9"/>
        <v>CADILKS328</v>
      </c>
      <c r="U286" s="2" t="s">
        <v>647</v>
      </c>
      <c r="V286" s="2"/>
      <c r="W286" s="2">
        <v>6.4</v>
      </c>
      <c r="X286" s="2">
        <v>3.68</v>
      </c>
      <c r="Y286" s="2">
        <v>1.37</v>
      </c>
      <c r="Z286" s="2">
        <v>0</v>
      </c>
      <c r="AA286" s="2">
        <v>0</v>
      </c>
      <c r="AB286" s="2">
        <v>1.74</v>
      </c>
      <c r="AC286" s="3" t="str">
        <f t="shared" si="8"/>
        <v>Pair</v>
      </c>
    </row>
    <row r="287" spans="1:29" x14ac:dyDescent="0.25">
      <c r="A287" s="1" t="s">
        <v>648</v>
      </c>
      <c r="B287" s="2" t="s">
        <v>29</v>
      </c>
      <c r="C287" s="2"/>
      <c r="D287" s="2"/>
      <c r="E287" s="2" t="s">
        <v>530</v>
      </c>
      <c r="F287" s="2">
        <v>2</v>
      </c>
      <c r="G287" s="2">
        <v>0.53</v>
      </c>
      <c r="H287" s="2" t="s">
        <v>43</v>
      </c>
      <c r="I287" s="2" t="s">
        <v>57</v>
      </c>
      <c r="J287" s="2" t="s">
        <v>33</v>
      </c>
      <c r="K287" s="2"/>
      <c r="L287" s="2"/>
      <c r="M287" s="2"/>
      <c r="N287" s="2"/>
      <c r="O287" s="2"/>
      <c r="P287" s="2"/>
      <c r="Q287" s="2"/>
      <c r="R287" s="2">
        <v>2900</v>
      </c>
      <c r="S287" s="2">
        <v>1537</v>
      </c>
      <c r="T287" s="13" t="str">
        <f t="shared" si="9"/>
        <v>CADILKS327</v>
      </c>
      <c r="U287" s="2" t="s">
        <v>649</v>
      </c>
      <c r="V287" s="2"/>
      <c r="W287" s="2">
        <v>7.87</v>
      </c>
      <c r="X287" s="2">
        <v>4</v>
      </c>
      <c r="Y287" s="2">
        <v>1.35</v>
      </c>
      <c r="Z287" s="2">
        <v>0</v>
      </c>
      <c r="AA287" s="2">
        <v>0</v>
      </c>
      <c r="AB287" s="2">
        <v>1.97</v>
      </c>
      <c r="AC287" s="3" t="str">
        <f t="shared" si="8"/>
        <v>Pair</v>
      </c>
    </row>
    <row r="288" spans="1:29" x14ac:dyDescent="0.25">
      <c r="A288" s="1" t="s">
        <v>650</v>
      </c>
      <c r="B288" s="2" t="s">
        <v>29</v>
      </c>
      <c r="C288" s="2"/>
      <c r="D288" s="2"/>
      <c r="E288" s="2" t="s">
        <v>530</v>
      </c>
      <c r="F288" s="2">
        <v>2</v>
      </c>
      <c r="G288" s="2">
        <v>1.06</v>
      </c>
      <c r="H288" s="2" t="s">
        <v>396</v>
      </c>
      <c r="I288" s="2" t="s">
        <v>53</v>
      </c>
      <c r="J288" s="2" t="s">
        <v>397</v>
      </c>
      <c r="K288" s="2"/>
      <c r="L288" s="2"/>
      <c r="M288" s="2"/>
      <c r="N288" s="2"/>
      <c r="O288" s="2" t="s">
        <v>34</v>
      </c>
      <c r="P288" s="2"/>
      <c r="Q288" s="2"/>
      <c r="R288" s="2">
        <v>5000</v>
      </c>
      <c r="S288" s="2">
        <v>5300</v>
      </c>
      <c r="T288" s="13" t="str">
        <f t="shared" si="9"/>
        <v>CADILKS329</v>
      </c>
      <c r="U288" s="2" t="s">
        <v>651</v>
      </c>
      <c r="V288" s="2"/>
      <c r="W288" s="2">
        <v>4.6900000000000004</v>
      </c>
      <c r="X288" s="2">
        <v>11.48</v>
      </c>
      <c r="Y288" s="2">
        <v>1.56</v>
      </c>
      <c r="Z288" s="2">
        <v>0</v>
      </c>
      <c r="AA288" s="2">
        <v>0</v>
      </c>
      <c r="AB288" s="2">
        <v>0.41</v>
      </c>
      <c r="AC288" s="3" t="str">
        <f t="shared" si="8"/>
        <v>Pair</v>
      </c>
    </row>
    <row r="289" spans="1:29" x14ac:dyDescent="0.25">
      <c r="A289" s="1" t="s">
        <v>652</v>
      </c>
      <c r="B289" s="2" t="s">
        <v>29</v>
      </c>
      <c r="C289" s="2"/>
      <c r="D289" s="2"/>
      <c r="E289" s="2" t="s">
        <v>530</v>
      </c>
      <c r="F289" s="2">
        <v>2</v>
      </c>
      <c r="G289" s="2">
        <v>0.68</v>
      </c>
      <c r="H289" s="2" t="s">
        <v>38</v>
      </c>
      <c r="I289" s="2" t="s">
        <v>57</v>
      </c>
      <c r="J289" s="2" t="s">
        <v>397</v>
      </c>
      <c r="K289" s="2"/>
      <c r="L289" s="2"/>
      <c r="M289" s="2"/>
      <c r="N289" s="2"/>
      <c r="O289" s="2" t="s">
        <v>34</v>
      </c>
      <c r="P289" s="2"/>
      <c r="Q289" s="2"/>
      <c r="R289" s="2">
        <v>3100</v>
      </c>
      <c r="S289" s="2">
        <v>2108</v>
      </c>
      <c r="T289" s="13" t="str">
        <f t="shared" si="9"/>
        <v>CADILKS330</v>
      </c>
      <c r="U289" s="2" t="s">
        <v>653</v>
      </c>
      <c r="V289" s="2"/>
      <c r="W289" s="2">
        <v>4.3899999999999997</v>
      </c>
      <c r="X289" s="2">
        <v>7.62</v>
      </c>
      <c r="Y289" s="2">
        <v>1.59</v>
      </c>
      <c r="Z289" s="2">
        <v>0</v>
      </c>
      <c r="AA289" s="2">
        <v>0</v>
      </c>
      <c r="AB289" s="2">
        <v>0.57999999999999996</v>
      </c>
      <c r="AC289" s="3" t="str">
        <f t="shared" si="8"/>
        <v>Pair</v>
      </c>
    </row>
    <row r="290" spans="1:29" x14ac:dyDescent="0.25">
      <c r="A290" s="1" t="s">
        <v>654</v>
      </c>
      <c r="B290" s="2" t="s">
        <v>29</v>
      </c>
      <c r="C290" s="2"/>
      <c r="D290" s="2"/>
      <c r="E290" s="2" t="s">
        <v>530</v>
      </c>
      <c r="F290" s="2">
        <v>2</v>
      </c>
      <c r="G290" s="2">
        <v>1.62</v>
      </c>
      <c r="H290" s="2" t="s">
        <v>43</v>
      </c>
      <c r="I290" s="2" t="s">
        <v>57</v>
      </c>
      <c r="J290" s="2" t="s">
        <v>397</v>
      </c>
      <c r="K290" s="2"/>
      <c r="L290" s="2"/>
      <c r="M290" s="2"/>
      <c r="N290" s="2"/>
      <c r="O290" s="2"/>
      <c r="P290" s="2"/>
      <c r="Q290" s="2"/>
      <c r="R290" s="2">
        <v>5700</v>
      </c>
      <c r="S290" s="2">
        <v>9234</v>
      </c>
      <c r="T290" s="13" t="str">
        <f t="shared" si="9"/>
        <v>CADILKS331</v>
      </c>
      <c r="U290" s="2" t="s">
        <v>655</v>
      </c>
      <c r="V290" s="2"/>
      <c r="W290" s="2">
        <v>5.63</v>
      </c>
      <c r="X290" s="2">
        <v>10.07</v>
      </c>
      <c r="Y290" s="2">
        <v>2.33</v>
      </c>
      <c r="Z290" s="2">
        <v>0</v>
      </c>
      <c r="AA290" s="2">
        <v>0</v>
      </c>
      <c r="AB290" s="2">
        <v>0.56000000000000005</v>
      </c>
      <c r="AC290" s="3" t="str">
        <f t="shared" si="8"/>
        <v>Pair</v>
      </c>
    </row>
    <row r="291" spans="1:29" x14ac:dyDescent="0.25">
      <c r="A291" s="1" t="s">
        <v>656</v>
      </c>
      <c r="B291" s="2" t="s">
        <v>29</v>
      </c>
      <c r="C291" s="2"/>
      <c r="D291" s="2"/>
      <c r="E291" s="2" t="s">
        <v>530</v>
      </c>
      <c r="F291" s="2">
        <v>2</v>
      </c>
      <c r="G291" s="2">
        <v>0.36</v>
      </c>
      <c r="H291" s="2" t="s">
        <v>396</v>
      </c>
      <c r="I291" s="2" t="s">
        <v>57</v>
      </c>
      <c r="J291" s="2" t="s">
        <v>33</v>
      </c>
      <c r="K291" s="2"/>
      <c r="L291" s="2"/>
      <c r="M291" s="2"/>
      <c r="N291" s="2"/>
      <c r="O291" s="2" t="s">
        <v>34</v>
      </c>
      <c r="P291" s="2"/>
      <c r="Q291" s="2"/>
      <c r="R291" s="2">
        <v>2400</v>
      </c>
      <c r="S291" s="2">
        <v>864</v>
      </c>
      <c r="T291" s="13" t="str">
        <f t="shared" si="9"/>
        <v>CADILKS332</v>
      </c>
      <c r="U291" s="2" t="s">
        <v>657</v>
      </c>
      <c r="V291" s="2"/>
      <c r="W291" s="2">
        <v>6.73</v>
      </c>
      <c r="X291" s="2">
        <v>3.5</v>
      </c>
      <c r="Y291" s="2">
        <v>1.4</v>
      </c>
      <c r="Z291" s="2">
        <v>0</v>
      </c>
      <c r="AA291" s="2">
        <v>0</v>
      </c>
      <c r="AB291" s="2">
        <v>1.92</v>
      </c>
      <c r="AC291" s="3" t="str">
        <f t="shared" si="8"/>
        <v>Pair</v>
      </c>
    </row>
    <row r="292" spans="1:29" x14ac:dyDescent="0.25">
      <c r="A292" s="1" t="s">
        <v>658</v>
      </c>
      <c r="B292" s="2" t="s">
        <v>29</v>
      </c>
      <c r="C292" s="2"/>
      <c r="D292" s="2"/>
      <c r="E292" s="2" t="s">
        <v>659</v>
      </c>
      <c r="F292" s="2">
        <v>1</v>
      </c>
      <c r="G292" s="2">
        <v>1.17</v>
      </c>
      <c r="H292" s="2" t="s">
        <v>108</v>
      </c>
      <c r="I292" s="2" t="s">
        <v>39</v>
      </c>
      <c r="J292" s="2" t="s">
        <v>69</v>
      </c>
      <c r="K292" s="2"/>
      <c r="L292" s="2" t="s">
        <v>450</v>
      </c>
      <c r="M292" s="2" t="s">
        <v>43</v>
      </c>
      <c r="N292" s="2" t="s">
        <v>421</v>
      </c>
      <c r="O292" s="2" t="s">
        <v>70</v>
      </c>
      <c r="P292" s="2"/>
      <c r="Q292" s="2">
        <v>6331267356</v>
      </c>
      <c r="R292" s="2">
        <v>3500</v>
      </c>
      <c r="S292" s="2">
        <v>4095</v>
      </c>
      <c r="T292" s="13" t="str">
        <f t="shared" si="9"/>
        <v>PLT233</v>
      </c>
      <c r="U292" s="2" t="s">
        <v>660</v>
      </c>
      <c r="V292" s="2"/>
      <c r="W292" s="2">
        <v>9.98</v>
      </c>
      <c r="X292" s="2">
        <v>5.91</v>
      </c>
      <c r="Y292" s="2">
        <v>2.72</v>
      </c>
      <c r="Z292" s="2">
        <v>46</v>
      </c>
      <c r="AA292" s="2">
        <v>74</v>
      </c>
      <c r="AB292" s="2">
        <v>1.69</v>
      </c>
      <c r="AC292" s="3" t="str">
        <f t="shared" si="8"/>
        <v>Loose</v>
      </c>
    </row>
    <row r="293" spans="1:29" x14ac:dyDescent="0.25">
      <c r="A293" s="1" t="s">
        <v>661</v>
      </c>
      <c r="B293" s="2" t="s">
        <v>29</v>
      </c>
      <c r="C293" s="2"/>
      <c r="D293" s="2"/>
      <c r="E293" s="2" t="s">
        <v>659</v>
      </c>
      <c r="F293" s="2">
        <v>1</v>
      </c>
      <c r="G293" s="2">
        <v>0.99</v>
      </c>
      <c r="H293" s="2" t="s">
        <v>108</v>
      </c>
      <c r="I293" s="2" t="s">
        <v>53</v>
      </c>
      <c r="J293" s="2" t="s">
        <v>69</v>
      </c>
      <c r="K293" s="2"/>
      <c r="L293" s="2" t="s">
        <v>450</v>
      </c>
      <c r="M293" s="2" t="s">
        <v>450</v>
      </c>
      <c r="N293" s="2" t="s">
        <v>421</v>
      </c>
      <c r="O293" s="2" t="s">
        <v>70</v>
      </c>
      <c r="P293" s="2"/>
      <c r="Q293" s="2">
        <v>2334268699</v>
      </c>
      <c r="R293" s="2">
        <v>3100</v>
      </c>
      <c r="S293" s="2">
        <v>3069</v>
      </c>
      <c r="T293" s="13" t="str">
        <f t="shared" si="9"/>
        <v>PLT775001B</v>
      </c>
      <c r="U293" s="2" t="s">
        <v>662</v>
      </c>
      <c r="V293" s="2"/>
      <c r="W293" s="2">
        <v>11.33</v>
      </c>
      <c r="X293" s="2">
        <v>5.13</v>
      </c>
      <c r="Y293" s="2">
        <v>2.7</v>
      </c>
      <c r="Z293" s="2">
        <v>52.6</v>
      </c>
      <c r="AA293" s="2">
        <v>56</v>
      </c>
      <c r="AB293" s="2">
        <v>2.21</v>
      </c>
      <c r="AC293" s="3" t="str">
        <f t="shared" si="8"/>
        <v>Loose</v>
      </c>
    </row>
    <row r="294" spans="1:29" x14ac:dyDescent="0.25">
      <c r="A294" s="1" t="s">
        <v>663</v>
      </c>
      <c r="B294" s="2" t="s">
        <v>29</v>
      </c>
      <c r="C294" s="2"/>
      <c r="D294" s="2"/>
      <c r="E294" s="2" t="s">
        <v>659</v>
      </c>
      <c r="F294" s="2">
        <v>1</v>
      </c>
      <c r="G294" s="2">
        <v>1.1499999999999999</v>
      </c>
      <c r="H294" s="2" t="s">
        <v>76</v>
      </c>
      <c r="I294" s="2" t="s">
        <v>53</v>
      </c>
      <c r="J294" s="2" t="s">
        <v>33</v>
      </c>
      <c r="K294" s="2"/>
      <c r="L294" s="2" t="s">
        <v>450</v>
      </c>
      <c r="M294" s="2" t="s">
        <v>43</v>
      </c>
      <c r="N294" s="2" t="s">
        <v>421</v>
      </c>
      <c r="O294" s="2" t="s">
        <v>34</v>
      </c>
      <c r="P294" s="2"/>
      <c r="Q294" s="2">
        <v>6332267514</v>
      </c>
      <c r="R294" s="2">
        <v>3500</v>
      </c>
      <c r="S294" s="2">
        <v>4025</v>
      </c>
      <c r="T294" s="13" t="str">
        <f t="shared" si="9"/>
        <v>LEEAAAAA</v>
      </c>
      <c r="U294" s="2" t="s">
        <v>664</v>
      </c>
      <c r="V294" s="2"/>
      <c r="W294" s="2">
        <v>5.24</v>
      </c>
      <c r="X294" s="2">
        <v>10.36</v>
      </c>
      <c r="Y294" s="2">
        <v>2.88</v>
      </c>
      <c r="Z294" s="2">
        <v>27.8</v>
      </c>
      <c r="AA294" s="2">
        <v>72</v>
      </c>
      <c r="AB294" s="2">
        <v>0.51</v>
      </c>
      <c r="AC294" s="3" t="str">
        <f t="shared" si="8"/>
        <v>Loose</v>
      </c>
    </row>
    <row r="295" spans="1:29" x14ac:dyDescent="0.25">
      <c r="A295" s="1" t="s">
        <v>665</v>
      </c>
      <c r="B295" s="2" t="s">
        <v>29</v>
      </c>
      <c r="C295" s="2"/>
      <c r="D295" s="2"/>
      <c r="E295" s="2" t="s">
        <v>666</v>
      </c>
      <c r="F295" s="2">
        <v>1</v>
      </c>
      <c r="G295" s="2">
        <v>0.12</v>
      </c>
      <c r="H295" s="2" t="s">
        <v>43</v>
      </c>
      <c r="I295" s="2" t="s">
        <v>57</v>
      </c>
      <c r="J295" s="2" t="s">
        <v>33</v>
      </c>
      <c r="K295" s="2"/>
      <c r="L295" s="2"/>
      <c r="M295" s="2"/>
      <c r="N295" s="2"/>
      <c r="O295" s="2" t="s">
        <v>34</v>
      </c>
      <c r="P295" s="2"/>
      <c r="Q295" s="2"/>
      <c r="R295" s="2">
        <v>2200</v>
      </c>
      <c r="S295" s="2">
        <v>264</v>
      </c>
      <c r="T295" s="13" t="str">
        <f t="shared" si="9"/>
        <v>PLT164903A</v>
      </c>
      <c r="U295" s="2" t="s">
        <v>667</v>
      </c>
      <c r="V295" s="2"/>
      <c r="W295" s="2">
        <v>3.51</v>
      </c>
      <c r="X295" s="2">
        <v>4.0599999999999996</v>
      </c>
      <c r="Y295" s="2">
        <v>1.3</v>
      </c>
      <c r="Z295" s="2">
        <v>0</v>
      </c>
      <c r="AA295" s="2">
        <v>0</v>
      </c>
      <c r="AB295" s="2">
        <v>0.86</v>
      </c>
      <c r="AC295" s="3" t="str">
        <f t="shared" si="8"/>
        <v>Loose</v>
      </c>
    </row>
    <row r="296" spans="1:29" x14ac:dyDescent="0.25">
      <c r="A296" s="1" t="s">
        <v>668</v>
      </c>
      <c r="B296" s="2" t="s">
        <v>37</v>
      </c>
      <c r="C296" s="2"/>
      <c r="D296" s="2"/>
      <c r="E296" s="2" t="s">
        <v>669</v>
      </c>
      <c r="F296" s="2">
        <v>2</v>
      </c>
      <c r="G296" s="2">
        <v>0.87</v>
      </c>
      <c r="H296" s="2" t="s">
        <v>67</v>
      </c>
      <c r="I296" s="2" t="s">
        <v>53</v>
      </c>
      <c r="J296" s="2" t="s">
        <v>69</v>
      </c>
      <c r="K296" s="2"/>
      <c r="L296" s="2"/>
      <c r="M296" s="2"/>
      <c r="N296" s="2"/>
      <c r="O296" s="2" t="s">
        <v>40</v>
      </c>
      <c r="P296" s="2"/>
      <c r="Q296" s="2"/>
      <c r="R296" s="2">
        <v>1600</v>
      </c>
      <c r="S296" s="2">
        <v>1392</v>
      </c>
      <c r="T296" s="13" t="str">
        <f t="shared" si="9"/>
        <v>HMFNC05C</v>
      </c>
      <c r="U296" s="2" t="s">
        <v>670</v>
      </c>
      <c r="V296" s="2"/>
      <c r="W296" s="2">
        <v>3.67</v>
      </c>
      <c r="X296" s="2">
        <v>6.48</v>
      </c>
      <c r="Y296" s="2">
        <v>2.69</v>
      </c>
      <c r="Z296" s="2">
        <v>0</v>
      </c>
      <c r="AA296" s="2">
        <v>0</v>
      </c>
      <c r="AB296" s="2">
        <v>0.56999999999999995</v>
      </c>
      <c r="AC296" s="3" t="str">
        <f t="shared" si="8"/>
        <v>Pair</v>
      </c>
    </row>
    <row r="297" spans="1:29" x14ac:dyDescent="0.25">
      <c r="A297" s="1" t="s">
        <v>671</v>
      </c>
      <c r="B297" s="2" t="s">
        <v>37</v>
      </c>
      <c r="C297" s="2"/>
      <c r="D297" s="2"/>
      <c r="E297" s="2" t="s">
        <v>669</v>
      </c>
      <c r="F297" s="2">
        <v>2</v>
      </c>
      <c r="G297" s="2">
        <v>0.73</v>
      </c>
      <c r="H297" s="2" t="s">
        <v>67</v>
      </c>
      <c r="I297" s="2" t="s">
        <v>53</v>
      </c>
      <c r="J297" s="2" t="s">
        <v>69</v>
      </c>
      <c r="K297" s="2"/>
      <c r="L297" s="2"/>
      <c r="M297" s="2"/>
      <c r="N297" s="2"/>
      <c r="O297" s="2" t="s">
        <v>34</v>
      </c>
      <c r="P297" s="2"/>
      <c r="Q297" s="2"/>
      <c r="R297" s="2">
        <v>1700</v>
      </c>
      <c r="S297" s="2">
        <v>1241</v>
      </c>
      <c r="T297" s="13" t="str">
        <f t="shared" si="9"/>
        <v>HMON749</v>
      </c>
      <c r="U297" s="2" t="s">
        <v>672</v>
      </c>
      <c r="V297" s="2"/>
      <c r="W297" s="2">
        <v>2.35</v>
      </c>
      <c r="X297" s="2">
        <v>5.97</v>
      </c>
      <c r="Y297" s="2">
        <v>2.35</v>
      </c>
      <c r="Z297" s="2">
        <v>0</v>
      </c>
      <c r="AA297" s="2">
        <v>0</v>
      </c>
      <c r="AB297" s="2">
        <v>0.39</v>
      </c>
      <c r="AC297" s="3" t="str">
        <f t="shared" si="8"/>
        <v>Pair</v>
      </c>
    </row>
    <row r="298" spans="1:29" x14ac:dyDescent="0.25">
      <c r="A298" s="1" t="s">
        <v>673</v>
      </c>
      <c r="B298" s="2" t="s">
        <v>37</v>
      </c>
      <c r="C298" s="2"/>
      <c r="D298" s="2"/>
      <c r="E298" s="2" t="s">
        <v>669</v>
      </c>
      <c r="F298" s="2">
        <v>2</v>
      </c>
      <c r="G298" s="2">
        <v>0.74</v>
      </c>
      <c r="H298" s="2" t="s">
        <v>108</v>
      </c>
      <c r="I298" s="2" t="s">
        <v>53</v>
      </c>
      <c r="J298" s="2" t="s">
        <v>69</v>
      </c>
      <c r="K298" s="2"/>
      <c r="L298" s="2"/>
      <c r="M298" s="2"/>
      <c r="N298" s="2"/>
      <c r="O298" s="2"/>
      <c r="P298" s="2"/>
      <c r="Q298" s="2"/>
      <c r="R298" s="2">
        <v>1500</v>
      </c>
      <c r="S298" s="2">
        <v>1110</v>
      </c>
      <c r="T298" s="13" t="str">
        <f t="shared" si="9"/>
        <v>HMON756</v>
      </c>
      <c r="U298" s="2" t="s">
        <v>674</v>
      </c>
      <c r="V298" s="2"/>
      <c r="W298" s="2">
        <v>3.6</v>
      </c>
      <c r="X298" s="2">
        <v>5.49</v>
      </c>
      <c r="Y298" s="2">
        <v>2.68</v>
      </c>
      <c r="Z298" s="2">
        <v>0</v>
      </c>
      <c r="AA298" s="2">
        <v>0</v>
      </c>
      <c r="AB298" s="2">
        <v>0.66</v>
      </c>
      <c r="AC298" s="3" t="str">
        <f t="shared" si="8"/>
        <v>Pair</v>
      </c>
    </row>
    <row r="299" spans="1:29" x14ac:dyDescent="0.25">
      <c r="A299" s="1" t="s">
        <v>675</v>
      </c>
      <c r="B299" s="2" t="s">
        <v>29</v>
      </c>
      <c r="C299" s="2"/>
      <c r="D299" s="2"/>
      <c r="E299" s="2" t="s">
        <v>669</v>
      </c>
      <c r="F299" s="2">
        <v>1</v>
      </c>
      <c r="G299" s="2">
        <v>0.32</v>
      </c>
      <c r="H299" s="2" t="s">
        <v>108</v>
      </c>
      <c r="I299" s="2" t="s">
        <v>50</v>
      </c>
      <c r="J299" s="2" t="s">
        <v>69</v>
      </c>
      <c r="K299" s="2"/>
      <c r="L299" s="2"/>
      <c r="M299" s="2"/>
      <c r="N299" s="2"/>
      <c r="O299" s="2" t="s">
        <v>34</v>
      </c>
      <c r="P299" s="2"/>
      <c r="Q299" s="2"/>
      <c r="R299" s="2">
        <v>734</v>
      </c>
      <c r="S299" s="2">
        <v>234.88</v>
      </c>
      <c r="T299" s="13" t="str">
        <f t="shared" si="9"/>
        <v>MTH5029</v>
      </c>
      <c r="U299" s="2" t="s">
        <v>676</v>
      </c>
      <c r="V299" s="2"/>
      <c r="W299" s="2">
        <v>5.96</v>
      </c>
      <c r="X299" s="2">
        <v>3.34</v>
      </c>
      <c r="Y299" s="2">
        <v>2.2400000000000002</v>
      </c>
      <c r="Z299" s="2">
        <v>0</v>
      </c>
      <c r="AA299" s="2">
        <v>0</v>
      </c>
      <c r="AB299" s="2">
        <v>1.78</v>
      </c>
      <c r="AC299" s="3" t="str">
        <f t="shared" si="8"/>
        <v>Loose</v>
      </c>
    </row>
    <row r="300" spans="1:29" x14ac:dyDescent="0.25">
      <c r="A300" s="1" t="s">
        <v>677</v>
      </c>
      <c r="B300" s="2" t="s">
        <v>37</v>
      </c>
      <c r="C300" s="2"/>
      <c r="D300" s="2"/>
      <c r="E300" s="2" t="s">
        <v>669</v>
      </c>
      <c r="F300" s="2">
        <v>1</v>
      </c>
      <c r="G300" s="2">
        <v>0.34</v>
      </c>
      <c r="H300" s="2" t="s">
        <v>38</v>
      </c>
      <c r="I300" s="2" t="s">
        <v>105</v>
      </c>
      <c r="J300" s="2" t="s">
        <v>69</v>
      </c>
      <c r="K300" s="2"/>
      <c r="L300" s="2"/>
      <c r="M300" s="2"/>
      <c r="N300" s="2"/>
      <c r="O300" s="2" t="s">
        <v>34</v>
      </c>
      <c r="P300" s="2"/>
      <c r="Q300" s="2"/>
      <c r="R300" s="2">
        <v>800</v>
      </c>
      <c r="S300" s="2">
        <v>272</v>
      </c>
      <c r="T300" s="13" t="str">
        <f t="shared" si="9"/>
        <v>MTH5199AA</v>
      </c>
      <c r="U300" s="2" t="s">
        <v>678</v>
      </c>
      <c r="V300" s="2"/>
      <c r="W300" s="2">
        <v>6.09</v>
      </c>
      <c r="X300" s="2">
        <v>3.9</v>
      </c>
      <c r="Y300" s="2">
        <v>2.02</v>
      </c>
      <c r="Z300" s="2">
        <v>0</v>
      </c>
      <c r="AA300" s="2">
        <v>0</v>
      </c>
      <c r="AB300" s="2">
        <v>1.56</v>
      </c>
      <c r="AC300" s="3" t="str">
        <f t="shared" si="8"/>
        <v>Loose</v>
      </c>
    </row>
    <row r="301" spans="1:29" x14ac:dyDescent="0.25">
      <c r="A301" s="1" t="s">
        <v>679</v>
      </c>
      <c r="B301" s="2" t="s">
        <v>29</v>
      </c>
      <c r="C301" s="2"/>
      <c r="D301" s="2"/>
      <c r="E301" s="2" t="s">
        <v>669</v>
      </c>
      <c r="F301" s="2">
        <v>1</v>
      </c>
      <c r="G301" s="2">
        <v>0.31</v>
      </c>
      <c r="H301" s="2" t="s">
        <v>73</v>
      </c>
      <c r="I301" s="2" t="s">
        <v>32</v>
      </c>
      <c r="J301" s="2" t="s">
        <v>33</v>
      </c>
      <c r="K301" s="2"/>
      <c r="L301" s="2"/>
      <c r="M301" s="2"/>
      <c r="N301" s="2"/>
      <c r="O301" s="2" t="s">
        <v>34</v>
      </c>
      <c r="P301" s="2"/>
      <c r="Q301" s="2"/>
      <c r="R301" s="2">
        <v>855</v>
      </c>
      <c r="S301" s="2">
        <v>265.05</v>
      </c>
      <c r="T301" s="13" t="str">
        <f t="shared" si="9"/>
        <v>MTH2005</v>
      </c>
      <c r="U301" s="2" t="s">
        <v>680</v>
      </c>
      <c r="V301" s="2"/>
      <c r="W301" s="2">
        <v>5.91</v>
      </c>
      <c r="X301" s="2">
        <v>3.24</v>
      </c>
      <c r="Y301" s="2">
        <v>2.36</v>
      </c>
      <c r="Z301" s="2">
        <v>0</v>
      </c>
      <c r="AA301" s="2">
        <v>0</v>
      </c>
      <c r="AB301" s="2">
        <v>1.82</v>
      </c>
      <c r="AC301" s="3" t="str">
        <f t="shared" si="8"/>
        <v>Loose</v>
      </c>
    </row>
    <row r="302" spans="1:29" x14ac:dyDescent="0.25">
      <c r="A302" s="1" t="s">
        <v>681</v>
      </c>
      <c r="B302" s="2" t="s">
        <v>29</v>
      </c>
      <c r="C302" s="2"/>
      <c r="D302" s="2"/>
      <c r="E302" s="2" t="s">
        <v>669</v>
      </c>
      <c r="F302" s="2">
        <v>2</v>
      </c>
      <c r="G302" s="2">
        <v>0.36</v>
      </c>
      <c r="H302" s="2" t="s">
        <v>38</v>
      </c>
      <c r="I302" s="2" t="s">
        <v>68</v>
      </c>
      <c r="J302" s="2" t="s">
        <v>33</v>
      </c>
      <c r="K302" s="2"/>
      <c r="L302" s="2"/>
      <c r="M302" s="2"/>
      <c r="N302" s="2"/>
      <c r="O302" s="2" t="s">
        <v>34</v>
      </c>
      <c r="P302" s="2"/>
      <c r="Q302" s="2"/>
      <c r="R302" s="2">
        <v>1200</v>
      </c>
      <c r="S302" s="2">
        <v>432</v>
      </c>
      <c r="T302" s="13" t="str">
        <f t="shared" si="9"/>
        <v>HMOND002</v>
      </c>
      <c r="U302" s="2" t="s">
        <v>682</v>
      </c>
      <c r="V302" s="2"/>
      <c r="W302" s="2">
        <v>2.95</v>
      </c>
      <c r="X302" s="2">
        <v>3.67</v>
      </c>
      <c r="Y302" s="2">
        <v>2.13</v>
      </c>
      <c r="Z302" s="2">
        <v>0</v>
      </c>
      <c r="AA302" s="2">
        <v>0</v>
      </c>
      <c r="AB302" s="2">
        <v>0.8</v>
      </c>
      <c r="AC302" s="3" t="str">
        <f t="shared" si="8"/>
        <v>Pair</v>
      </c>
    </row>
    <row r="303" spans="1:29" x14ac:dyDescent="0.25">
      <c r="A303" s="1" t="s">
        <v>683</v>
      </c>
      <c r="B303" s="2" t="s">
        <v>37</v>
      </c>
      <c r="C303" s="2"/>
      <c r="D303" s="2"/>
      <c r="E303" s="2" t="s">
        <v>669</v>
      </c>
      <c r="F303" s="2">
        <v>1</v>
      </c>
      <c r="G303" s="2">
        <v>0.1</v>
      </c>
      <c r="H303" s="2" t="s">
        <v>43</v>
      </c>
      <c r="I303" s="2" t="s">
        <v>151</v>
      </c>
      <c r="J303" s="2" t="s">
        <v>69</v>
      </c>
      <c r="K303" s="2"/>
      <c r="L303" s="2"/>
      <c r="M303" s="2"/>
      <c r="N303" s="2"/>
      <c r="O303" s="2" t="s">
        <v>34</v>
      </c>
      <c r="P303" s="2"/>
      <c r="Q303" s="2"/>
      <c r="R303" s="2">
        <v>700</v>
      </c>
      <c r="S303" s="2">
        <v>70</v>
      </c>
      <c r="T303" s="13" t="str">
        <f t="shared" si="9"/>
        <v>ADKD102B</v>
      </c>
      <c r="U303" s="2" t="s">
        <v>684</v>
      </c>
      <c r="V303" s="2"/>
      <c r="W303" s="2">
        <v>4.54</v>
      </c>
      <c r="X303" s="2">
        <v>2.3199999999999998</v>
      </c>
      <c r="Y303" s="2">
        <v>1.22</v>
      </c>
      <c r="Z303" s="2">
        <v>0</v>
      </c>
      <c r="AA303" s="2">
        <v>0</v>
      </c>
      <c r="AB303" s="2">
        <v>1.96</v>
      </c>
      <c r="AC303" s="3" t="str">
        <f t="shared" si="8"/>
        <v>Loose</v>
      </c>
    </row>
    <row r="304" spans="1:29" x14ac:dyDescent="0.25">
      <c r="A304" s="1" t="s">
        <v>685</v>
      </c>
      <c r="B304" s="2" t="s">
        <v>37</v>
      </c>
      <c r="C304" s="2"/>
      <c r="D304" s="2"/>
      <c r="E304" s="2" t="s">
        <v>669</v>
      </c>
      <c r="F304" s="2">
        <v>2</v>
      </c>
      <c r="G304" s="2">
        <v>0.59</v>
      </c>
      <c r="H304" s="2" t="s">
        <v>31</v>
      </c>
      <c r="I304" s="2" t="s">
        <v>686</v>
      </c>
      <c r="J304" s="2" t="s">
        <v>69</v>
      </c>
      <c r="K304" s="2"/>
      <c r="L304" s="2"/>
      <c r="M304" s="2"/>
      <c r="N304" s="2"/>
      <c r="O304" s="2" t="s">
        <v>34</v>
      </c>
      <c r="P304" s="2"/>
      <c r="Q304" s="2"/>
      <c r="R304" s="2">
        <v>1200</v>
      </c>
      <c r="S304" s="2">
        <v>708</v>
      </c>
      <c r="T304" s="13" t="str">
        <f t="shared" si="9"/>
        <v>HMON2188N</v>
      </c>
      <c r="U304" s="2" t="s">
        <v>687</v>
      </c>
      <c r="V304" s="2"/>
      <c r="W304" s="2">
        <v>5.95</v>
      </c>
      <c r="X304" s="2">
        <v>3.35</v>
      </c>
      <c r="Y304" s="2">
        <v>2.34</v>
      </c>
      <c r="Z304" s="2">
        <v>0</v>
      </c>
      <c r="AA304" s="2">
        <v>0</v>
      </c>
      <c r="AB304" s="2">
        <v>1.78</v>
      </c>
      <c r="AC304" s="3" t="str">
        <f t="shared" si="8"/>
        <v>Pair</v>
      </c>
    </row>
    <row r="305" spans="1:29" x14ac:dyDescent="0.25">
      <c r="A305" s="1" t="s">
        <v>688</v>
      </c>
      <c r="B305" s="2" t="s">
        <v>29</v>
      </c>
      <c r="C305" s="2"/>
      <c r="D305" s="2"/>
      <c r="E305" s="2" t="s">
        <v>669</v>
      </c>
      <c r="F305" s="2">
        <v>2</v>
      </c>
      <c r="G305" s="2">
        <v>0.2</v>
      </c>
      <c r="H305" s="2" t="s">
        <v>137</v>
      </c>
      <c r="I305" s="2" t="s">
        <v>50</v>
      </c>
      <c r="J305" s="2" t="s">
        <v>33</v>
      </c>
      <c r="K305" s="2"/>
      <c r="L305" s="2"/>
      <c r="M305" s="2"/>
      <c r="N305" s="2"/>
      <c r="O305" s="2" t="s">
        <v>34</v>
      </c>
      <c r="P305" s="2"/>
      <c r="Q305" s="2"/>
      <c r="R305" s="2">
        <v>1300</v>
      </c>
      <c r="S305" s="2">
        <v>260</v>
      </c>
      <c r="T305" s="13" t="str">
        <f t="shared" si="9"/>
        <v>HMOND001</v>
      </c>
      <c r="U305" s="2" t="s">
        <v>689</v>
      </c>
      <c r="V305" s="2"/>
      <c r="W305" s="2">
        <v>2.89</v>
      </c>
      <c r="X305" s="2">
        <v>3.58</v>
      </c>
      <c r="Y305" s="2">
        <v>1.76</v>
      </c>
      <c r="Z305" s="2">
        <v>0</v>
      </c>
      <c r="AA305" s="2">
        <v>0</v>
      </c>
      <c r="AB305" s="2">
        <v>0.81</v>
      </c>
      <c r="AC305" s="3" t="str">
        <f t="shared" si="8"/>
        <v>Pair</v>
      </c>
    </row>
    <row r="306" spans="1:29" x14ac:dyDescent="0.25">
      <c r="A306" s="1" t="s">
        <v>690</v>
      </c>
      <c r="B306" s="2" t="s">
        <v>37</v>
      </c>
      <c r="C306" s="2"/>
      <c r="D306" s="2"/>
      <c r="E306" s="2" t="s">
        <v>669</v>
      </c>
      <c r="F306" s="2">
        <v>2</v>
      </c>
      <c r="G306" s="2">
        <v>0.46</v>
      </c>
      <c r="H306" s="2" t="s">
        <v>396</v>
      </c>
      <c r="I306" s="2" t="s">
        <v>610</v>
      </c>
      <c r="J306" s="2" t="s">
        <v>69</v>
      </c>
      <c r="K306" s="2"/>
      <c r="L306" s="2"/>
      <c r="M306" s="2"/>
      <c r="N306" s="2"/>
      <c r="O306" s="2" t="s">
        <v>34</v>
      </c>
      <c r="P306" s="2"/>
      <c r="Q306" s="2"/>
      <c r="R306" s="2">
        <v>1100</v>
      </c>
      <c r="S306" s="2">
        <v>506</v>
      </c>
      <c r="T306" s="13" t="str">
        <f t="shared" si="9"/>
        <v>HMON2352</v>
      </c>
      <c r="U306" s="2" t="s">
        <v>691</v>
      </c>
      <c r="V306" s="2"/>
      <c r="W306" s="2">
        <v>5.73</v>
      </c>
      <c r="X306" s="2">
        <v>3.56</v>
      </c>
      <c r="Y306" s="2">
        <v>1.77</v>
      </c>
      <c r="Z306" s="2">
        <v>0</v>
      </c>
      <c r="AA306" s="2">
        <v>0</v>
      </c>
      <c r="AB306" s="2">
        <v>1.61</v>
      </c>
      <c r="AC306" s="3" t="str">
        <f t="shared" si="8"/>
        <v>Pair</v>
      </c>
    </row>
    <row r="307" spans="1:29" x14ac:dyDescent="0.25">
      <c r="A307" s="1" t="s">
        <v>692</v>
      </c>
      <c r="B307" s="2" t="s">
        <v>37</v>
      </c>
      <c r="C307" s="2"/>
      <c r="D307" s="2"/>
      <c r="E307" s="2" t="s">
        <v>669</v>
      </c>
      <c r="F307" s="2">
        <v>2</v>
      </c>
      <c r="G307" s="2">
        <v>0.42</v>
      </c>
      <c r="H307" s="2" t="s">
        <v>38</v>
      </c>
      <c r="I307" s="2" t="s">
        <v>57</v>
      </c>
      <c r="J307" s="2" t="s">
        <v>33</v>
      </c>
      <c r="K307" s="2"/>
      <c r="L307" s="2"/>
      <c r="M307" s="2"/>
      <c r="N307" s="2"/>
      <c r="O307" s="2" t="s">
        <v>34</v>
      </c>
      <c r="P307" s="2"/>
      <c r="Q307" s="2"/>
      <c r="R307" s="2">
        <v>2100</v>
      </c>
      <c r="S307" s="2">
        <v>882</v>
      </c>
      <c r="T307" s="13" t="str">
        <f t="shared" si="9"/>
        <v>HMONS394</v>
      </c>
      <c r="U307" s="2" t="s">
        <v>693</v>
      </c>
      <c r="V307" s="2"/>
      <c r="W307" s="2">
        <v>5.19</v>
      </c>
      <c r="X307" s="2">
        <v>3.19</v>
      </c>
      <c r="Y307" s="2">
        <v>1.81</v>
      </c>
      <c r="Z307" s="2">
        <v>0</v>
      </c>
      <c r="AA307" s="2">
        <v>0</v>
      </c>
      <c r="AB307" s="2">
        <v>1.63</v>
      </c>
      <c r="AC307" s="3" t="str">
        <f t="shared" si="8"/>
        <v>Pair</v>
      </c>
    </row>
    <row r="308" spans="1:29" x14ac:dyDescent="0.25">
      <c r="A308" s="1" t="s">
        <v>694</v>
      </c>
      <c r="B308" s="2" t="s">
        <v>37</v>
      </c>
      <c r="C308" s="2"/>
      <c r="D308" s="2"/>
      <c r="E308" s="2" t="s">
        <v>669</v>
      </c>
      <c r="F308" s="2">
        <v>2</v>
      </c>
      <c r="G308" s="2">
        <v>0.56000000000000005</v>
      </c>
      <c r="H308" s="2" t="s">
        <v>76</v>
      </c>
      <c r="I308" s="2" t="s">
        <v>105</v>
      </c>
      <c r="J308" s="2" t="s">
        <v>33</v>
      </c>
      <c r="K308" s="2"/>
      <c r="L308" s="2"/>
      <c r="M308" s="2"/>
      <c r="N308" s="2"/>
      <c r="O308" s="2" t="s">
        <v>61</v>
      </c>
      <c r="P308" s="2"/>
      <c r="Q308" s="2"/>
      <c r="R308" s="2">
        <v>1300</v>
      </c>
      <c r="S308" s="2">
        <v>728</v>
      </c>
      <c r="T308" s="13" t="str">
        <f t="shared" si="9"/>
        <v>HMON2452</v>
      </c>
      <c r="U308" s="2" t="s">
        <v>695</v>
      </c>
      <c r="V308" s="2"/>
      <c r="W308" s="2">
        <v>5.76</v>
      </c>
      <c r="X308" s="2">
        <v>3.66</v>
      </c>
      <c r="Y308" s="2">
        <v>2.0299999999999998</v>
      </c>
      <c r="Z308" s="2">
        <v>0</v>
      </c>
      <c r="AA308" s="2">
        <v>0</v>
      </c>
      <c r="AB308" s="2">
        <v>1.57</v>
      </c>
      <c r="AC308" s="3" t="str">
        <f t="shared" si="8"/>
        <v>Pair</v>
      </c>
    </row>
    <row r="309" spans="1:29" x14ac:dyDescent="0.25">
      <c r="A309" s="1" t="s">
        <v>696</v>
      </c>
      <c r="B309" s="2" t="s">
        <v>37</v>
      </c>
      <c r="C309" s="2"/>
      <c r="D309" s="2"/>
      <c r="E309" s="2" t="s">
        <v>669</v>
      </c>
      <c r="F309" s="2">
        <v>2</v>
      </c>
      <c r="G309" s="2">
        <v>1.05</v>
      </c>
      <c r="H309" s="2" t="s">
        <v>31</v>
      </c>
      <c r="I309" s="2" t="s">
        <v>57</v>
      </c>
      <c r="J309" s="2" t="s">
        <v>33</v>
      </c>
      <c r="K309" s="2"/>
      <c r="L309" s="2"/>
      <c r="M309" s="2"/>
      <c r="N309" s="2"/>
      <c r="O309" s="2" t="s">
        <v>61</v>
      </c>
      <c r="P309" s="2"/>
      <c r="Q309" s="2"/>
      <c r="R309" s="2">
        <v>2300</v>
      </c>
      <c r="S309" s="2">
        <v>2415</v>
      </c>
      <c r="T309" s="13" t="str">
        <f t="shared" si="9"/>
        <v>HMON2498</v>
      </c>
      <c r="U309" s="2" t="s">
        <v>697</v>
      </c>
      <c r="V309" s="2"/>
      <c r="W309" s="2">
        <v>6.36</v>
      </c>
      <c r="X309" s="2">
        <v>4.07</v>
      </c>
      <c r="Y309" s="2">
        <v>2.72</v>
      </c>
      <c r="Z309" s="2">
        <v>0</v>
      </c>
      <c r="AA309" s="2">
        <v>0</v>
      </c>
      <c r="AB309" s="2">
        <v>1.56</v>
      </c>
      <c r="AC309" s="3" t="str">
        <f t="shared" si="8"/>
        <v>Pair</v>
      </c>
    </row>
    <row r="310" spans="1:29" x14ac:dyDescent="0.25">
      <c r="A310" s="1" t="s">
        <v>698</v>
      </c>
      <c r="B310" s="2" t="s">
        <v>37</v>
      </c>
      <c r="C310" s="2"/>
      <c r="D310" s="2"/>
      <c r="E310" s="2" t="s">
        <v>669</v>
      </c>
      <c r="F310" s="2">
        <v>2</v>
      </c>
      <c r="G310" s="2">
        <v>0.81</v>
      </c>
      <c r="H310" s="2" t="s">
        <v>396</v>
      </c>
      <c r="I310" s="2" t="s">
        <v>50</v>
      </c>
      <c r="J310" s="2" t="s">
        <v>33</v>
      </c>
      <c r="K310" s="2"/>
      <c r="L310" s="2"/>
      <c r="M310" s="2"/>
      <c r="N310" s="2"/>
      <c r="O310" s="2" t="s">
        <v>61</v>
      </c>
      <c r="P310" s="2"/>
      <c r="Q310" s="2"/>
      <c r="R310" s="2">
        <v>2200</v>
      </c>
      <c r="S310" s="2">
        <v>1782</v>
      </c>
      <c r="T310" s="13" t="str">
        <f t="shared" si="9"/>
        <v>HMON2501</v>
      </c>
      <c r="U310" s="2" t="s">
        <v>699</v>
      </c>
      <c r="V310" s="2"/>
      <c r="W310" s="2">
        <v>6.4</v>
      </c>
      <c r="X310" s="2">
        <v>4.12</v>
      </c>
      <c r="Y310" s="2">
        <v>2.27</v>
      </c>
      <c r="Z310" s="2">
        <v>0</v>
      </c>
      <c r="AA310" s="2">
        <v>0</v>
      </c>
      <c r="AB310" s="2">
        <v>1.55</v>
      </c>
      <c r="AC310" s="3" t="str">
        <f t="shared" si="8"/>
        <v>Pair</v>
      </c>
    </row>
    <row r="311" spans="1:29" x14ac:dyDescent="0.25">
      <c r="A311" s="1" t="s">
        <v>700</v>
      </c>
      <c r="B311" s="2" t="s">
        <v>37</v>
      </c>
      <c r="C311" s="2"/>
      <c r="D311" s="2"/>
      <c r="E311" s="2" t="s">
        <v>669</v>
      </c>
      <c r="F311" s="2">
        <v>2</v>
      </c>
      <c r="G311" s="2">
        <v>0.4</v>
      </c>
      <c r="H311" s="2" t="s">
        <v>31</v>
      </c>
      <c r="I311" s="2" t="s">
        <v>32</v>
      </c>
      <c r="J311" s="2" t="s">
        <v>33</v>
      </c>
      <c r="K311" s="2"/>
      <c r="L311" s="2"/>
      <c r="M311" s="2"/>
      <c r="N311" s="2"/>
      <c r="O311" s="2" t="s">
        <v>61</v>
      </c>
      <c r="P311" s="2"/>
      <c r="Q311" s="2"/>
      <c r="R311" s="2">
        <v>1300</v>
      </c>
      <c r="S311" s="2">
        <v>520</v>
      </c>
      <c r="T311" s="13" t="str">
        <f t="shared" si="9"/>
        <v>HMON2504</v>
      </c>
      <c r="U311" s="2" t="s">
        <v>701</v>
      </c>
      <c r="V311" s="2"/>
      <c r="W311" s="2">
        <v>4.72</v>
      </c>
      <c r="X311" s="2">
        <v>3.1</v>
      </c>
      <c r="Y311" s="2">
        <v>1.89</v>
      </c>
      <c r="Z311" s="2">
        <v>0</v>
      </c>
      <c r="AA311" s="2">
        <v>0</v>
      </c>
      <c r="AB311" s="2">
        <v>1.52</v>
      </c>
      <c r="AC311" s="3" t="str">
        <f t="shared" si="8"/>
        <v>Pair</v>
      </c>
    </row>
    <row r="312" spans="1:29" x14ac:dyDescent="0.25">
      <c r="A312" s="1" t="s">
        <v>702</v>
      </c>
      <c r="B312" s="2" t="s">
        <v>29</v>
      </c>
      <c r="C312" s="2"/>
      <c r="D312" s="2"/>
      <c r="E312" s="2" t="s">
        <v>669</v>
      </c>
      <c r="F312" s="2">
        <v>2</v>
      </c>
      <c r="G312" s="2">
        <v>0.36</v>
      </c>
      <c r="H312" s="2"/>
      <c r="I312" s="2" t="s">
        <v>175</v>
      </c>
      <c r="J312" s="2" t="s">
        <v>69</v>
      </c>
      <c r="K312" s="2"/>
      <c r="L312" s="2"/>
      <c r="M312" s="2"/>
      <c r="N312" s="2"/>
      <c r="O312" s="2" t="s">
        <v>34</v>
      </c>
      <c r="P312" s="2"/>
      <c r="Q312" s="2"/>
      <c r="R312" s="2">
        <v>1100</v>
      </c>
      <c r="S312" s="2">
        <v>396</v>
      </c>
      <c r="T312" s="13" t="str">
        <f t="shared" si="9"/>
        <v>HMON2531</v>
      </c>
      <c r="U312" s="2" t="s">
        <v>703</v>
      </c>
      <c r="V312" s="2"/>
      <c r="W312" s="2">
        <v>5.28</v>
      </c>
      <c r="X312" s="2">
        <v>3.12</v>
      </c>
      <c r="Y312" s="2">
        <v>1.56</v>
      </c>
      <c r="Z312" s="2">
        <v>0</v>
      </c>
      <c r="AA312" s="2">
        <v>0</v>
      </c>
      <c r="AB312" s="2">
        <v>1.69</v>
      </c>
      <c r="AC312" s="3" t="str">
        <f t="shared" si="8"/>
        <v>Pair</v>
      </c>
    </row>
    <row r="313" spans="1:29" x14ac:dyDescent="0.25">
      <c r="A313" s="1" t="s">
        <v>704</v>
      </c>
      <c r="B313" s="2" t="s">
        <v>29</v>
      </c>
      <c r="C313" s="2"/>
      <c r="D313" s="2"/>
      <c r="E313" s="2" t="s">
        <v>669</v>
      </c>
      <c r="F313" s="2">
        <v>1</v>
      </c>
      <c r="G313" s="2">
        <v>0.77</v>
      </c>
      <c r="H313" s="2" t="s">
        <v>76</v>
      </c>
      <c r="I313" s="2" t="s">
        <v>57</v>
      </c>
      <c r="J313" s="2" t="s">
        <v>33</v>
      </c>
      <c r="K313" s="2"/>
      <c r="L313" s="2" t="s">
        <v>450</v>
      </c>
      <c r="M313" s="2" t="s">
        <v>450</v>
      </c>
      <c r="N313" s="2" t="s">
        <v>421</v>
      </c>
      <c r="O313" s="2" t="s">
        <v>34</v>
      </c>
      <c r="P313" s="2"/>
      <c r="Q313" s="2">
        <v>1359362702</v>
      </c>
      <c r="R313" s="2">
        <v>3200</v>
      </c>
      <c r="S313" s="2">
        <v>2464</v>
      </c>
      <c r="T313" s="13" t="str">
        <f t="shared" si="9"/>
        <v>BRTO208AA</v>
      </c>
      <c r="U313" s="2" t="s">
        <v>705</v>
      </c>
      <c r="V313" s="2"/>
      <c r="W313" s="2">
        <v>4.57</v>
      </c>
      <c r="X313" s="2">
        <v>7.43</v>
      </c>
      <c r="Y313" s="2">
        <v>3.28</v>
      </c>
      <c r="Z313" s="2">
        <v>44.1</v>
      </c>
      <c r="AA313" s="2">
        <v>35</v>
      </c>
      <c r="AB313" s="2">
        <v>0.62</v>
      </c>
      <c r="AC313" s="3" t="str">
        <f t="shared" si="8"/>
        <v>Loose</v>
      </c>
    </row>
    <row r="314" spans="1:29" x14ac:dyDescent="0.25">
      <c r="A314" s="1" t="s">
        <v>706</v>
      </c>
      <c r="B314" s="2" t="s">
        <v>37</v>
      </c>
      <c r="C314" s="2"/>
      <c r="D314" s="2"/>
      <c r="E314" s="2" t="s">
        <v>669</v>
      </c>
      <c r="F314" s="2">
        <v>2</v>
      </c>
      <c r="G314" s="2">
        <v>0.98</v>
      </c>
      <c r="H314" s="2" t="s">
        <v>43</v>
      </c>
      <c r="I314" s="2" t="s">
        <v>166</v>
      </c>
      <c r="J314" s="2" t="s">
        <v>69</v>
      </c>
      <c r="K314" s="2"/>
      <c r="L314" s="2"/>
      <c r="M314" s="2"/>
      <c r="N314" s="2"/>
      <c r="O314" s="2"/>
      <c r="P314" s="2"/>
      <c r="Q314" s="2"/>
      <c r="R314" s="2">
        <v>2000</v>
      </c>
      <c r="S314" s="2">
        <v>1960</v>
      </c>
      <c r="T314" s="13" t="str">
        <f t="shared" si="9"/>
        <v>HMON2552</v>
      </c>
      <c r="U314" s="2" t="s">
        <v>707</v>
      </c>
      <c r="V314" s="2"/>
      <c r="W314" s="2">
        <v>6.61</v>
      </c>
      <c r="X314" s="2">
        <v>4.0199999999999996</v>
      </c>
      <c r="Y314" s="2">
        <v>2.68</v>
      </c>
      <c r="Z314" s="2">
        <v>0</v>
      </c>
      <c r="AA314" s="2">
        <v>0</v>
      </c>
      <c r="AB314" s="2">
        <v>1.64</v>
      </c>
      <c r="AC314" s="3" t="str">
        <f t="shared" si="8"/>
        <v>Pair</v>
      </c>
    </row>
    <row r="315" spans="1:29" x14ac:dyDescent="0.25">
      <c r="A315" s="1" t="s">
        <v>708</v>
      </c>
      <c r="B315" s="2" t="s">
        <v>37</v>
      </c>
      <c r="C315" s="2"/>
      <c r="D315" s="2"/>
      <c r="E315" s="2" t="s">
        <v>669</v>
      </c>
      <c r="F315" s="2">
        <v>2</v>
      </c>
      <c r="G315" s="2">
        <v>0.88</v>
      </c>
      <c r="H315" s="2" t="s">
        <v>137</v>
      </c>
      <c r="I315" s="2" t="s">
        <v>57</v>
      </c>
      <c r="J315" s="2" t="s">
        <v>33</v>
      </c>
      <c r="K315" s="2"/>
      <c r="L315" s="2"/>
      <c r="M315" s="2"/>
      <c r="N315" s="2"/>
      <c r="O315" s="2" t="s">
        <v>34</v>
      </c>
      <c r="P315" s="2"/>
      <c r="Q315" s="2"/>
      <c r="R315" s="2">
        <v>3000</v>
      </c>
      <c r="S315" s="2">
        <v>2640</v>
      </c>
      <c r="T315" s="13" t="str">
        <f t="shared" si="9"/>
        <v>HMON2564</v>
      </c>
      <c r="U315" s="2" t="s">
        <v>709</v>
      </c>
      <c r="V315" s="2"/>
      <c r="W315" s="2">
        <v>6.45</v>
      </c>
      <c r="X315" s="2">
        <v>4.03</v>
      </c>
      <c r="Y315" s="2">
        <v>2.5</v>
      </c>
      <c r="Z315" s="2">
        <v>0</v>
      </c>
      <c r="AA315" s="2">
        <v>0</v>
      </c>
      <c r="AB315" s="2">
        <v>1.6</v>
      </c>
      <c r="AC315" s="3" t="str">
        <f t="shared" si="8"/>
        <v>Pair</v>
      </c>
    </row>
    <row r="316" spans="1:29" x14ac:dyDescent="0.25">
      <c r="A316" s="1" t="s">
        <v>710</v>
      </c>
      <c r="B316" s="2" t="s">
        <v>29</v>
      </c>
      <c r="C316" s="2"/>
      <c r="D316" s="2"/>
      <c r="E316" s="2" t="s">
        <v>669</v>
      </c>
      <c r="F316" s="2">
        <v>1</v>
      </c>
      <c r="G316" s="2">
        <v>0.26</v>
      </c>
      <c r="H316" s="2" t="s">
        <v>67</v>
      </c>
      <c r="I316" s="2" t="s">
        <v>57</v>
      </c>
      <c r="J316" s="2" t="s">
        <v>69</v>
      </c>
      <c r="K316" s="2"/>
      <c r="L316" s="2"/>
      <c r="M316" s="2"/>
      <c r="N316" s="2"/>
      <c r="O316" s="2" t="s">
        <v>34</v>
      </c>
      <c r="P316" s="2"/>
      <c r="Q316" s="2"/>
      <c r="R316" s="2">
        <v>1056</v>
      </c>
      <c r="S316" s="2">
        <v>274.56</v>
      </c>
      <c r="T316" s="13" t="str">
        <f t="shared" si="9"/>
        <v>ZIBB031AA</v>
      </c>
      <c r="U316" s="2" t="s">
        <v>711</v>
      </c>
      <c r="V316" s="2"/>
      <c r="W316" s="2">
        <v>5.45</v>
      </c>
      <c r="X316" s="2">
        <v>3.34</v>
      </c>
      <c r="Y316" s="2">
        <v>1.96</v>
      </c>
      <c r="Z316" s="2">
        <v>0</v>
      </c>
      <c r="AA316" s="2">
        <v>0</v>
      </c>
      <c r="AB316" s="2">
        <v>1.63</v>
      </c>
      <c r="AC316" s="3" t="str">
        <f t="shared" si="8"/>
        <v>Loose</v>
      </c>
    </row>
    <row r="317" spans="1:29" x14ac:dyDescent="0.25">
      <c r="A317" s="1" t="s">
        <v>712</v>
      </c>
      <c r="B317" s="2" t="s">
        <v>37</v>
      </c>
      <c r="C317" s="2"/>
      <c r="D317" s="2"/>
      <c r="E317" s="2" t="s">
        <v>669</v>
      </c>
      <c r="F317" s="2">
        <v>2</v>
      </c>
      <c r="G317" s="2">
        <v>1.1599999999999999</v>
      </c>
      <c r="H317" s="2" t="s">
        <v>137</v>
      </c>
      <c r="I317" s="2" t="s">
        <v>32</v>
      </c>
      <c r="J317" s="2" t="s">
        <v>33</v>
      </c>
      <c r="K317" s="2"/>
      <c r="L317" s="2"/>
      <c r="M317" s="2"/>
      <c r="N317" s="2"/>
      <c r="O317" s="2"/>
      <c r="P317" s="2"/>
      <c r="Q317" s="2"/>
      <c r="R317" s="2">
        <v>3200</v>
      </c>
      <c r="S317" s="2">
        <v>3712</v>
      </c>
      <c r="T317" s="13" t="str">
        <f t="shared" si="9"/>
        <v>HMON2567</v>
      </c>
      <c r="U317" s="2" t="s">
        <v>713</v>
      </c>
      <c r="V317" s="2"/>
      <c r="W317" s="2">
        <v>6.87</v>
      </c>
      <c r="X317" s="2">
        <v>4.03</v>
      </c>
      <c r="Y317" s="2">
        <v>2.93</v>
      </c>
      <c r="Z317" s="2">
        <v>0</v>
      </c>
      <c r="AA317" s="2">
        <v>0</v>
      </c>
      <c r="AB317" s="2">
        <v>1.7</v>
      </c>
      <c r="AC317" s="3" t="str">
        <f t="shared" si="8"/>
        <v>Pair</v>
      </c>
    </row>
    <row r="318" spans="1:29" x14ac:dyDescent="0.25">
      <c r="A318" s="1" t="s">
        <v>714</v>
      </c>
      <c r="B318" s="2" t="s">
        <v>37</v>
      </c>
      <c r="C318" s="2"/>
      <c r="D318" s="2"/>
      <c r="E318" s="2" t="s">
        <v>669</v>
      </c>
      <c r="F318" s="2">
        <v>2</v>
      </c>
      <c r="G318" s="2">
        <v>1.68</v>
      </c>
      <c r="H318" s="2" t="s">
        <v>31</v>
      </c>
      <c r="I318" s="2" t="s">
        <v>105</v>
      </c>
      <c r="J318" s="2" t="s">
        <v>69</v>
      </c>
      <c r="K318" s="2"/>
      <c r="L318" s="2"/>
      <c r="M318" s="2"/>
      <c r="N318" s="2"/>
      <c r="O318" s="2" t="s">
        <v>34</v>
      </c>
      <c r="P318" s="2"/>
      <c r="Q318" s="2"/>
      <c r="R318" s="2">
        <v>2700</v>
      </c>
      <c r="S318" s="2">
        <v>4536</v>
      </c>
      <c r="T318" s="13" t="str">
        <f t="shared" si="9"/>
        <v>HMON2604</v>
      </c>
      <c r="U318" s="2" t="s">
        <v>715</v>
      </c>
      <c r="V318" s="2"/>
      <c r="W318" s="2">
        <v>7.57</v>
      </c>
      <c r="X318" s="2">
        <v>4.84</v>
      </c>
      <c r="Y318" s="2">
        <v>2.94</v>
      </c>
      <c r="Z318" s="2">
        <v>0</v>
      </c>
      <c r="AA318" s="2">
        <v>0</v>
      </c>
      <c r="AB318" s="2">
        <v>1.56</v>
      </c>
      <c r="AC318" s="3" t="str">
        <f t="shared" si="8"/>
        <v>Pair</v>
      </c>
    </row>
    <row r="319" spans="1:29" x14ac:dyDescent="0.25">
      <c r="A319" s="1" t="s">
        <v>716</v>
      </c>
      <c r="B319" s="2" t="s">
        <v>37</v>
      </c>
      <c r="C319" s="2"/>
      <c r="D319" s="2"/>
      <c r="E319" s="2" t="s">
        <v>669</v>
      </c>
      <c r="F319" s="2">
        <v>2</v>
      </c>
      <c r="G319" s="2">
        <v>0.6</v>
      </c>
      <c r="H319" s="2" t="s">
        <v>38</v>
      </c>
      <c r="I319" s="2" t="s">
        <v>57</v>
      </c>
      <c r="J319" s="2" t="s">
        <v>33</v>
      </c>
      <c r="K319" s="2"/>
      <c r="L319" s="2"/>
      <c r="M319" s="2"/>
      <c r="N319" s="2"/>
      <c r="O319" s="2"/>
      <c r="P319" s="2"/>
      <c r="Q319" s="2"/>
      <c r="R319" s="2">
        <v>2500</v>
      </c>
      <c r="S319" s="2">
        <v>1500</v>
      </c>
      <c r="T319" s="13" t="str">
        <f t="shared" si="9"/>
        <v>HMON2609</v>
      </c>
      <c r="U319" s="2" t="s">
        <v>717</v>
      </c>
      <c r="V319" s="2"/>
      <c r="W319" s="2">
        <v>5.94</v>
      </c>
      <c r="X319" s="2">
        <v>3.38</v>
      </c>
      <c r="Y319" s="2">
        <v>2.04</v>
      </c>
      <c r="Z319" s="2">
        <v>0</v>
      </c>
      <c r="AA319" s="2">
        <v>0</v>
      </c>
      <c r="AB319" s="2">
        <v>1.76</v>
      </c>
      <c r="AC319" s="3" t="str">
        <f t="shared" si="8"/>
        <v>Pair</v>
      </c>
    </row>
    <row r="320" spans="1:29" x14ac:dyDescent="0.25">
      <c r="A320" s="1" t="s">
        <v>718</v>
      </c>
      <c r="B320" s="2" t="s">
        <v>37</v>
      </c>
      <c r="C320" s="2"/>
      <c r="D320" s="2"/>
      <c r="E320" s="2" t="s">
        <v>669</v>
      </c>
      <c r="F320" s="2">
        <v>2</v>
      </c>
      <c r="G320" s="2">
        <v>0.98</v>
      </c>
      <c r="H320" s="2" t="s">
        <v>137</v>
      </c>
      <c r="I320" s="2" t="s">
        <v>50</v>
      </c>
      <c r="J320" s="2" t="s">
        <v>33</v>
      </c>
      <c r="K320" s="2"/>
      <c r="L320" s="2"/>
      <c r="M320" s="2"/>
      <c r="N320" s="2"/>
      <c r="O320" s="2"/>
      <c r="P320" s="2"/>
      <c r="Q320" s="2"/>
      <c r="R320" s="2">
        <v>2300</v>
      </c>
      <c r="S320" s="2">
        <v>2254</v>
      </c>
      <c r="T320" s="13" t="str">
        <f t="shared" si="9"/>
        <v>HMON2610</v>
      </c>
      <c r="U320" s="2" t="s">
        <v>719</v>
      </c>
      <c r="V320" s="2"/>
      <c r="W320" s="2">
        <v>6.29</v>
      </c>
      <c r="X320" s="2">
        <v>4.2699999999999996</v>
      </c>
      <c r="Y320" s="2">
        <v>2.4700000000000002</v>
      </c>
      <c r="Z320" s="2">
        <v>0</v>
      </c>
      <c r="AA320" s="2">
        <v>0</v>
      </c>
      <c r="AB320" s="2">
        <v>1.47</v>
      </c>
      <c r="AC320" s="3" t="str">
        <f t="shared" si="8"/>
        <v>Pair</v>
      </c>
    </row>
    <row r="321" spans="1:29" x14ac:dyDescent="0.25">
      <c r="A321" s="1" t="s">
        <v>720</v>
      </c>
      <c r="B321" s="2" t="s">
        <v>37</v>
      </c>
      <c r="C321" s="2"/>
      <c r="D321" s="2"/>
      <c r="E321" s="2" t="s">
        <v>669</v>
      </c>
      <c r="F321" s="2">
        <v>2</v>
      </c>
      <c r="G321" s="2">
        <v>0.32</v>
      </c>
      <c r="H321" s="2" t="s">
        <v>137</v>
      </c>
      <c r="I321" s="2" t="s">
        <v>57</v>
      </c>
      <c r="J321" s="2" t="s">
        <v>33</v>
      </c>
      <c r="K321" s="2"/>
      <c r="L321" s="2"/>
      <c r="M321" s="2"/>
      <c r="N321" s="2"/>
      <c r="O321" s="2" t="s">
        <v>34</v>
      </c>
      <c r="P321" s="2"/>
      <c r="Q321" s="2"/>
      <c r="R321" s="2">
        <v>1700</v>
      </c>
      <c r="S321" s="2">
        <v>544</v>
      </c>
      <c r="T321" s="13" t="str">
        <f t="shared" si="9"/>
        <v>HMON2612</v>
      </c>
      <c r="U321" s="2" t="s">
        <v>721</v>
      </c>
      <c r="V321" s="2"/>
      <c r="W321" s="2">
        <v>4.63</v>
      </c>
      <c r="X321" s="2">
        <v>2.89</v>
      </c>
      <c r="Y321" s="2">
        <v>1.72</v>
      </c>
      <c r="Z321" s="2">
        <v>0</v>
      </c>
      <c r="AA321" s="2">
        <v>0</v>
      </c>
      <c r="AB321" s="2">
        <v>1.6</v>
      </c>
      <c r="AC321" s="3" t="str">
        <f t="shared" si="8"/>
        <v>Pair</v>
      </c>
    </row>
    <row r="322" spans="1:29" x14ac:dyDescent="0.25">
      <c r="A322" s="1" t="s">
        <v>722</v>
      </c>
      <c r="B322" s="2" t="s">
        <v>37</v>
      </c>
      <c r="C322" s="2"/>
      <c r="D322" s="2"/>
      <c r="E322" s="2" t="s">
        <v>669</v>
      </c>
      <c r="F322" s="2">
        <v>2</v>
      </c>
      <c r="G322" s="2">
        <v>0.43</v>
      </c>
      <c r="H322" s="2" t="s">
        <v>43</v>
      </c>
      <c r="I322" s="2" t="s">
        <v>32</v>
      </c>
      <c r="J322" s="2" t="s">
        <v>33</v>
      </c>
      <c r="K322" s="2"/>
      <c r="L322" s="2"/>
      <c r="M322" s="2"/>
      <c r="N322" s="2"/>
      <c r="O322" s="2" t="s">
        <v>34</v>
      </c>
      <c r="P322" s="2"/>
      <c r="Q322" s="2"/>
      <c r="R322" s="2">
        <v>1700</v>
      </c>
      <c r="S322" s="2">
        <v>731</v>
      </c>
      <c r="T322" s="13" t="str">
        <f t="shared" si="9"/>
        <v>HMON2614</v>
      </c>
      <c r="U322" s="2" t="s">
        <v>723</v>
      </c>
      <c r="V322" s="2"/>
      <c r="W322" s="2">
        <v>5.0599999999999996</v>
      </c>
      <c r="X322" s="2">
        <v>3.06</v>
      </c>
      <c r="Y322" s="2">
        <v>1.96</v>
      </c>
      <c r="Z322" s="2">
        <v>0</v>
      </c>
      <c r="AA322" s="2">
        <v>0</v>
      </c>
      <c r="AB322" s="2">
        <v>1.65</v>
      </c>
      <c r="AC322" s="3" t="str">
        <f t="shared" ref="AC322:AC385" si="10">IF(F322=2,"Pair","Loose")</f>
        <v>Pair</v>
      </c>
    </row>
    <row r="323" spans="1:29" x14ac:dyDescent="0.25">
      <c r="A323" s="1" t="s">
        <v>724</v>
      </c>
      <c r="B323" s="2" t="s">
        <v>37</v>
      </c>
      <c r="C323" s="2"/>
      <c r="D323" s="2"/>
      <c r="E323" s="2" t="s">
        <v>669</v>
      </c>
      <c r="F323" s="2">
        <v>2</v>
      </c>
      <c r="G323" s="2">
        <v>2</v>
      </c>
      <c r="H323" s="2" t="s">
        <v>43</v>
      </c>
      <c r="I323" s="2" t="s">
        <v>50</v>
      </c>
      <c r="J323" s="2" t="s">
        <v>397</v>
      </c>
      <c r="K323" s="2"/>
      <c r="L323" s="2"/>
      <c r="M323" s="2"/>
      <c r="N323" s="2"/>
      <c r="O323" s="2" t="s">
        <v>34</v>
      </c>
      <c r="P323" s="2"/>
      <c r="Q323" s="2"/>
      <c r="R323" s="2">
        <v>5100</v>
      </c>
      <c r="S323" s="2">
        <v>10200</v>
      </c>
      <c r="T323" s="13" t="str">
        <f t="shared" si="9"/>
        <v>HMON2618</v>
      </c>
      <c r="U323" s="2" t="s">
        <v>725</v>
      </c>
      <c r="V323" s="2"/>
      <c r="W323" s="2">
        <v>8.24</v>
      </c>
      <c r="X323" s="2">
        <v>5.35</v>
      </c>
      <c r="Y323" s="2">
        <v>2.92</v>
      </c>
      <c r="Z323" s="2">
        <v>0</v>
      </c>
      <c r="AA323" s="2">
        <v>0</v>
      </c>
      <c r="AB323" s="2">
        <v>1.54</v>
      </c>
      <c r="AC323" s="3" t="str">
        <f t="shared" si="10"/>
        <v>Pair</v>
      </c>
    </row>
    <row r="324" spans="1:29" x14ac:dyDescent="0.25">
      <c r="A324" s="1" t="s">
        <v>726</v>
      </c>
      <c r="B324" s="2" t="s">
        <v>37</v>
      </c>
      <c r="C324" s="2"/>
      <c r="D324" s="2"/>
      <c r="E324" s="2" t="s">
        <v>669</v>
      </c>
      <c r="F324" s="2">
        <v>2</v>
      </c>
      <c r="G324" s="2">
        <v>0.85</v>
      </c>
      <c r="H324" s="2" t="s">
        <v>31</v>
      </c>
      <c r="I324" s="2" t="s">
        <v>57</v>
      </c>
      <c r="J324" s="2" t="s">
        <v>33</v>
      </c>
      <c r="K324" s="2"/>
      <c r="L324" s="2"/>
      <c r="M324" s="2"/>
      <c r="N324" s="2"/>
      <c r="O324" s="2" t="s">
        <v>34</v>
      </c>
      <c r="P324" s="2"/>
      <c r="Q324" s="2"/>
      <c r="R324" s="2">
        <v>2500</v>
      </c>
      <c r="S324" s="2">
        <v>2125</v>
      </c>
      <c r="T324" s="13" t="str">
        <f t="shared" si="9"/>
        <v>HMON2619</v>
      </c>
      <c r="U324" s="2" t="s">
        <v>727</v>
      </c>
      <c r="V324" s="2"/>
      <c r="W324" s="2">
        <v>6.18</v>
      </c>
      <c r="X324" s="2">
        <v>3.81</v>
      </c>
      <c r="Y324" s="2">
        <v>2.46</v>
      </c>
      <c r="Z324" s="2">
        <v>0</v>
      </c>
      <c r="AA324" s="2">
        <v>0</v>
      </c>
      <c r="AB324" s="2">
        <v>1.62</v>
      </c>
      <c r="AC324" s="3" t="str">
        <f t="shared" si="10"/>
        <v>Pair</v>
      </c>
    </row>
    <row r="325" spans="1:29" x14ac:dyDescent="0.25">
      <c r="A325" s="1" t="s">
        <v>728</v>
      </c>
      <c r="B325" s="2" t="s">
        <v>37</v>
      </c>
      <c r="C325" s="2"/>
      <c r="D325" s="2"/>
      <c r="E325" s="2" t="s">
        <v>669</v>
      </c>
      <c r="F325" s="2">
        <v>2</v>
      </c>
      <c r="G325" s="2">
        <v>0.81</v>
      </c>
      <c r="H325" s="2" t="s">
        <v>396</v>
      </c>
      <c r="I325" s="2" t="s">
        <v>39</v>
      </c>
      <c r="J325" s="2" t="s">
        <v>397</v>
      </c>
      <c r="K325" s="2"/>
      <c r="L325" s="2"/>
      <c r="M325" s="2"/>
      <c r="N325" s="2"/>
      <c r="O325" s="2" t="s">
        <v>34</v>
      </c>
      <c r="P325" s="2"/>
      <c r="Q325" s="2"/>
      <c r="R325" s="2">
        <v>3600</v>
      </c>
      <c r="S325" s="2">
        <v>2916</v>
      </c>
      <c r="T325" s="13" t="str">
        <f t="shared" si="9"/>
        <v>HMON2623</v>
      </c>
      <c r="U325" s="2" t="s">
        <v>729</v>
      </c>
      <c r="V325" s="2"/>
      <c r="W325" s="2">
        <v>6.09</v>
      </c>
      <c r="X325" s="2">
        <v>3.73</v>
      </c>
      <c r="Y325" s="2">
        <v>2.42</v>
      </c>
      <c r="Z325" s="2">
        <v>0</v>
      </c>
      <c r="AA325" s="2">
        <v>0</v>
      </c>
      <c r="AB325" s="2">
        <v>1.63</v>
      </c>
      <c r="AC325" s="3" t="str">
        <f t="shared" si="10"/>
        <v>Pair</v>
      </c>
    </row>
    <row r="326" spans="1:29" x14ac:dyDescent="0.25">
      <c r="A326" s="1" t="s">
        <v>730</v>
      </c>
      <c r="B326" s="2" t="s">
        <v>37</v>
      </c>
      <c r="C326" s="2"/>
      <c r="D326" s="2"/>
      <c r="E326" s="2" t="s">
        <v>669</v>
      </c>
      <c r="F326" s="2">
        <v>2</v>
      </c>
      <c r="G326" s="2">
        <v>0.11</v>
      </c>
      <c r="H326" s="2" t="s">
        <v>31</v>
      </c>
      <c r="I326" s="2" t="s">
        <v>32</v>
      </c>
      <c r="J326" s="2" t="s">
        <v>33</v>
      </c>
      <c r="K326" s="2"/>
      <c r="L326" s="2"/>
      <c r="M326" s="2"/>
      <c r="N326" s="2"/>
      <c r="O326" s="2"/>
      <c r="P326" s="2"/>
      <c r="Q326" s="2"/>
      <c r="R326" s="2">
        <v>1000</v>
      </c>
      <c r="S326" s="2">
        <v>110</v>
      </c>
      <c r="T326" s="13" t="str">
        <f t="shared" si="9"/>
        <v>HMON2625</v>
      </c>
      <c r="U326" s="2" t="s">
        <v>731</v>
      </c>
      <c r="V326" s="2"/>
      <c r="W326" s="2">
        <v>3.34</v>
      </c>
      <c r="X326" s="2">
        <v>2.0299999999999998</v>
      </c>
      <c r="Y326" s="2">
        <v>1.18</v>
      </c>
      <c r="Z326" s="2">
        <v>0</v>
      </c>
      <c r="AA326" s="2">
        <v>0</v>
      </c>
      <c r="AB326" s="2">
        <v>1.65</v>
      </c>
      <c r="AC326" s="3" t="str">
        <f t="shared" si="10"/>
        <v>Pair</v>
      </c>
    </row>
    <row r="327" spans="1:29" x14ac:dyDescent="0.25">
      <c r="A327" s="1" t="s">
        <v>732</v>
      </c>
      <c r="B327" s="2" t="s">
        <v>29</v>
      </c>
      <c r="C327" s="2"/>
      <c r="D327" s="2"/>
      <c r="E327" s="2" t="s">
        <v>669</v>
      </c>
      <c r="F327" s="2">
        <v>2</v>
      </c>
      <c r="G327" s="2">
        <v>0.11</v>
      </c>
      <c r="H327" s="2" t="s">
        <v>396</v>
      </c>
      <c r="I327" s="2" t="s">
        <v>32</v>
      </c>
      <c r="J327" s="2" t="s">
        <v>33</v>
      </c>
      <c r="K327" s="2"/>
      <c r="L327" s="2"/>
      <c r="M327" s="2"/>
      <c r="N327" s="2"/>
      <c r="O327" s="2" t="s">
        <v>34</v>
      </c>
      <c r="P327" s="2"/>
      <c r="Q327" s="2"/>
      <c r="R327" s="2">
        <v>1000</v>
      </c>
      <c r="S327" s="2">
        <v>110</v>
      </c>
      <c r="T327" s="13" t="str">
        <f t="shared" ref="T327:T390" si="11">IF(OR(TRIM(A327&amp;"")="",TRIM(A327&amp;"")="0"),"",HYPERLINK("https://gs.gsdiamonds.com/StoneDetails.aspx?name=" &amp; _xlfn.ENCODEURL(TRIM(A327&amp;"")), TRIM(A327&amp;"")))</f>
        <v>HMON2626M</v>
      </c>
      <c r="U327" s="2" t="s">
        <v>733</v>
      </c>
      <c r="V327" s="2"/>
      <c r="W327" s="2">
        <v>4.45</v>
      </c>
      <c r="X327" s="2">
        <v>1.95</v>
      </c>
      <c r="Y327" s="2">
        <v>1.1000000000000001</v>
      </c>
      <c r="Z327" s="2">
        <v>0</v>
      </c>
      <c r="AA327" s="2">
        <v>0</v>
      </c>
      <c r="AB327" s="2">
        <v>2.2799999999999998</v>
      </c>
      <c r="AC327" s="3" t="str">
        <f t="shared" si="10"/>
        <v>Pair</v>
      </c>
    </row>
    <row r="328" spans="1:29" x14ac:dyDescent="0.25">
      <c r="A328" s="1" t="s">
        <v>734</v>
      </c>
      <c r="B328" s="2" t="s">
        <v>37</v>
      </c>
      <c r="C328" s="2"/>
      <c r="D328" s="2"/>
      <c r="E328" s="2" t="s">
        <v>669</v>
      </c>
      <c r="F328" s="2">
        <v>2</v>
      </c>
      <c r="G328" s="2">
        <v>0.22</v>
      </c>
      <c r="H328" s="2" t="s">
        <v>38</v>
      </c>
      <c r="I328" s="2" t="s">
        <v>39</v>
      </c>
      <c r="J328" s="2" t="s">
        <v>33</v>
      </c>
      <c r="K328" s="2"/>
      <c r="L328" s="2"/>
      <c r="M328" s="2"/>
      <c r="N328" s="2"/>
      <c r="O328" s="2"/>
      <c r="P328" s="2"/>
      <c r="Q328" s="2"/>
      <c r="R328" s="2">
        <v>1700</v>
      </c>
      <c r="S328" s="2">
        <v>374</v>
      </c>
      <c r="T328" s="13" t="str">
        <f t="shared" si="11"/>
        <v>HMON2629</v>
      </c>
      <c r="U328" s="2" t="s">
        <v>735</v>
      </c>
      <c r="V328" s="2"/>
      <c r="W328" s="2">
        <v>4.18</v>
      </c>
      <c r="X328" s="2">
        <v>2.69</v>
      </c>
      <c r="Y328" s="2">
        <v>1.56</v>
      </c>
      <c r="Z328" s="2">
        <v>0</v>
      </c>
      <c r="AA328" s="2">
        <v>0</v>
      </c>
      <c r="AB328" s="2">
        <v>1.55</v>
      </c>
      <c r="AC328" s="3" t="str">
        <f t="shared" si="10"/>
        <v>Pair</v>
      </c>
    </row>
    <row r="329" spans="1:29" x14ac:dyDescent="0.25">
      <c r="A329" s="1" t="s">
        <v>736</v>
      </c>
      <c r="B329" s="2" t="s">
        <v>37</v>
      </c>
      <c r="C329" s="2"/>
      <c r="D329" s="2"/>
      <c r="E329" s="2" t="s">
        <v>669</v>
      </c>
      <c r="F329" s="2">
        <v>2</v>
      </c>
      <c r="G329" s="2">
        <v>0.37</v>
      </c>
      <c r="H329" s="2" t="s">
        <v>137</v>
      </c>
      <c r="I329" s="2" t="s">
        <v>166</v>
      </c>
      <c r="J329" s="2" t="s">
        <v>33</v>
      </c>
      <c r="K329" s="2"/>
      <c r="L329" s="2"/>
      <c r="M329" s="2"/>
      <c r="N329" s="2"/>
      <c r="O329" s="2"/>
      <c r="P329" s="2"/>
      <c r="Q329" s="2"/>
      <c r="R329" s="2">
        <v>1400</v>
      </c>
      <c r="S329" s="2">
        <v>518</v>
      </c>
      <c r="T329" s="13" t="str">
        <f t="shared" si="11"/>
        <v>HMON2631C</v>
      </c>
      <c r="U329" s="2" t="s">
        <v>737</v>
      </c>
      <c r="V329" s="2"/>
      <c r="W329" s="2">
        <v>0</v>
      </c>
      <c r="X329" s="2">
        <v>2.98</v>
      </c>
      <c r="Y329" s="2">
        <v>1.97</v>
      </c>
      <c r="Z329" s="2">
        <v>0</v>
      </c>
      <c r="AA329" s="2">
        <v>0</v>
      </c>
      <c r="AB329" s="2">
        <v>0</v>
      </c>
      <c r="AC329" s="3" t="str">
        <f t="shared" si="10"/>
        <v>Pair</v>
      </c>
    </row>
    <row r="330" spans="1:29" x14ac:dyDescent="0.25">
      <c r="A330" s="1" t="s">
        <v>738</v>
      </c>
      <c r="B330" s="2" t="s">
        <v>37</v>
      </c>
      <c r="C330" s="2"/>
      <c r="D330" s="2"/>
      <c r="E330" s="2" t="s">
        <v>669</v>
      </c>
      <c r="F330" s="2">
        <v>2</v>
      </c>
      <c r="G330" s="2">
        <v>0.31</v>
      </c>
      <c r="H330" s="2" t="s">
        <v>38</v>
      </c>
      <c r="I330" s="2" t="s">
        <v>166</v>
      </c>
      <c r="J330" s="2" t="s">
        <v>33</v>
      </c>
      <c r="K330" s="2"/>
      <c r="L330" s="2"/>
      <c r="M330" s="2"/>
      <c r="N330" s="2"/>
      <c r="O330" s="2" t="s">
        <v>34</v>
      </c>
      <c r="P330" s="2"/>
      <c r="Q330" s="2"/>
      <c r="R330" s="2">
        <v>1300</v>
      </c>
      <c r="S330" s="2">
        <v>403</v>
      </c>
      <c r="T330" s="13" t="str">
        <f t="shared" si="11"/>
        <v>HMON2636</v>
      </c>
      <c r="U330" s="2" t="s">
        <v>739</v>
      </c>
      <c r="V330" s="2"/>
      <c r="W330" s="2">
        <v>4.24</v>
      </c>
      <c r="X330" s="2">
        <v>2.83</v>
      </c>
      <c r="Y330" s="2">
        <v>1.73</v>
      </c>
      <c r="Z330" s="2">
        <v>0</v>
      </c>
      <c r="AA330" s="2">
        <v>0</v>
      </c>
      <c r="AB330" s="2">
        <v>1.5</v>
      </c>
      <c r="AC330" s="3" t="str">
        <f t="shared" si="10"/>
        <v>Pair</v>
      </c>
    </row>
    <row r="331" spans="1:29" x14ac:dyDescent="0.25">
      <c r="A331" s="1" t="s">
        <v>740</v>
      </c>
      <c r="B331" s="2" t="s">
        <v>37</v>
      </c>
      <c r="C331" s="2"/>
      <c r="D331" s="2"/>
      <c r="E331" s="2" t="s">
        <v>669</v>
      </c>
      <c r="F331" s="2">
        <v>2</v>
      </c>
      <c r="G331" s="2">
        <v>1.69</v>
      </c>
      <c r="H331" s="2" t="s">
        <v>76</v>
      </c>
      <c r="I331" s="2" t="s">
        <v>32</v>
      </c>
      <c r="J331" s="2" t="s">
        <v>33</v>
      </c>
      <c r="K331" s="2"/>
      <c r="L331" s="2"/>
      <c r="M331" s="2"/>
      <c r="N331" s="2"/>
      <c r="O331" s="2" t="s">
        <v>70</v>
      </c>
      <c r="P331" s="2"/>
      <c r="Q331" s="2"/>
      <c r="R331" s="2">
        <v>3500</v>
      </c>
      <c r="S331" s="2">
        <v>5915</v>
      </c>
      <c r="T331" s="13" t="str">
        <f t="shared" si="11"/>
        <v>HMONS1116</v>
      </c>
      <c r="U331" s="2" t="s">
        <v>741</v>
      </c>
      <c r="V331" s="2"/>
      <c r="W331" s="2">
        <v>5.0999999999999996</v>
      </c>
      <c r="X331" s="2">
        <v>8.06</v>
      </c>
      <c r="Y331" s="2">
        <v>2.83</v>
      </c>
      <c r="Z331" s="2">
        <v>0</v>
      </c>
      <c r="AA331" s="2">
        <v>0</v>
      </c>
      <c r="AB331" s="2">
        <v>0.63</v>
      </c>
      <c r="AC331" s="3" t="str">
        <f t="shared" si="10"/>
        <v>Pair</v>
      </c>
    </row>
    <row r="332" spans="1:29" x14ac:dyDescent="0.25">
      <c r="A332" s="1" t="s">
        <v>742</v>
      </c>
      <c r="B332" s="2" t="s">
        <v>37</v>
      </c>
      <c r="C332" s="2"/>
      <c r="D332" s="2"/>
      <c r="E332" s="2" t="s">
        <v>669</v>
      </c>
      <c r="F332" s="2">
        <v>2</v>
      </c>
      <c r="G332" s="2">
        <v>1.1000000000000001</v>
      </c>
      <c r="H332" s="2" t="s">
        <v>73</v>
      </c>
      <c r="I332" s="2" t="s">
        <v>57</v>
      </c>
      <c r="J332" s="2" t="s">
        <v>33</v>
      </c>
      <c r="K332" s="2"/>
      <c r="L332" s="2"/>
      <c r="M332" s="2"/>
      <c r="N332" s="2"/>
      <c r="O332" s="2" t="s">
        <v>70</v>
      </c>
      <c r="P332" s="2"/>
      <c r="Q332" s="2"/>
      <c r="R332" s="2">
        <v>2100</v>
      </c>
      <c r="S332" s="2">
        <v>2310</v>
      </c>
      <c r="T332" s="13" t="str">
        <f t="shared" si="11"/>
        <v>HMONS402</v>
      </c>
      <c r="U332" s="2" t="s">
        <v>743</v>
      </c>
      <c r="V332" s="2"/>
      <c r="W332" s="2">
        <v>7.51</v>
      </c>
      <c r="X332" s="2">
        <v>4.3499999999999996</v>
      </c>
      <c r="Y332" s="2">
        <v>2.29</v>
      </c>
      <c r="Z332" s="2">
        <v>0</v>
      </c>
      <c r="AA332" s="2">
        <v>0</v>
      </c>
      <c r="AB332" s="2">
        <v>1.73</v>
      </c>
      <c r="AC332" s="3" t="str">
        <f t="shared" si="10"/>
        <v>Pair</v>
      </c>
    </row>
    <row r="333" spans="1:29" x14ac:dyDescent="0.25">
      <c r="A333" s="1" t="s">
        <v>744</v>
      </c>
      <c r="B333" s="2" t="s">
        <v>37</v>
      </c>
      <c r="C333" s="2"/>
      <c r="D333" s="2"/>
      <c r="E333" s="2" t="s">
        <v>669</v>
      </c>
      <c r="F333" s="2">
        <v>2</v>
      </c>
      <c r="G333" s="2">
        <v>0.7</v>
      </c>
      <c r="H333" s="2" t="s">
        <v>38</v>
      </c>
      <c r="I333" s="2" t="s">
        <v>39</v>
      </c>
      <c r="J333" s="2" t="s">
        <v>397</v>
      </c>
      <c r="K333" s="2"/>
      <c r="L333" s="2"/>
      <c r="M333" s="2"/>
      <c r="N333" s="2"/>
      <c r="O333" s="2"/>
      <c r="P333" s="2"/>
      <c r="Q333" s="2"/>
      <c r="R333" s="2">
        <v>3000</v>
      </c>
      <c r="S333" s="2">
        <v>2100</v>
      </c>
      <c r="T333" s="13" t="str">
        <f t="shared" si="11"/>
        <v>HMON2656</v>
      </c>
      <c r="U333" s="2" t="s">
        <v>745</v>
      </c>
      <c r="V333" s="2"/>
      <c r="W333" s="2">
        <v>5.98</v>
      </c>
      <c r="X333" s="2">
        <v>3.71</v>
      </c>
      <c r="Y333" s="2">
        <v>2.19</v>
      </c>
      <c r="Z333" s="2">
        <v>0</v>
      </c>
      <c r="AA333" s="2">
        <v>0</v>
      </c>
      <c r="AB333" s="2">
        <v>1.61</v>
      </c>
      <c r="AC333" s="3" t="str">
        <f t="shared" si="10"/>
        <v>Pair</v>
      </c>
    </row>
    <row r="334" spans="1:29" x14ac:dyDescent="0.25">
      <c r="A334" s="1" t="s">
        <v>746</v>
      </c>
      <c r="B334" s="2" t="s">
        <v>37</v>
      </c>
      <c r="C334" s="2"/>
      <c r="D334" s="2"/>
      <c r="E334" s="2" t="s">
        <v>669</v>
      </c>
      <c r="F334" s="2">
        <v>2</v>
      </c>
      <c r="G334" s="2">
        <v>0.72</v>
      </c>
      <c r="H334" s="2" t="s">
        <v>38</v>
      </c>
      <c r="I334" s="2" t="s">
        <v>57</v>
      </c>
      <c r="J334" s="2" t="s">
        <v>397</v>
      </c>
      <c r="K334" s="2"/>
      <c r="L334" s="2"/>
      <c r="M334" s="2"/>
      <c r="N334" s="2"/>
      <c r="O334" s="2" t="s">
        <v>34</v>
      </c>
      <c r="P334" s="2"/>
      <c r="Q334" s="2"/>
      <c r="R334" s="2">
        <v>2900</v>
      </c>
      <c r="S334" s="2">
        <v>2088</v>
      </c>
      <c r="T334" s="13" t="str">
        <f t="shared" si="11"/>
        <v>HMON2657</v>
      </c>
      <c r="U334" s="2" t="s">
        <v>747</v>
      </c>
      <c r="V334" s="2"/>
      <c r="W334" s="2">
        <v>3.68</v>
      </c>
      <c r="X334" s="2">
        <v>6.31</v>
      </c>
      <c r="Y334" s="2">
        <v>2.27</v>
      </c>
      <c r="Z334" s="2">
        <v>0</v>
      </c>
      <c r="AA334" s="2">
        <v>0</v>
      </c>
      <c r="AB334" s="2">
        <v>0.57999999999999996</v>
      </c>
      <c r="AC334" s="3" t="str">
        <f t="shared" si="10"/>
        <v>Pair</v>
      </c>
    </row>
    <row r="335" spans="1:29" x14ac:dyDescent="0.25">
      <c r="A335" s="1" t="s">
        <v>748</v>
      </c>
      <c r="B335" s="2" t="s">
        <v>37</v>
      </c>
      <c r="C335" s="2"/>
      <c r="D335" s="2"/>
      <c r="E335" s="2" t="s">
        <v>669</v>
      </c>
      <c r="F335" s="2">
        <v>2</v>
      </c>
      <c r="G335" s="2">
        <v>0.73</v>
      </c>
      <c r="H335" s="2" t="s">
        <v>38</v>
      </c>
      <c r="I335" s="2" t="s">
        <v>50</v>
      </c>
      <c r="J335" s="2" t="s">
        <v>33</v>
      </c>
      <c r="K335" s="2"/>
      <c r="L335" s="2"/>
      <c r="M335" s="2"/>
      <c r="N335" s="2"/>
      <c r="O335" s="2" t="s">
        <v>46</v>
      </c>
      <c r="P335" s="2"/>
      <c r="Q335" s="2"/>
      <c r="R335" s="2">
        <v>2100</v>
      </c>
      <c r="S335" s="2">
        <v>1533</v>
      </c>
      <c r="T335" s="13" t="str">
        <f t="shared" si="11"/>
        <v>HMON2660</v>
      </c>
      <c r="U335" s="2" t="s">
        <v>749</v>
      </c>
      <c r="V335" s="2"/>
      <c r="W335" s="2">
        <v>6.01</v>
      </c>
      <c r="X335" s="2">
        <v>3.86</v>
      </c>
      <c r="Y335" s="2">
        <v>2.19</v>
      </c>
      <c r="Z335" s="2">
        <v>0</v>
      </c>
      <c r="AA335" s="2">
        <v>0</v>
      </c>
      <c r="AB335" s="2">
        <v>1.56</v>
      </c>
      <c r="AC335" s="3" t="str">
        <f t="shared" si="10"/>
        <v>Pair</v>
      </c>
    </row>
    <row r="336" spans="1:29" x14ac:dyDescent="0.25">
      <c r="A336" s="1" t="s">
        <v>750</v>
      </c>
      <c r="B336" s="2" t="s">
        <v>37</v>
      </c>
      <c r="C336" s="2"/>
      <c r="D336" s="2"/>
      <c r="E336" s="2" t="s">
        <v>669</v>
      </c>
      <c r="F336" s="2">
        <v>2</v>
      </c>
      <c r="G336" s="2">
        <v>0.92</v>
      </c>
      <c r="H336" s="2" t="s">
        <v>137</v>
      </c>
      <c r="I336" s="2" t="s">
        <v>50</v>
      </c>
      <c r="J336" s="2" t="s">
        <v>33</v>
      </c>
      <c r="K336" s="2"/>
      <c r="L336" s="2"/>
      <c r="M336" s="2"/>
      <c r="N336" s="2"/>
      <c r="O336" s="2"/>
      <c r="P336" s="2"/>
      <c r="Q336" s="2"/>
      <c r="R336" s="2">
        <v>2100</v>
      </c>
      <c r="S336" s="2">
        <v>1932</v>
      </c>
      <c r="T336" s="13" t="str">
        <f t="shared" si="11"/>
        <v>HMON2661Q</v>
      </c>
      <c r="U336" s="2" t="s">
        <v>751</v>
      </c>
      <c r="V336" s="2"/>
      <c r="W336" s="2">
        <v>6.41</v>
      </c>
      <c r="X336" s="2">
        <v>4.13</v>
      </c>
      <c r="Y336" s="2">
        <v>2.29</v>
      </c>
      <c r="Z336" s="2">
        <v>0</v>
      </c>
      <c r="AA336" s="2">
        <v>0</v>
      </c>
      <c r="AB336" s="2">
        <v>1.55</v>
      </c>
      <c r="AC336" s="3" t="str">
        <f t="shared" si="10"/>
        <v>Pair</v>
      </c>
    </row>
    <row r="337" spans="1:29" x14ac:dyDescent="0.25">
      <c r="A337" s="1" t="s">
        <v>752</v>
      </c>
      <c r="B337" s="2" t="s">
        <v>29</v>
      </c>
      <c r="C337" s="2"/>
      <c r="D337" s="2"/>
      <c r="E337" s="2" t="s">
        <v>669</v>
      </c>
      <c r="F337" s="2">
        <v>2</v>
      </c>
      <c r="G337" s="2">
        <v>0.56999999999999995</v>
      </c>
      <c r="H337" s="2" t="s">
        <v>137</v>
      </c>
      <c r="I337" s="2" t="s">
        <v>32</v>
      </c>
      <c r="J337" s="2" t="s">
        <v>33</v>
      </c>
      <c r="K337" s="2"/>
      <c r="L337" s="2"/>
      <c r="M337" s="2"/>
      <c r="N337" s="2"/>
      <c r="O337" s="2"/>
      <c r="P337" s="2"/>
      <c r="Q337" s="2"/>
      <c r="R337" s="2">
        <v>1700</v>
      </c>
      <c r="S337" s="2">
        <v>969</v>
      </c>
      <c r="T337" s="13" t="str">
        <f t="shared" si="11"/>
        <v>HMON2662PE</v>
      </c>
      <c r="U337" s="2" t="s">
        <v>753</v>
      </c>
      <c r="V337" s="2"/>
      <c r="W337" s="2">
        <v>6.53</v>
      </c>
      <c r="X337" s="2">
        <v>2.99</v>
      </c>
      <c r="Y337" s="2">
        <v>2.2200000000000002</v>
      </c>
      <c r="Z337" s="2">
        <v>0</v>
      </c>
      <c r="AA337" s="2">
        <v>0</v>
      </c>
      <c r="AB337" s="2">
        <v>2.1800000000000002</v>
      </c>
      <c r="AC337" s="3" t="str">
        <f t="shared" si="10"/>
        <v>Pair</v>
      </c>
    </row>
    <row r="338" spans="1:29" x14ac:dyDescent="0.25">
      <c r="A338" s="1" t="s">
        <v>754</v>
      </c>
      <c r="B338" s="2" t="s">
        <v>37</v>
      </c>
      <c r="C338" s="2"/>
      <c r="D338" s="2"/>
      <c r="E338" s="2" t="s">
        <v>755</v>
      </c>
      <c r="F338" s="2">
        <v>2</v>
      </c>
      <c r="G338" s="2">
        <v>1.49</v>
      </c>
      <c r="H338" s="2" t="s">
        <v>38</v>
      </c>
      <c r="I338" s="2" t="s">
        <v>105</v>
      </c>
      <c r="J338" s="2" t="s">
        <v>69</v>
      </c>
      <c r="K338" s="2"/>
      <c r="L338" s="2"/>
      <c r="M338" s="2"/>
      <c r="N338" s="2"/>
      <c r="O338" s="2"/>
      <c r="P338" s="2"/>
      <c r="Q338" s="2"/>
      <c r="R338" s="2">
        <v>2800</v>
      </c>
      <c r="S338" s="2">
        <v>4172</v>
      </c>
      <c r="T338" s="13" t="str">
        <f t="shared" si="11"/>
        <v>HMONBG121N</v>
      </c>
      <c r="U338" s="2" t="s">
        <v>756</v>
      </c>
      <c r="V338" s="2"/>
      <c r="W338" s="2">
        <v>7.16</v>
      </c>
      <c r="X338" s="2">
        <v>5.62</v>
      </c>
      <c r="Y338" s="2">
        <v>3.33</v>
      </c>
      <c r="Z338" s="2">
        <v>0</v>
      </c>
      <c r="AA338" s="2">
        <v>0</v>
      </c>
      <c r="AB338" s="2">
        <v>1.27</v>
      </c>
      <c r="AC338" s="3" t="str">
        <f t="shared" si="10"/>
        <v>Pair</v>
      </c>
    </row>
    <row r="339" spans="1:29" x14ac:dyDescent="0.25">
      <c r="A339" s="1" t="s">
        <v>757</v>
      </c>
      <c r="B339" s="2" t="s">
        <v>37</v>
      </c>
      <c r="C339" s="2"/>
      <c r="D339" s="2"/>
      <c r="E339" s="2" t="s">
        <v>758</v>
      </c>
      <c r="F339" s="2">
        <v>1</v>
      </c>
      <c r="G339" s="2">
        <v>1.82</v>
      </c>
      <c r="H339" s="2" t="s">
        <v>396</v>
      </c>
      <c r="I339" s="2" t="s">
        <v>32</v>
      </c>
      <c r="J339" s="2" t="s">
        <v>33</v>
      </c>
      <c r="K339" s="2"/>
      <c r="L339" s="2"/>
      <c r="M339" s="2"/>
      <c r="N339" s="2"/>
      <c r="O339" s="2" t="s">
        <v>34</v>
      </c>
      <c r="P339" s="2"/>
      <c r="Q339" s="2"/>
      <c r="R339" s="2">
        <v>2430</v>
      </c>
      <c r="S339" s="2">
        <v>4422.6000000000004</v>
      </c>
      <c r="T339" s="13" t="str">
        <f t="shared" si="11"/>
        <v>PLT370A</v>
      </c>
      <c r="U339" s="2" t="s">
        <v>759</v>
      </c>
      <c r="V339" s="2"/>
      <c r="W339" s="2">
        <v>7.83</v>
      </c>
      <c r="X339" s="2">
        <v>8.76</v>
      </c>
      <c r="Y339" s="2">
        <v>4.92</v>
      </c>
      <c r="Z339" s="2">
        <v>0</v>
      </c>
      <c r="AA339" s="2">
        <v>0</v>
      </c>
      <c r="AB339" s="2">
        <v>0.89</v>
      </c>
      <c r="AC339" s="3" t="str">
        <f t="shared" si="10"/>
        <v>Loose</v>
      </c>
    </row>
    <row r="340" spans="1:29" x14ac:dyDescent="0.25">
      <c r="A340" s="1" t="s">
        <v>760</v>
      </c>
      <c r="B340" s="2" t="s">
        <v>29</v>
      </c>
      <c r="C340" s="2"/>
      <c r="D340" s="2"/>
      <c r="E340" s="2" t="s">
        <v>761</v>
      </c>
      <c r="F340" s="2">
        <v>1</v>
      </c>
      <c r="G340" s="2">
        <v>0.3</v>
      </c>
      <c r="H340" s="2" t="s">
        <v>43</v>
      </c>
      <c r="I340" s="2" t="s">
        <v>50</v>
      </c>
      <c r="J340" s="2" t="s">
        <v>33</v>
      </c>
      <c r="K340" s="2"/>
      <c r="L340" s="2" t="s">
        <v>43</v>
      </c>
      <c r="M340" s="2" t="s">
        <v>38</v>
      </c>
      <c r="N340" s="2" t="s">
        <v>421</v>
      </c>
      <c r="O340" s="2" t="s">
        <v>34</v>
      </c>
      <c r="P340" s="2"/>
      <c r="Q340" s="2">
        <v>6322714636</v>
      </c>
      <c r="R340" s="2">
        <v>1100</v>
      </c>
      <c r="S340" s="2">
        <v>330</v>
      </c>
      <c r="T340" s="13" t="str">
        <f t="shared" si="11"/>
        <v>HRT032</v>
      </c>
      <c r="U340" s="2" t="s">
        <v>762</v>
      </c>
      <c r="V340" s="2"/>
      <c r="W340" s="2">
        <v>4.6900000000000004</v>
      </c>
      <c r="X340" s="2">
        <v>4.76</v>
      </c>
      <c r="Y340" s="2">
        <v>2.37</v>
      </c>
      <c r="Z340" s="2">
        <v>49.8</v>
      </c>
      <c r="AA340" s="2">
        <v>63</v>
      </c>
      <c r="AB340" s="2">
        <v>0.99</v>
      </c>
      <c r="AC340" s="3" t="str">
        <f t="shared" si="10"/>
        <v>Loose</v>
      </c>
    </row>
    <row r="341" spans="1:29" x14ac:dyDescent="0.25">
      <c r="A341" s="1" t="s">
        <v>763</v>
      </c>
      <c r="B341" s="2" t="s">
        <v>29</v>
      </c>
      <c r="C341" s="2"/>
      <c r="D341" s="2"/>
      <c r="E341" s="2" t="s">
        <v>761</v>
      </c>
      <c r="F341" s="2">
        <v>1</v>
      </c>
      <c r="G341" s="2">
        <v>1</v>
      </c>
      <c r="H341" s="2" t="s">
        <v>396</v>
      </c>
      <c r="I341" s="2" t="s">
        <v>57</v>
      </c>
      <c r="J341" s="2" t="s">
        <v>397</v>
      </c>
      <c r="K341" s="2"/>
      <c r="L341" s="2" t="s">
        <v>450</v>
      </c>
      <c r="M341" s="2" t="s">
        <v>43</v>
      </c>
      <c r="N341" s="2" t="s">
        <v>421</v>
      </c>
      <c r="O341" s="2" t="s">
        <v>34</v>
      </c>
      <c r="P341" s="2"/>
      <c r="Q341" s="2">
        <v>6251789569</v>
      </c>
      <c r="R341" s="2">
        <v>4000</v>
      </c>
      <c r="S341" s="2">
        <v>4000</v>
      </c>
      <c r="T341" s="13" t="str">
        <f t="shared" si="11"/>
        <v>GLDI019</v>
      </c>
      <c r="U341" s="2" t="s">
        <v>764</v>
      </c>
      <c r="V341" s="2"/>
      <c r="W341" s="2">
        <v>6.87</v>
      </c>
      <c r="X341" s="2">
        <v>6.94</v>
      </c>
      <c r="Y341" s="2">
        <v>3.64</v>
      </c>
      <c r="Z341" s="2">
        <v>52.5</v>
      </c>
      <c r="AA341" s="2">
        <v>63</v>
      </c>
      <c r="AB341" s="2">
        <v>0.99</v>
      </c>
      <c r="AC341" s="3" t="str">
        <f t="shared" si="10"/>
        <v>Loose</v>
      </c>
    </row>
    <row r="342" spans="1:29" x14ac:dyDescent="0.25">
      <c r="A342" s="1" t="s">
        <v>765</v>
      </c>
      <c r="B342" s="2" t="s">
        <v>29</v>
      </c>
      <c r="C342" s="2"/>
      <c r="D342" s="2"/>
      <c r="E342" s="2" t="s">
        <v>766</v>
      </c>
      <c r="F342" s="2">
        <v>1</v>
      </c>
      <c r="G342" s="2">
        <v>0.24</v>
      </c>
      <c r="H342" s="2" t="s">
        <v>49</v>
      </c>
      <c r="I342" s="2" t="s">
        <v>39</v>
      </c>
      <c r="J342" s="2" t="s">
        <v>33</v>
      </c>
      <c r="K342" s="2"/>
      <c r="L342" s="2"/>
      <c r="M342" s="2"/>
      <c r="N342" s="2"/>
      <c r="O342" s="2" t="s">
        <v>34</v>
      </c>
      <c r="P342" s="2"/>
      <c r="Q342" s="2"/>
      <c r="R342" s="2">
        <v>1400</v>
      </c>
      <c r="S342" s="2">
        <v>336</v>
      </c>
      <c r="T342" s="13" t="str">
        <f t="shared" si="11"/>
        <v>MTH8064</v>
      </c>
      <c r="U342" s="2" t="s">
        <v>767</v>
      </c>
      <c r="V342" s="2"/>
      <c r="W342" s="2">
        <v>3.22</v>
      </c>
      <c r="X342" s="2">
        <v>4.62</v>
      </c>
      <c r="Y342" s="2">
        <v>2.2000000000000002</v>
      </c>
      <c r="Z342" s="2">
        <v>0</v>
      </c>
      <c r="AA342" s="2">
        <v>0</v>
      </c>
      <c r="AB342" s="2">
        <v>0.7</v>
      </c>
      <c r="AC342" s="3" t="str">
        <f t="shared" si="10"/>
        <v>Loose</v>
      </c>
    </row>
    <row r="343" spans="1:29" x14ac:dyDescent="0.25">
      <c r="A343" s="1" t="s">
        <v>768</v>
      </c>
      <c r="B343" s="2" t="s">
        <v>29</v>
      </c>
      <c r="C343" s="2"/>
      <c r="D343" s="2"/>
      <c r="E343" s="2" t="s">
        <v>766</v>
      </c>
      <c r="F343" s="2">
        <v>1</v>
      </c>
      <c r="G343" s="2">
        <v>0.43</v>
      </c>
      <c r="H343" s="2" t="s">
        <v>49</v>
      </c>
      <c r="I343" s="2" t="s">
        <v>53</v>
      </c>
      <c r="J343" s="2" t="s">
        <v>33</v>
      </c>
      <c r="K343" s="2"/>
      <c r="L343" s="2" t="s">
        <v>450</v>
      </c>
      <c r="M343" s="2" t="s">
        <v>38</v>
      </c>
      <c r="N343" s="2" t="s">
        <v>421</v>
      </c>
      <c r="O343" s="2" t="s">
        <v>70</v>
      </c>
      <c r="P343" s="2"/>
      <c r="Q343" s="2">
        <v>2397089510</v>
      </c>
      <c r="R343" s="2">
        <v>2800</v>
      </c>
      <c r="S343" s="2">
        <v>1204</v>
      </c>
      <c r="T343" s="13" t="str">
        <f t="shared" si="11"/>
        <v>KAYT999</v>
      </c>
      <c r="U343" s="2" t="s">
        <v>769</v>
      </c>
      <c r="V343" s="2"/>
      <c r="W343" s="2">
        <v>8.68</v>
      </c>
      <c r="X343" s="2">
        <v>4.16</v>
      </c>
      <c r="Y343" s="2">
        <v>2.65</v>
      </c>
      <c r="Z343" s="2">
        <v>63.7</v>
      </c>
      <c r="AA343" s="2">
        <v>71</v>
      </c>
      <c r="AB343" s="2">
        <v>2.09</v>
      </c>
      <c r="AC343" s="3" t="str">
        <f t="shared" si="10"/>
        <v>Loose</v>
      </c>
    </row>
    <row r="344" spans="1:29" x14ac:dyDescent="0.25">
      <c r="A344" s="1" t="s">
        <v>770</v>
      </c>
      <c r="B344" s="2" t="s">
        <v>29</v>
      </c>
      <c r="C344" s="2"/>
      <c r="D344" s="2"/>
      <c r="E344" s="2" t="s">
        <v>766</v>
      </c>
      <c r="F344" s="2">
        <v>1</v>
      </c>
      <c r="G344" s="2">
        <v>0.12</v>
      </c>
      <c r="H344" s="2" t="s">
        <v>396</v>
      </c>
      <c r="I344" s="2" t="s">
        <v>53</v>
      </c>
      <c r="J344" s="2" t="s">
        <v>33</v>
      </c>
      <c r="K344" s="2"/>
      <c r="L344" s="2"/>
      <c r="M344" s="2"/>
      <c r="N344" s="2"/>
      <c r="O344" s="2" t="s">
        <v>58</v>
      </c>
      <c r="P344" s="2"/>
      <c r="Q344" s="2"/>
      <c r="R344" s="2">
        <v>1400</v>
      </c>
      <c r="S344" s="2">
        <v>168</v>
      </c>
      <c r="T344" s="13" t="str">
        <f t="shared" si="11"/>
        <v>KAYT288</v>
      </c>
      <c r="U344" s="2" t="s">
        <v>771</v>
      </c>
      <c r="V344" s="2"/>
      <c r="W344" s="2">
        <v>2.81</v>
      </c>
      <c r="X344" s="2">
        <v>5.03</v>
      </c>
      <c r="Y344" s="2">
        <v>1.95</v>
      </c>
      <c r="Z344" s="2">
        <v>0</v>
      </c>
      <c r="AA344" s="2">
        <v>0</v>
      </c>
      <c r="AB344" s="2">
        <v>0.56000000000000005</v>
      </c>
      <c r="AC344" s="3" t="str">
        <f t="shared" si="10"/>
        <v>Loose</v>
      </c>
    </row>
    <row r="345" spans="1:29" x14ac:dyDescent="0.25">
      <c r="A345" s="1" t="s">
        <v>772</v>
      </c>
      <c r="B345" s="2" t="s">
        <v>29</v>
      </c>
      <c r="C345" s="2"/>
      <c r="D345" s="2"/>
      <c r="E345" s="2" t="s">
        <v>766</v>
      </c>
      <c r="F345" s="2">
        <v>2</v>
      </c>
      <c r="G345" s="2">
        <v>1.24</v>
      </c>
      <c r="H345" s="2" t="s">
        <v>49</v>
      </c>
      <c r="I345" s="2" t="s">
        <v>57</v>
      </c>
      <c r="J345" s="2" t="s">
        <v>33</v>
      </c>
      <c r="K345" s="2"/>
      <c r="L345" s="2"/>
      <c r="M345" s="2"/>
      <c r="N345" s="2"/>
      <c r="O345" s="2" t="s">
        <v>34</v>
      </c>
      <c r="P345" s="2"/>
      <c r="Q345" s="2"/>
      <c r="R345" s="2">
        <v>3500</v>
      </c>
      <c r="S345" s="2">
        <v>4340</v>
      </c>
      <c r="T345" s="13" t="str">
        <f t="shared" si="11"/>
        <v>KAYTRS009Q</v>
      </c>
      <c r="U345" s="2" t="s">
        <v>773</v>
      </c>
      <c r="V345" s="2"/>
      <c r="W345" s="2">
        <v>5.83</v>
      </c>
      <c r="X345" s="2">
        <v>8.4</v>
      </c>
      <c r="Y345" s="2">
        <v>2.34</v>
      </c>
      <c r="Z345" s="2">
        <v>0</v>
      </c>
      <c r="AA345" s="2">
        <v>0</v>
      </c>
      <c r="AB345" s="2">
        <v>0.69</v>
      </c>
      <c r="AC345" s="3" t="str">
        <f t="shared" si="10"/>
        <v>Pair</v>
      </c>
    </row>
    <row r="346" spans="1:29" x14ac:dyDescent="0.25">
      <c r="A346" s="1" t="s">
        <v>774</v>
      </c>
      <c r="B346" s="2" t="s">
        <v>37</v>
      </c>
      <c r="C346" s="2"/>
      <c r="D346" s="2"/>
      <c r="E346" s="2" t="s">
        <v>766</v>
      </c>
      <c r="F346" s="2">
        <v>2</v>
      </c>
      <c r="G346" s="2">
        <v>0.87</v>
      </c>
      <c r="H346" s="2" t="s">
        <v>73</v>
      </c>
      <c r="I346" s="2" t="s">
        <v>57</v>
      </c>
      <c r="J346" s="2" t="s">
        <v>33</v>
      </c>
      <c r="K346" s="2"/>
      <c r="L346" s="2"/>
      <c r="M346" s="2"/>
      <c r="N346" s="2"/>
      <c r="O346" s="2"/>
      <c r="P346" s="2"/>
      <c r="Q346" s="2"/>
      <c r="R346" s="2">
        <v>2300</v>
      </c>
      <c r="S346" s="2">
        <v>2001</v>
      </c>
      <c r="T346" s="13" t="str">
        <f t="shared" si="11"/>
        <v>KAYTR014</v>
      </c>
      <c r="U346" s="2" t="s">
        <v>775</v>
      </c>
      <c r="V346" s="2"/>
      <c r="W346" s="2">
        <v>5.25</v>
      </c>
      <c r="X346" s="2">
        <v>7.73</v>
      </c>
      <c r="Y346" s="2">
        <v>2.56</v>
      </c>
      <c r="Z346" s="2">
        <v>0</v>
      </c>
      <c r="AA346" s="2">
        <v>0</v>
      </c>
      <c r="AB346" s="2">
        <v>0.68</v>
      </c>
      <c r="AC346" s="3" t="str">
        <f t="shared" si="10"/>
        <v>Pair</v>
      </c>
    </row>
    <row r="347" spans="1:29" x14ac:dyDescent="0.25">
      <c r="A347" s="1" t="s">
        <v>776</v>
      </c>
      <c r="B347" s="2" t="s">
        <v>37</v>
      </c>
      <c r="C347" s="2"/>
      <c r="D347" s="2"/>
      <c r="E347" s="2" t="s">
        <v>766</v>
      </c>
      <c r="F347" s="2">
        <v>1</v>
      </c>
      <c r="G347" s="2">
        <v>0.28999999999999998</v>
      </c>
      <c r="H347" s="2" t="s">
        <v>49</v>
      </c>
      <c r="I347" s="2" t="s">
        <v>105</v>
      </c>
      <c r="J347" s="2" t="s">
        <v>69</v>
      </c>
      <c r="K347" s="2"/>
      <c r="L347" s="2"/>
      <c r="M347" s="2"/>
      <c r="N347" s="2"/>
      <c r="O347" s="2" t="s">
        <v>34</v>
      </c>
      <c r="P347" s="2"/>
      <c r="Q347" s="2"/>
      <c r="R347" s="2">
        <v>1300</v>
      </c>
      <c r="S347" s="2">
        <v>377</v>
      </c>
      <c r="T347" s="13" t="str">
        <f t="shared" si="11"/>
        <v>PLT54501BA</v>
      </c>
      <c r="U347" s="2" t="s">
        <v>777</v>
      </c>
      <c r="V347" s="2"/>
      <c r="W347" s="2">
        <v>8.2100000000000009</v>
      </c>
      <c r="X347" s="2">
        <v>4.09</v>
      </c>
      <c r="Y347" s="2">
        <v>1.87</v>
      </c>
      <c r="Z347" s="2">
        <v>0</v>
      </c>
      <c r="AA347" s="2">
        <v>0</v>
      </c>
      <c r="AB347" s="2">
        <v>2.0099999999999998</v>
      </c>
      <c r="AC347" s="3" t="str">
        <f t="shared" si="10"/>
        <v>Loose</v>
      </c>
    </row>
    <row r="348" spans="1:29" x14ac:dyDescent="0.25">
      <c r="A348" s="1" t="s">
        <v>778</v>
      </c>
      <c r="B348" s="2" t="s">
        <v>29</v>
      </c>
      <c r="C348" s="2"/>
      <c r="D348" s="2"/>
      <c r="E348" s="2" t="s">
        <v>766</v>
      </c>
      <c r="F348" s="2">
        <v>2</v>
      </c>
      <c r="G348" s="2">
        <v>0.17</v>
      </c>
      <c r="H348" s="2" t="s">
        <v>38</v>
      </c>
      <c r="I348" s="2" t="s">
        <v>39</v>
      </c>
      <c r="J348" s="2" t="s">
        <v>33</v>
      </c>
      <c r="K348" s="2"/>
      <c r="L348" s="2"/>
      <c r="M348" s="2"/>
      <c r="N348" s="2"/>
      <c r="O348" s="2" t="s">
        <v>77</v>
      </c>
      <c r="P348" s="2"/>
      <c r="Q348" s="2"/>
      <c r="R348" s="2">
        <v>1500</v>
      </c>
      <c r="S348" s="2">
        <v>255</v>
      </c>
      <c r="T348" s="13" t="str">
        <f t="shared" si="11"/>
        <v>KAYTR017Q</v>
      </c>
      <c r="U348" s="2" t="s">
        <v>779</v>
      </c>
      <c r="V348" s="2"/>
      <c r="W348" s="2">
        <v>2.82</v>
      </c>
      <c r="X348" s="2">
        <v>3.94</v>
      </c>
      <c r="Y348" s="2">
        <v>1.76</v>
      </c>
      <c r="Z348" s="2">
        <v>0</v>
      </c>
      <c r="AA348" s="2">
        <v>0</v>
      </c>
      <c r="AB348" s="2">
        <v>0.72</v>
      </c>
      <c r="AC348" s="3" t="str">
        <f t="shared" si="10"/>
        <v>Pair</v>
      </c>
    </row>
    <row r="349" spans="1:29" x14ac:dyDescent="0.25">
      <c r="A349" s="1" t="s">
        <v>780</v>
      </c>
      <c r="B349" s="2" t="s">
        <v>29</v>
      </c>
      <c r="C349" s="2"/>
      <c r="D349" s="2"/>
      <c r="E349" s="2" t="s">
        <v>766</v>
      </c>
      <c r="F349" s="2">
        <v>2</v>
      </c>
      <c r="G349" s="2">
        <v>1.39</v>
      </c>
      <c r="H349" s="2" t="s">
        <v>396</v>
      </c>
      <c r="I349" s="2" t="s">
        <v>57</v>
      </c>
      <c r="J349" s="2" t="s">
        <v>397</v>
      </c>
      <c r="K349" s="2"/>
      <c r="L349" s="2"/>
      <c r="M349" s="2"/>
      <c r="N349" s="2"/>
      <c r="O349" s="2"/>
      <c r="P349" s="2"/>
      <c r="Q349" s="2"/>
      <c r="R349" s="2">
        <v>6500</v>
      </c>
      <c r="S349" s="2">
        <v>9035</v>
      </c>
      <c r="T349" s="13" t="str">
        <f t="shared" si="11"/>
        <v>KAYT342</v>
      </c>
      <c r="U349" s="2" t="s">
        <v>781</v>
      </c>
      <c r="V349" s="2"/>
      <c r="W349" s="2">
        <v>9.68</v>
      </c>
      <c r="X349" s="2">
        <v>5.42</v>
      </c>
      <c r="Y349" s="2">
        <v>2.97</v>
      </c>
      <c r="Z349" s="2">
        <v>0</v>
      </c>
      <c r="AA349" s="2">
        <v>0</v>
      </c>
      <c r="AB349" s="2">
        <v>1.79</v>
      </c>
      <c r="AC349" s="3" t="str">
        <f t="shared" si="10"/>
        <v>Pair</v>
      </c>
    </row>
    <row r="350" spans="1:29" x14ac:dyDescent="0.25">
      <c r="A350" s="1" t="s">
        <v>782</v>
      </c>
      <c r="B350" s="2" t="s">
        <v>29</v>
      </c>
      <c r="C350" s="2"/>
      <c r="D350" s="2"/>
      <c r="E350" s="2" t="s">
        <v>766</v>
      </c>
      <c r="F350" s="2">
        <v>2</v>
      </c>
      <c r="G350" s="2">
        <v>0.77</v>
      </c>
      <c r="H350" s="2" t="s">
        <v>31</v>
      </c>
      <c r="I350" s="2" t="s">
        <v>53</v>
      </c>
      <c r="J350" s="2" t="s">
        <v>33</v>
      </c>
      <c r="K350" s="2"/>
      <c r="L350" s="2"/>
      <c r="M350" s="2"/>
      <c r="N350" s="2"/>
      <c r="O350" s="2" t="s">
        <v>34</v>
      </c>
      <c r="P350" s="2"/>
      <c r="Q350" s="2"/>
      <c r="R350" s="2">
        <v>2700</v>
      </c>
      <c r="S350" s="2">
        <v>2079</v>
      </c>
      <c r="T350" s="13" t="str">
        <f t="shared" si="11"/>
        <v>KAYT345C</v>
      </c>
      <c r="U350" s="2" t="s">
        <v>783</v>
      </c>
      <c r="V350" s="2"/>
      <c r="W350" s="2">
        <v>4.42</v>
      </c>
      <c r="X350" s="2">
        <v>8.6300000000000008</v>
      </c>
      <c r="Y350" s="2">
        <v>2.04</v>
      </c>
      <c r="Z350" s="2">
        <v>0</v>
      </c>
      <c r="AA350" s="2">
        <v>0</v>
      </c>
      <c r="AB350" s="2">
        <v>0.51</v>
      </c>
      <c r="AC350" s="3" t="str">
        <f t="shared" si="10"/>
        <v>Pair</v>
      </c>
    </row>
    <row r="351" spans="1:29" x14ac:dyDescent="0.25">
      <c r="A351" s="1" t="s">
        <v>784</v>
      </c>
      <c r="B351" s="2" t="s">
        <v>29</v>
      </c>
      <c r="C351" s="2"/>
      <c r="D351" s="2"/>
      <c r="E351" s="2" t="s">
        <v>766</v>
      </c>
      <c r="F351" s="2">
        <v>1</v>
      </c>
      <c r="G351" s="2">
        <v>0.21</v>
      </c>
      <c r="H351" s="2" t="s">
        <v>73</v>
      </c>
      <c r="I351" s="2" t="s">
        <v>32</v>
      </c>
      <c r="J351" s="2" t="s">
        <v>33</v>
      </c>
      <c r="K351" s="2"/>
      <c r="L351" s="2"/>
      <c r="M351" s="2"/>
      <c r="N351" s="2"/>
      <c r="O351" s="2" t="s">
        <v>77</v>
      </c>
      <c r="P351" s="2"/>
      <c r="Q351" s="2"/>
      <c r="R351" s="2">
        <v>2000</v>
      </c>
      <c r="S351" s="2">
        <v>420</v>
      </c>
      <c r="T351" s="13" t="str">
        <f t="shared" si="11"/>
        <v>AMPT006A</v>
      </c>
      <c r="U351" s="2" t="s">
        <v>785</v>
      </c>
      <c r="V351" s="2"/>
      <c r="W351" s="2">
        <v>7.7</v>
      </c>
      <c r="X351" s="2">
        <v>3.71</v>
      </c>
      <c r="Y351" s="2">
        <v>1.66</v>
      </c>
      <c r="Z351" s="2">
        <v>0</v>
      </c>
      <c r="AA351" s="2">
        <v>0</v>
      </c>
      <c r="AB351" s="2">
        <v>2.08</v>
      </c>
      <c r="AC351" s="3" t="str">
        <f t="shared" si="10"/>
        <v>Loose</v>
      </c>
    </row>
    <row r="352" spans="1:29" x14ac:dyDescent="0.25">
      <c r="A352" s="1" t="s">
        <v>786</v>
      </c>
      <c r="B352" s="2" t="s">
        <v>29</v>
      </c>
      <c r="C352" s="2"/>
      <c r="D352" s="2"/>
      <c r="E352" s="2" t="s">
        <v>766</v>
      </c>
      <c r="F352" s="2">
        <v>1</v>
      </c>
      <c r="G352" s="2">
        <v>0.13</v>
      </c>
      <c r="H352" s="2" t="s">
        <v>43</v>
      </c>
      <c r="I352" s="2" t="s">
        <v>57</v>
      </c>
      <c r="J352" s="2" t="s">
        <v>33</v>
      </c>
      <c r="K352" s="2"/>
      <c r="L352" s="2"/>
      <c r="M352" s="2"/>
      <c r="N352" s="2"/>
      <c r="O352" s="2" t="s">
        <v>34</v>
      </c>
      <c r="P352" s="2"/>
      <c r="Q352" s="2"/>
      <c r="R352" s="2">
        <v>1500</v>
      </c>
      <c r="S352" s="2">
        <v>195</v>
      </c>
      <c r="T352" s="13" t="str">
        <f t="shared" si="11"/>
        <v>BT17002B</v>
      </c>
      <c r="U352" s="2" t="s">
        <v>787</v>
      </c>
      <c r="V352" s="2"/>
      <c r="W352" s="2">
        <v>6</v>
      </c>
      <c r="X352" s="2">
        <v>3.07</v>
      </c>
      <c r="Y352" s="2">
        <v>1.4</v>
      </c>
      <c r="Z352" s="2">
        <v>0</v>
      </c>
      <c r="AA352" s="2">
        <v>0</v>
      </c>
      <c r="AB352" s="2">
        <v>1.95</v>
      </c>
      <c r="AC352" s="3" t="str">
        <f t="shared" si="10"/>
        <v>Loose</v>
      </c>
    </row>
    <row r="353" spans="1:29" x14ac:dyDescent="0.25">
      <c r="A353" s="1" t="s">
        <v>788</v>
      </c>
      <c r="B353" s="2" t="s">
        <v>37</v>
      </c>
      <c r="C353" s="2"/>
      <c r="D353" s="2"/>
      <c r="E353" s="2" t="s">
        <v>766</v>
      </c>
      <c r="F353" s="2">
        <v>2</v>
      </c>
      <c r="G353" s="2">
        <v>1.6</v>
      </c>
      <c r="H353" s="2" t="s">
        <v>31</v>
      </c>
      <c r="I353" s="2" t="s">
        <v>50</v>
      </c>
      <c r="J353" s="2" t="s">
        <v>397</v>
      </c>
      <c r="K353" s="2"/>
      <c r="L353" s="2"/>
      <c r="M353" s="2"/>
      <c r="N353" s="2"/>
      <c r="O353" s="2" t="s">
        <v>70</v>
      </c>
      <c r="P353" s="2"/>
      <c r="Q353" s="2"/>
      <c r="R353" s="2">
        <v>3700</v>
      </c>
      <c r="S353" s="2">
        <v>5920</v>
      </c>
      <c r="T353" s="13" t="str">
        <f t="shared" si="11"/>
        <v>KAYTR018</v>
      </c>
      <c r="U353" s="2" t="s">
        <v>789</v>
      </c>
      <c r="V353" s="2"/>
      <c r="W353" s="2">
        <v>9.06</v>
      </c>
      <c r="X353" s="2">
        <v>5.56</v>
      </c>
      <c r="Y353" s="2">
        <v>3.27</v>
      </c>
      <c r="Z353" s="2">
        <v>0</v>
      </c>
      <c r="AA353" s="2">
        <v>0</v>
      </c>
      <c r="AB353" s="2">
        <v>1.63</v>
      </c>
      <c r="AC353" s="3" t="str">
        <f t="shared" si="10"/>
        <v>Pair</v>
      </c>
    </row>
    <row r="354" spans="1:29" x14ac:dyDescent="0.25">
      <c r="A354" s="1" t="s">
        <v>790</v>
      </c>
      <c r="B354" s="2" t="s">
        <v>29</v>
      </c>
      <c r="C354" s="2"/>
      <c r="D354" s="2"/>
      <c r="E354" s="2" t="s">
        <v>766</v>
      </c>
      <c r="F354" s="2">
        <v>1</v>
      </c>
      <c r="G354" s="2">
        <v>0.12</v>
      </c>
      <c r="H354" s="2" t="s">
        <v>137</v>
      </c>
      <c r="I354" s="2" t="s">
        <v>57</v>
      </c>
      <c r="J354" s="2" t="s">
        <v>33</v>
      </c>
      <c r="K354" s="2"/>
      <c r="L354" s="2"/>
      <c r="M354" s="2"/>
      <c r="N354" s="2"/>
      <c r="O354" s="2" t="s">
        <v>34</v>
      </c>
      <c r="P354" s="2"/>
      <c r="Q354" s="2"/>
      <c r="R354" s="2">
        <v>3000</v>
      </c>
      <c r="S354" s="2">
        <v>360</v>
      </c>
      <c r="T354" s="13" t="str">
        <f t="shared" si="11"/>
        <v>PLT298BA</v>
      </c>
      <c r="U354" s="2" t="s">
        <v>791</v>
      </c>
      <c r="V354" s="2"/>
      <c r="W354" s="2">
        <v>2.15</v>
      </c>
      <c r="X354" s="2">
        <v>8.1300000000000008</v>
      </c>
      <c r="Y354" s="2">
        <v>1.46</v>
      </c>
      <c r="Z354" s="2">
        <v>0</v>
      </c>
      <c r="AA354" s="2">
        <v>0</v>
      </c>
      <c r="AB354" s="2">
        <v>0.26</v>
      </c>
      <c r="AC354" s="3" t="str">
        <f t="shared" si="10"/>
        <v>Loose</v>
      </c>
    </row>
    <row r="355" spans="1:29" x14ac:dyDescent="0.25">
      <c r="A355" s="1" t="s">
        <v>792</v>
      </c>
      <c r="B355" s="2" t="s">
        <v>29</v>
      </c>
      <c r="C355" s="2"/>
      <c r="D355" s="2"/>
      <c r="E355" s="2" t="s">
        <v>766</v>
      </c>
      <c r="F355" s="2">
        <v>2</v>
      </c>
      <c r="G355" s="2">
        <v>0.5</v>
      </c>
      <c r="H355" s="2" t="s">
        <v>38</v>
      </c>
      <c r="I355" s="2" t="s">
        <v>57</v>
      </c>
      <c r="J355" s="2" t="s">
        <v>33</v>
      </c>
      <c r="K355" s="2"/>
      <c r="L355" s="2"/>
      <c r="M355" s="2"/>
      <c r="N355" s="2"/>
      <c r="O355" s="2" t="s">
        <v>34</v>
      </c>
      <c r="P355" s="2"/>
      <c r="Q355" s="2"/>
      <c r="R355" s="2">
        <v>2800</v>
      </c>
      <c r="S355" s="2">
        <v>1400</v>
      </c>
      <c r="T355" s="13" t="str">
        <f t="shared" si="11"/>
        <v>KAYT360</v>
      </c>
      <c r="U355" s="2" t="s">
        <v>793</v>
      </c>
      <c r="V355" s="2"/>
      <c r="W355" s="2">
        <v>3.12</v>
      </c>
      <c r="X355" s="2">
        <v>8.44</v>
      </c>
      <c r="Y355" s="2">
        <v>2.02</v>
      </c>
      <c r="Z355" s="2">
        <v>0</v>
      </c>
      <c r="AA355" s="2">
        <v>0</v>
      </c>
      <c r="AB355" s="2">
        <v>0.37</v>
      </c>
      <c r="AC355" s="3" t="str">
        <f t="shared" si="10"/>
        <v>Pair</v>
      </c>
    </row>
    <row r="356" spans="1:29" x14ac:dyDescent="0.25">
      <c r="A356" s="1" t="s">
        <v>794</v>
      </c>
      <c r="B356" s="2" t="s">
        <v>37</v>
      </c>
      <c r="C356" s="2"/>
      <c r="D356" s="2"/>
      <c r="E356" s="2" t="s">
        <v>766</v>
      </c>
      <c r="F356" s="2">
        <v>1</v>
      </c>
      <c r="G356" s="2">
        <v>0.22</v>
      </c>
      <c r="H356" s="2" t="s">
        <v>31</v>
      </c>
      <c r="I356" s="2" t="s">
        <v>105</v>
      </c>
      <c r="J356" s="2" t="s">
        <v>69</v>
      </c>
      <c r="K356" s="2"/>
      <c r="L356" s="2"/>
      <c r="M356" s="2"/>
      <c r="N356" s="2"/>
      <c r="O356" s="2"/>
      <c r="P356" s="2"/>
      <c r="Q356" s="2"/>
      <c r="R356" s="2">
        <v>1100</v>
      </c>
      <c r="S356" s="2">
        <v>242</v>
      </c>
      <c r="T356" s="13" t="str">
        <f t="shared" si="11"/>
        <v>KAYT260A</v>
      </c>
      <c r="U356" s="2" t="s">
        <v>795</v>
      </c>
      <c r="V356" s="2"/>
      <c r="W356" s="2">
        <v>7.82</v>
      </c>
      <c r="X356" s="2">
        <v>3.38</v>
      </c>
      <c r="Y356" s="2">
        <v>1.72</v>
      </c>
      <c r="Z356" s="2">
        <v>0</v>
      </c>
      <c r="AA356" s="2">
        <v>0</v>
      </c>
      <c r="AB356" s="2">
        <v>2.31</v>
      </c>
      <c r="AC356" s="3" t="str">
        <f t="shared" si="10"/>
        <v>Loose</v>
      </c>
    </row>
    <row r="357" spans="1:29" x14ac:dyDescent="0.25">
      <c r="A357" s="1" t="s">
        <v>796</v>
      </c>
      <c r="B357" s="2" t="s">
        <v>37</v>
      </c>
      <c r="C357" s="2"/>
      <c r="D357" s="2"/>
      <c r="E357" s="2" t="s">
        <v>766</v>
      </c>
      <c r="F357" s="2">
        <v>1</v>
      </c>
      <c r="G357" s="2">
        <v>0.26</v>
      </c>
      <c r="H357" s="2" t="s">
        <v>43</v>
      </c>
      <c r="I357" s="2" t="s">
        <v>175</v>
      </c>
      <c r="J357" s="2" t="s">
        <v>69</v>
      </c>
      <c r="K357" s="2"/>
      <c r="L357" s="2"/>
      <c r="M357" s="2"/>
      <c r="N357" s="2"/>
      <c r="O357" s="2"/>
      <c r="P357" s="2"/>
      <c r="Q357" s="2"/>
      <c r="R357" s="2">
        <v>1000</v>
      </c>
      <c r="S357" s="2">
        <v>260</v>
      </c>
      <c r="T357" s="13" t="str">
        <f t="shared" si="11"/>
        <v>KAYT260B</v>
      </c>
      <c r="U357" s="2" t="s">
        <v>797</v>
      </c>
      <c r="V357" s="2"/>
      <c r="W357" s="2">
        <v>8.01</v>
      </c>
      <c r="X357" s="2">
        <v>3.19</v>
      </c>
      <c r="Y357" s="2">
        <v>2.06</v>
      </c>
      <c r="Z357" s="2">
        <v>0</v>
      </c>
      <c r="AA357" s="2">
        <v>0</v>
      </c>
      <c r="AB357" s="2">
        <v>2.5099999999999998</v>
      </c>
      <c r="AC357" s="3" t="str">
        <f t="shared" si="10"/>
        <v>Loose</v>
      </c>
    </row>
    <row r="358" spans="1:29" x14ac:dyDescent="0.25">
      <c r="A358" s="1" t="s">
        <v>798</v>
      </c>
      <c r="B358" s="2" t="s">
        <v>37</v>
      </c>
      <c r="C358" s="2"/>
      <c r="D358" s="2"/>
      <c r="E358" s="2" t="s">
        <v>766</v>
      </c>
      <c r="F358" s="2">
        <v>1</v>
      </c>
      <c r="G358" s="2">
        <v>0.1</v>
      </c>
      <c r="H358" s="2" t="s">
        <v>67</v>
      </c>
      <c r="I358" s="2" t="s">
        <v>32</v>
      </c>
      <c r="J358" s="2" t="s">
        <v>69</v>
      </c>
      <c r="K358" s="2"/>
      <c r="L358" s="2"/>
      <c r="M358" s="2"/>
      <c r="N358" s="2"/>
      <c r="O358" s="2"/>
      <c r="P358" s="2"/>
      <c r="Q358" s="2"/>
      <c r="R358" s="2">
        <v>800</v>
      </c>
      <c r="S358" s="2">
        <v>80</v>
      </c>
      <c r="T358" s="13" t="str">
        <f t="shared" si="11"/>
        <v>KAYT2003</v>
      </c>
      <c r="U358" s="2" t="s">
        <v>799</v>
      </c>
      <c r="V358" s="2"/>
      <c r="W358" s="2">
        <v>2.33</v>
      </c>
      <c r="X358" s="2">
        <v>5.25</v>
      </c>
      <c r="Y358" s="2">
        <v>1.73</v>
      </c>
      <c r="Z358" s="2">
        <v>0</v>
      </c>
      <c r="AA358" s="2">
        <v>0</v>
      </c>
      <c r="AB358" s="2">
        <v>0.44</v>
      </c>
      <c r="AC358" s="3" t="str">
        <f t="shared" si="10"/>
        <v>Loose</v>
      </c>
    </row>
    <row r="359" spans="1:29" x14ac:dyDescent="0.25">
      <c r="A359" s="1" t="s">
        <v>800</v>
      </c>
      <c r="B359" s="2" t="s">
        <v>37</v>
      </c>
      <c r="C359" s="2"/>
      <c r="D359" s="2"/>
      <c r="E359" s="2" t="s">
        <v>766</v>
      </c>
      <c r="F359" s="2">
        <v>1</v>
      </c>
      <c r="G359" s="2">
        <v>0.12</v>
      </c>
      <c r="H359" s="2" t="s">
        <v>108</v>
      </c>
      <c r="I359" s="2" t="s">
        <v>32</v>
      </c>
      <c r="J359" s="2" t="s">
        <v>69</v>
      </c>
      <c r="K359" s="2"/>
      <c r="L359" s="2"/>
      <c r="M359" s="2"/>
      <c r="N359" s="2"/>
      <c r="O359" s="2"/>
      <c r="P359" s="2"/>
      <c r="Q359" s="2"/>
      <c r="R359" s="2">
        <v>900</v>
      </c>
      <c r="S359" s="2">
        <v>108</v>
      </c>
      <c r="T359" s="13" t="str">
        <f t="shared" si="11"/>
        <v>KAYT2006</v>
      </c>
      <c r="U359" s="2" t="s">
        <v>801</v>
      </c>
      <c r="V359" s="2"/>
      <c r="W359" s="2">
        <v>2.65</v>
      </c>
      <c r="X359" s="2">
        <v>5.16</v>
      </c>
      <c r="Y359" s="2">
        <v>1.79</v>
      </c>
      <c r="Z359" s="2">
        <v>0</v>
      </c>
      <c r="AA359" s="2">
        <v>0</v>
      </c>
      <c r="AB359" s="2">
        <v>0.51</v>
      </c>
      <c r="AC359" s="3" t="str">
        <f t="shared" si="10"/>
        <v>Loose</v>
      </c>
    </row>
    <row r="360" spans="1:29" x14ac:dyDescent="0.25">
      <c r="A360" s="1" t="s">
        <v>802</v>
      </c>
      <c r="B360" s="2" t="s">
        <v>37</v>
      </c>
      <c r="C360" s="2"/>
      <c r="D360" s="2"/>
      <c r="E360" s="2" t="s">
        <v>766</v>
      </c>
      <c r="F360" s="2">
        <v>1</v>
      </c>
      <c r="G360" s="2">
        <v>0.12</v>
      </c>
      <c r="H360" s="2" t="s">
        <v>38</v>
      </c>
      <c r="I360" s="2" t="s">
        <v>32</v>
      </c>
      <c r="J360" s="2" t="s">
        <v>33</v>
      </c>
      <c r="K360" s="2"/>
      <c r="L360" s="2"/>
      <c r="M360" s="2"/>
      <c r="N360" s="2"/>
      <c r="O360" s="2"/>
      <c r="P360" s="2"/>
      <c r="Q360" s="2"/>
      <c r="R360" s="2">
        <v>1400</v>
      </c>
      <c r="S360" s="2">
        <v>168</v>
      </c>
      <c r="T360" s="13" t="str">
        <f t="shared" si="11"/>
        <v>KAYT2008</v>
      </c>
      <c r="U360" s="2" t="s">
        <v>803</v>
      </c>
      <c r="V360" s="2"/>
      <c r="W360" s="2">
        <v>2.68</v>
      </c>
      <c r="X360" s="2">
        <v>4.84</v>
      </c>
      <c r="Y360" s="2">
        <v>1.95</v>
      </c>
      <c r="Z360" s="2">
        <v>0</v>
      </c>
      <c r="AA360" s="2">
        <v>0</v>
      </c>
      <c r="AB360" s="2">
        <v>0.55000000000000004</v>
      </c>
      <c r="AC360" s="3" t="str">
        <f t="shared" si="10"/>
        <v>Loose</v>
      </c>
    </row>
    <row r="361" spans="1:29" x14ac:dyDescent="0.25">
      <c r="A361" s="1" t="s">
        <v>804</v>
      </c>
      <c r="B361" s="2" t="s">
        <v>37</v>
      </c>
      <c r="C361" s="2"/>
      <c r="D361" s="2"/>
      <c r="E361" s="2" t="s">
        <v>766</v>
      </c>
      <c r="F361" s="2">
        <v>1</v>
      </c>
      <c r="G361" s="2">
        <v>0.2</v>
      </c>
      <c r="H361" s="2" t="s">
        <v>108</v>
      </c>
      <c r="I361" s="2" t="s">
        <v>32</v>
      </c>
      <c r="J361" s="2" t="s">
        <v>69</v>
      </c>
      <c r="K361" s="2"/>
      <c r="L361" s="2"/>
      <c r="M361" s="2"/>
      <c r="N361" s="2"/>
      <c r="O361" s="2"/>
      <c r="P361" s="2"/>
      <c r="Q361" s="2"/>
      <c r="R361" s="2">
        <v>1200</v>
      </c>
      <c r="S361" s="2">
        <v>240</v>
      </c>
      <c r="T361" s="13" t="str">
        <f t="shared" si="11"/>
        <v>KAYT2017</v>
      </c>
      <c r="U361" s="2" t="s">
        <v>805</v>
      </c>
      <c r="V361" s="2"/>
      <c r="W361" s="2">
        <v>3.25</v>
      </c>
      <c r="X361" s="2">
        <v>6.2</v>
      </c>
      <c r="Y361" s="2">
        <v>2.23</v>
      </c>
      <c r="Z361" s="2">
        <v>0</v>
      </c>
      <c r="AA361" s="2">
        <v>0</v>
      </c>
      <c r="AB361" s="2">
        <v>0.52</v>
      </c>
      <c r="AC361" s="3" t="str">
        <f t="shared" si="10"/>
        <v>Loose</v>
      </c>
    </row>
    <row r="362" spans="1:29" x14ac:dyDescent="0.25">
      <c r="A362" s="1" t="s">
        <v>806</v>
      </c>
      <c r="B362" s="2" t="s">
        <v>37</v>
      </c>
      <c r="C362" s="2"/>
      <c r="D362" s="2"/>
      <c r="E362" s="2" t="s">
        <v>766</v>
      </c>
      <c r="F362" s="2">
        <v>1</v>
      </c>
      <c r="G362" s="2">
        <v>0.1</v>
      </c>
      <c r="H362" s="2" t="s">
        <v>73</v>
      </c>
      <c r="I362" s="2" t="s">
        <v>39</v>
      </c>
      <c r="J362" s="2" t="s">
        <v>33</v>
      </c>
      <c r="K362" s="2"/>
      <c r="L362" s="2"/>
      <c r="M362" s="2"/>
      <c r="N362" s="2"/>
      <c r="O362" s="2"/>
      <c r="P362" s="2"/>
      <c r="Q362" s="2"/>
      <c r="R362" s="2">
        <v>1000</v>
      </c>
      <c r="S362" s="2">
        <v>100</v>
      </c>
      <c r="T362" s="13" t="str">
        <f t="shared" si="11"/>
        <v>KAYT2018</v>
      </c>
      <c r="U362" s="2" t="s">
        <v>807</v>
      </c>
      <c r="V362" s="2"/>
      <c r="W362" s="2">
        <v>2.4700000000000002</v>
      </c>
      <c r="X362" s="2">
        <v>5.94</v>
      </c>
      <c r="Y362" s="2">
        <v>1.47</v>
      </c>
      <c r="Z362" s="2">
        <v>0</v>
      </c>
      <c r="AA362" s="2">
        <v>0</v>
      </c>
      <c r="AB362" s="2">
        <v>0.42</v>
      </c>
      <c r="AC362" s="3" t="str">
        <f t="shared" si="10"/>
        <v>Loose</v>
      </c>
    </row>
    <row r="363" spans="1:29" x14ac:dyDescent="0.25">
      <c r="A363" s="1" t="s">
        <v>808</v>
      </c>
      <c r="B363" s="2" t="s">
        <v>29</v>
      </c>
      <c r="C363" s="2"/>
      <c r="D363" s="2"/>
      <c r="E363" s="2" t="s">
        <v>766</v>
      </c>
      <c r="F363" s="2">
        <v>2</v>
      </c>
      <c r="G363" s="2">
        <v>0.63</v>
      </c>
      <c r="H363" s="2" t="s">
        <v>396</v>
      </c>
      <c r="I363" s="2" t="s">
        <v>32</v>
      </c>
      <c r="J363" s="2" t="s">
        <v>33</v>
      </c>
      <c r="K363" s="2"/>
      <c r="L363" s="2"/>
      <c r="M363" s="2"/>
      <c r="N363" s="2"/>
      <c r="O363" s="2"/>
      <c r="P363" s="2"/>
      <c r="Q363" s="2"/>
      <c r="R363" s="2">
        <v>2700</v>
      </c>
      <c r="S363" s="2">
        <v>1701</v>
      </c>
      <c r="T363" s="13" t="str">
        <f t="shared" si="11"/>
        <v>KAYT368</v>
      </c>
      <c r="U363" s="2" t="s">
        <v>809</v>
      </c>
      <c r="V363" s="2"/>
      <c r="W363" s="2">
        <v>3.74</v>
      </c>
      <c r="X363" s="2">
        <v>9.34</v>
      </c>
      <c r="Y363" s="2">
        <v>2.0699999999999998</v>
      </c>
      <c r="Z363" s="2">
        <v>0</v>
      </c>
      <c r="AA363" s="2">
        <v>0</v>
      </c>
      <c r="AB363" s="2">
        <v>0.4</v>
      </c>
      <c r="AC363" s="3" t="str">
        <f t="shared" si="10"/>
        <v>Pair</v>
      </c>
    </row>
    <row r="364" spans="1:29" x14ac:dyDescent="0.25">
      <c r="A364" s="1" t="s">
        <v>810</v>
      </c>
      <c r="B364" s="2" t="s">
        <v>29</v>
      </c>
      <c r="C364" s="2"/>
      <c r="D364" s="2"/>
      <c r="E364" s="2" t="s">
        <v>766</v>
      </c>
      <c r="F364" s="2">
        <v>2</v>
      </c>
      <c r="G364" s="2">
        <v>0.71</v>
      </c>
      <c r="H364" s="2" t="s">
        <v>38</v>
      </c>
      <c r="I364" s="2" t="s">
        <v>57</v>
      </c>
      <c r="J364" s="2" t="s">
        <v>33</v>
      </c>
      <c r="K364" s="2"/>
      <c r="L364" s="2"/>
      <c r="M364" s="2"/>
      <c r="N364" s="2"/>
      <c r="O364" s="2"/>
      <c r="P364" s="2"/>
      <c r="Q364" s="2"/>
      <c r="R364" s="2">
        <v>2900</v>
      </c>
      <c r="S364" s="2">
        <v>2059</v>
      </c>
      <c r="T364" s="13" t="str">
        <f t="shared" si="11"/>
        <v>KAYT370</v>
      </c>
      <c r="U364" s="2" t="s">
        <v>811</v>
      </c>
      <c r="V364" s="2"/>
      <c r="W364" s="2">
        <v>4.17</v>
      </c>
      <c r="X364" s="2">
        <v>8.3800000000000008</v>
      </c>
      <c r="Y364" s="2">
        <v>2.41</v>
      </c>
      <c r="Z364" s="2">
        <v>0</v>
      </c>
      <c r="AA364" s="2">
        <v>0</v>
      </c>
      <c r="AB364" s="2">
        <v>0.5</v>
      </c>
      <c r="AC364" s="3" t="str">
        <f t="shared" si="10"/>
        <v>Pair</v>
      </c>
    </row>
    <row r="365" spans="1:29" x14ac:dyDescent="0.25">
      <c r="A365" s="1" t="s">
        <v>812</v>
      </c>
      <c r="B365" s="2" t="s">
        <v>37</v>
      </c>
      <c r="C365" s="2"/>
      <c r="D365" s="2"/>
      <c r="E365" s="2" t="s">
        <v>766</v>
      </c>
      <c r="F365" s="2">
        <v>2</v>
      </c>
      <c r="G365" s="2">
        <v>0.27</v>
      </c>
      <c r="H365" s="2" t="s">
        <v>73</v>
      </c>
      <c r="I365" s="2" t="s">
        <v>39</v>
      </c>
      <c r="J365" s="2" t="s">
        <v>33</v>
      </c>
      <c r="K365" s="2"/>
      <c r="L365" s="2"/>
      <c r="M365" s="2"/>
      <c r="N365" s="2"/>
      <c r="O365" s="2"/>
      <c r="P365" s="2"/>
      <c r="Q365" s="2"/>
      <c r="R365" s="2">
        <v>1400</v>
      </c>
      <c r="S365" s="2">
        <v>378</v>
      </c>
      <c r="T365" s="13" t="str">
        <f t="shared" si="11"/>
        <v>KAYT371</v>
      </c>
      <c r="U365" s="2" t="s">
        <v>813</v>
      </c>
      <c r="V365" s="2"/>
      <c r="W365" s="2">
        <v>3.07</v>
      </c>
      <c r="X365" s="2">
        <v>7.29</v>
      </c>
      <c r="Y365" s="2">
        <v>1.59</v>
      </c>
      <c r="Z365" s="2">
        <v>0</v>
      </c>
      <c r="AA365" s="2">
        <v>0</v>
      </c>
      <c r="AB365" s="2">
        <v>0.42</v>
      </c>
      <c r="AC365" s="3" t="str">
        <f t="shared" si="10"/>
        <v>Pair</v>
      </c>
    </row>
    <row r="366" spans="1:29" x14ac:dyDescent="0.25">
      <c r="A366" s="1" t="s">
        <v>814</v>
      </c>
      <c r="B366" s="2" t="s">
        <v>29</v>
      </c>
      <c r="C366" s="2"/>
      <c r="D366" s="2"/>
      <c r="E366" s="2" t="s">
        <v>766</v>
      </c>
      <c r="F366" s="2">
        <v>2</v>
      </c>
      <c r="G366" s="2">
        <v>0.44</v>
      </c>
      <c r="H366" s="2" t="s">
        <v>396</v>
      </c>
      <c r="I366" s="2" t="s">
        <v>39</v>
      </c>
      <c r="J366" s="2" t="s">
        <v>33</v>
      </c>
      <c r="K366" s="2"/>
      <c r="L366" s="2"/>
      <c r="M366" s="2"/>
      <c r="N366" s="2"/>
      <c r="O366" s="2"/>
      <c r="P366" s="2"/>
      <c r="Q366" s="2"/>
      <c r="R366" s="2">
        <v>3400</v>
      </c>
      <c r="S366" s="2">
        <v>1496</v>
      </c>
      <c r="T366" s="13" t="str">
        <f t="shared" si="11"/>
        <v>KAYT372</v>
      </c>
      <c r="U366" s="2" t="s">
        <v>815</v>
      </c>
      <c r="V366" s="2"/>
      <c r="W366" s="2">
        <v>3.46</v>
      </c>
      <c r="X366" s="2">
        <v>8.31</v>
      </c>
      <c r="Y366" s="2">
        <v>1.78</v>
      </c>
      <c r="Z366" s="2">
        <v>0</v>
      </c>
      <c r="AA366" s="2">
        <v>0</v>
      </c>
      <c r="AB366" s="2">
        <v>0.42</v>
      </c>
      <c r="AC366" s="3" t="str">
        <f t="shared" si="10"/>
        <v>Pair</v>
      </c>
    </row>
    <row r="367" spans="1:29" x14ac:dyDescent="0.25">
      <c r="A367" s="1" t="s">
        <v>816</v>
      </c>
      <c r="B367" s="2" t="s">
        <v>29</v>
      </c>
      <c r="C367" s="2"/>
      <c r="D367" s="2"/>
      <c r="E367" s="2" t="s">
        <v>766</v>
      </c>
      <c r="F367" s="2">
        <v>2</v>
      </c>
      <c r="G367" s="2">
        <v>0.32</v>
      </c>
      <c r="H367" s="2" t="s">
        <v>396</v>
      </c>
      <c r="I367" s="2" t="s">
        <v>68</v>
      </c>
      <c r="J367" s="2" t="s">
        <v>33</v>
      </c>
      <c r="K367" s="2"/>
      <c r="L367" s="2"/>
      <c r="M367" s="2"/>
      <c r="N367" s="2"/>
      <c r="O367" s="2" t="s">
        <v>34</v>
      </c>
      <c r="P367" s="2"/>
      <c r="Q367" s="2"/>
      <c r="R367" s="2">
        <v>2700</v>
      </c>
      <c r="S367" s="2">
        <v>864</v>
      </c>
      <c r="T367" s="13" t="str">
        <f t="shared" si="11"/>
        <v>KAYT376</v>
      </c>
      <c r="U367" s="2" t="s">
        <v>817</v>
      </c>
      <c r="V367" s="2"/>
      <c r="W367" s="2">
        <v>3.07</v>
      </c>
      <c r="X367" s="2">
        <v>8.07</v>
      </c>
      <c r="Y367" s="2">
        <v>1.58</v>
      </c>
      <c r="Z367" s="2">
        <v>0</v>
      </c>
      <c r="AA367" s="2">
        <v>0</v>
      </c>
      <c r="AB367" s="2">
        <v>0.38</v>
      </c>
      <c r="AC367" s="3" t="str">
        <f t="shared" si="10"/>
        <v>Pair</v>
      </c>
    </row>
    <row r="368" spans="1:29" x14ac:dyDescent="0.25">
      <c r="A368" s="1" t="s">
        <v>818</v>
      </c>
      <c r="B368" s="2" t="s">
        <v>37</v>
      </c>
      <c r="C368" s="2"/>
      <c r="D368" s="2"/>
      <c r="E368" s="2" t="s">
        <v>766</v>
      </c>
      <c r="F368" s="2">
        <v>2</v>
      </c>
      <c r="G368" s="2">
        <v>0.65</v>
      </c>
      <c r="H368" s="2" t="s">
        <v>396</v>
      </c>
      <c r="I368" s="2" t="s">
        <v>39</v>
      </c>
      <c r="J368" s="2" t="s">
        <v>33</v>
      </c>
      <c r="K368" s="2"/>
      <c r="L368" s="2"/>
      <c r="M368" s="2"/>
      <c r="N368" s="2"/>
      <c r="O368" s="2" t="s">
        <v>34</v>
      </c>
      <c r="P368" s="2"/>
      <c r="Q368" s="2"/>
      <c r="R368" s="2">
        <v>3800</v>
      </c>
      <c r="S368" s="2">
        <v>2470</v>
      </c>
      <c r="T368" s="13" t="str">
        <f t="shared" si="11"/>
        <v>KAYTRS030</v>
      </c>
      <c r="U368" s="2" t="s">
        <v>819</v>
      </c>
      <c r="V368" s="2"/>
      <c r="W368" s="2">
        <v>4.45</v>
      </c>
      <c r="X368" s="2">
        <v>7.76</v>
      </c>
      <c r="Y368" s="2">
        <v>1.71</v>
      </c>
      <c r="Z368" s="2">
        <v>0</v>
      </c>
      <c r="AA368" s="2">
        <v>0</v>
      </c>
      <c r="AB368" s="2">
        <v>0.56999999999999995</v>
      </c>
      <c r="AC368" s="3" t="str">
        <f t="shared" si="10"/>
        <v>Pair</v>
      </c>
    </row>
    <row r="369" spans="1:29" x14ac:dyDescent="0.25">
      <c r="A369" s="1" t="s">
        <v>820</v>
      </c>
      <c r="B369" s="2" t="s">
        <v>37</v>
      </c>
      <c r="C369" s="2"/>
      <c r="D369" s="2"/>
      <c r="E369" s="2" t="s">
        <v>766</v>
      </c>
      <c r="F369" s="2">
        <v>2</v>
      </c>
      <c r="G369" s="2">
        <v>0.98</v>
      </c>
      <c r="H369" s="2" t="s">
        <v>396</v>
      </c>
      <c r="I369" s="2" t="s">
        <v>57</v>
      </c>
      <c r="J369" s="2" t="s">
        <v>397</v>
      </c>
      <c r="K369" s="2"/>
      <c r="L369" s="2"/>
      <c r="M369" s="2"/>
      <c r="N369" s="2"/>
      <c r="O369" s="2" t="s">
        <v>34</v>
      </c>
      <c r="P369" s="2"/>
      <c r="Q369" s="2"/>
      <c r="R369" s="2">
        <v>5000</v>
      </c>
      <c r="S369" s="2">
        <v>4900</v>
      </c>
      <c r="T369" s="13" t="str">
        <f t="shared" si="11"/>
        <v>KAYT380</v>
      </c>
      <c r="U369" s="2" t="s">
        <v>821</v>
      </c>
      <c r="V369" s="2"/>
      <c r="W369" s="2">
        <v>8.9700000000000006</v>
      </c>
      <c r="X369" s="2">
        <v>4.78</v>
      </c>
      <c r="Y369" s="2">
        <v>2.82</v>
      </c>
      <c r="Z369" s="2">
        <v>0</v>
      </c>
      <c r="AA369" s="2">
        <v>0</v>
      </c>
      <c r="AB369" s="2">
        <v>1.88</v>
      </c>
      <c r="AC369" s="3" t="str">
        <f t="shared" si="10"/>
        <v>Pair</v>
      </c>
    </row>
    <row r="370" spans="1:29" x14ac:dyDescent="0.25">
      <c r="A370" s="1" t="s">
        <v>822</v>
      </c>
      <c r="B370" s="2" t="s">
        <v>29</v>
      </c>
      <c r="C370" s="2"/>
      <c r="D370" s="2"/>
      <c r="E370" s="2" t="s">
        <v>766</v>
      </c>
      <c r="F370" s="2">
        <v>1</v>
      </c>
      <c r="G370" s="2">
        <v>0.52</v>
      </c>
      <c r="H370" s="2" t="s">
        <v>49</v>
      </c>
      <c r="I370" s="2" t="s">
        <v>68</v>
      </c>
      <c r="J370" s="2" t="s">
        <v>33</v>
      </c>
      <c r="K370" s="2"/>
      <c r="L370" s="2" t="s">
        <v>450</v>
      </c>
      <c r="M370" s="2" t="s">
        <v>43</v>
      </c>
      <c r="N370" s="2" t="s">
        <v>421</v>
      </c>
      <c r="O370" s="2" t="s">
        <v>58</v>
      </c>
      <c r="P370" s="2"/>
      <c r="Q370" s="2">
        <v>6442238659</v>
      </c>
      <c r="R370" s="2">
        <v>3000</v>
      </c>
      <c r="S370" s="2">
        <v>1560</v>
      </c>
      <c r="T370" s="13" t="str">
        <f t="shared" si="11"/>
        <v>LDRL033AAA</v>
      </c>
      <c r="U370" s="2" t="s">
        <v>823</v>
      </c>
      <c r="V370" s="2"/>
      <c r="W370" s="2">
        <v>9.19</v>
      </c>
      <c r="X370" s="2">
        <v>4.5599999999999996</v>
      </c>
      <c r="Y370" s="2">
        <v>2.4900000000000002</v>
      </c>
      <c r="Z370" s="2">
        <v>54.6</v>
      </c>
      <c r="AA370" s="2">
        <v>67</v>
      </c>
      <c r="AB370" s="2">
        <v>2.02</v>
      </c>
      <c r="AC370" s="3" t="str">
        <f t="shared" si="10"/>
        <v>Loose</v>
      </c>
    </row>
    <row r="371" spans="1:29" x14ac:dyDescent="0.25">
      <c r="A371" s="1" t="s">
        <v>824</v>
      </c>
      <c r="B371" s="2" t="s">
        <v>29</v>
      </c>
      <c r="C371" s="2"/>
      <c r="D371" s="2"/>
      <c r="E371" s="2" t="s">
        <v>766</v>
      </c>
      <c r="F371" s="2">
        <v>1</v>
      </c>
      <c r="G371" s="2">
        <v>0.7</v>
      </c>
      <c r="H371" s="2" t="s">
        <v>73</v>
      </c>
      <c r="I371" s="2" t="s">
        <v>68</v>
      </c>
      <c r="J371" s="2" t="s">
        <v>33</v>
      </c>
      <c r="K371" s="2"/>
      <c r="L371" s="2" t="s">
        <v>450</v>
      </c>
      <c r="M371" s="2" t="s">
        <v>43</v>
      </c>
      <c r="N371" s="2" t="s">
        <v>421</v>
      </c>
      <c r="O371" s="2" t="s">
        <v>70</v>
      </c>
      <c r="P371" s="2"/>
      <c r="Q371" s="2">
        <v>1445238485</v>
      </c>
      <c r="R371" s="2">
        <v>5000</v>
      </c>
      <c r="S371" s="2">
        <v>3500</v>
      </c>
      <c r="T371" s="13" t="str">
        <f t="shared" si="11"/>
        <v>LDRKAAA</v>
      </c>
      <c r="U371" s="2" t="s">
        <v>825</v>
      </c>
      <c r="V371" s="2"/>
      <c r="W371" s="2">
        <v>12.16</v>
      </c>
      <c r="X371" s="2">
        <v>4.96</v>
      </c>
      <c r="Y371" s="2">
        <v>2.71</v>
      </c>
      <c r="Z371" s="2">
        <v>54.5</v>
      </c>
      <c r="AA371" s="2">
        <v>72</v>
      </c>
      <c r="AB371" s="2">
        <v>2.4500000000000002</v>
      </c>
      <c r="AC371" s="3" t="str">
        <f t="shared" si="10"/>
        <v>Loose</v>
      </c>
    </row>
    <row r="372" spans="1:29" x14ac:dyDescent="0.25">
      <c r="A372" s="1" t="s">
        <v>826</v>
      </c>
      <c r="B372" s="2" t="s">
        <v>29</v>
      </c>
      <c r="C372" s="2"/>
      <c r="D372" s="2"/>
      <c r="E372" s="2" t="s">
        <v>766</v>
      </c>
      <c r="F372" s="2">
        <v>1</v>
      </c>
      <c r="G372" s="2">
        <v>0.13</v>
      </c>
      <c r="H372" s="2" t="s">
        <v>137</v>
      </c>
      <c r="I372" s="2" t="s">
        <v>32</v>
      </c>
      <c r="J372" s="2" t="s">
        <v>33</v>
      </c>
      <c r="K372" s="2"/>
      <c r="L372" s="2"/>
      <c r="M372" s="2"/>
      <c r="N372" s="2"/>
      <c r="O372" s="2" t="s">
        <v>34</v>
      </c>
      <c r="P372" s="2"/>
      <c r="Q372" s="2"/>
      <c r="R372" s="2">
        <v>1600</v>
      </c>
      <c r="S372" s="2">
        <v>208</v>
      </c>
      <c r="T372" s="13" t="str">
        <f t="shared" si="11"/>
        <v>PLT3534014ABAA</v>
      </c>
      <c r="U372" s="2" t="s">
        <v>827</v>
      </c>
      <c r="V372" s="2"/>
      <c r="W372" s="2">
        <v>3</v>
      </c>
      <c r="X372" s="2">
        <v>6.43</v>
      </c>
      <c r="Y372" s="2">
        <v>1.1399999999999999</v>
      </c>
      <c r="Z372" s="2">
        <v>0</v>
      </c>
      <c r="AA372" s="2">
        <v>0</v>
      </c>
      <c r="AB372" s="2">
        <v>0.47</v>
      </c>
      <c r="AC372" s="3" t="str">
        <f t="shared" si="10"/>
        <v>Loose</v>
      </c>
    </row>
    <row r="373" spans="1:29" x14ac:dyDescent="0.25">
      <c r="A373" s="1" t="s">
        <v>828</v>
      </c>
      <c r="B373" s="2" t="s">
        <v>29</v>
      </c>
      <c r="C373" s="2"/>
      <c r="D373" s="2"/>
      <c r="E373" s="2" t="s">
        <v>766</v>
      </c>
      <c r="F373" s="2">
        <v>1</v>
      </c>
      <c r="G373" s="2">
        <v>0.15</v>
      </c>
      <c r="H373" s="2" t="s">
        <v>396</v>
      </c>
      <c r="I373" s="2" t="s">
        <v>32</v>
      </c>
      <c r="J373" s="2" t="s">
        <v>33</v>
      </c>
      <c r="K373" s="2"/>
      <c r="L373" s="2"/>
      <c r="M373" s="2"/>
      <c r="N373" s="2"/>
      <c r="O373" s="2" t="s">
        <v>34</v>
      </c>
      <c r="P373" s="2"/>
      <c r="Q373" s="2"/>
      <c r="R373" s="2">
        <v>2400</v>
      </c>
      <c r="S373" s="2">
        <v>360</v>
      </c>
      <c r="T373" s="13" t="str">
        <f t="shared" si="11"/>
        <v>LDRDABA</v>
      </c>
      <c r="U373" s="2" t="s">
        <v>829</v>
      </c>
      <c r="V373" s="2"/>
      <c r="W373" s="2">
        <v>2.71</v>
      </c>
      <c r="X373" s="2">
        <v>6.5</v>
      </c>
      <c r="Y373" s="2">
        <v>1.21</v>
      </c>
      <c r="Z373" s="2">
        <v>0</v>
      </c>
      <c r="AA373" s="2">
        <v>0</v>
      </c>
      <c r="AB373" s="2">
        <v>0.42</v>
      </c>
      <c r="AC373" s="3" t="str">
        <f t="shared" si="10"/>
        <v>Loose</v>
      </c>
    </row>
    <row r="374" spans="1:29" x14ac:dyDescent="0.25">
      <c r="A374" s="1" t="s">
        <v>830</v>
      </c>
      <c r="B374" s="2" t="s">
        <v>29</v>
      </c>
      <c r="C374" s="2"/>
      <c r="D374" s="2"/>
      <c r="E374" s="2" t="s">
        <v>766</v>
      </c>
      <c r="F374" s="2">
        <v>1</v>
      </c>
      <c r="G374" s="2">
        <v>0.4</v>
      </c>
      <c r="H374" s="2" t="s">
        <v>137</v>
      </c>
      <c r="I374" s="2" t="s">
        <v>610</v>
      </c>
      <c r="J374" s="2" t="s">
        <v>69</v>
      </c>
      <c r="K374" s="2"/>
      <c r="L374" s="2" t="s">
        <v>450</v>
      </c>
      <c r="M374" s="2" t="s">
        <v>43</v>
      </c>
      <c r="N374" s="2" t="s">
        <v>421</v>
      </c>
      <c r="O374" s="2" t="s">
        <v>34</v>
      </c>
      <c r="P374" s="2"/>
      <c r="Q374" s="2">
        <v>5443728861</v>
      </c>
      <c r="R374" s="2">
        <v>1400</v>
      </c>
      <c r="S374" s="2">
        <v>560</v>
      </c>
      <c r="T374" s="13" t="str">
        <f t="shared" si="11"/>
        <v>PLT66601BBAAAA</v>
      </c>
      <c r="U374" s="2" t="s">
        <v>831</v>
      </c>
      <c r="V374" s="2"/>
      <c r="W374" s="2">
        <v>9.34</v>
      </c>
      <c r="X374" s="2">
        <v>4.34</v>
      </c>
      <c r="Y374" s="2">
        <v>2.09</v>
      </c>
      <c r="Z374" s="2">
        <v>48.1</v>
      </c>
      <c r="AA374" s="2">
        <v>75</v>
      </c>
      <c r="AB374" s="2">
        <v>2.15</v>
      </c>
      <c r="AC374" s="3" t="str">
        <f t="shared" si="10"/>
        <v>Loose</v>
      </c>
    </row>
    <row r="375" spans="1:29" x14ac:dyDescent="0.25">
      <c r="A375" s="1" t="s">
        <v>832</v>
      </c>
      <c r="B375" s="2" t="s">
        <v>29</v>
      </c>
      <c r="C375" s="2"/>
      <c r="D375" s="2"/>
      <c r="E375" s="2" t="s">
        <v>766</v>
      </c>
      <c r="F375" s="2">
        <v>1</v>
      </c>
      <c r="G375" s="2">
        <v>0.23</v>
      </c>
      <c r="H375" s="2" t="s">
        <v>38</v>
      </c>
      <c r="I375" s="2" t="s">
        <v>32</v>
      </c>
      <c r="J375" s="2" t="s">
        <v>33</v>
      </c>
      <c r="K375" s="2"/>
      <c r="L375" s="2"/>
      <c r="M375" s="2"/>
      <c r="N375" s="2"/>
      <c r="O375" s="2" t="s">
        <v>77</v>
      </c>
      <c r="P375" s="2"/>
      <c r="Q375" s="2"/>
      <c r="R375" s="2">
        <v>2100</v>
      </c>
      <c r="S375" s="2">
        <v>483</v>
      </c>
      <c r="T375" s="13" t="str">
        <f t="shared" si="11"/>
        <v>PTPG03AAAAAA</v>
      </c>
      <c r="U375" s="2" t="s">
        <v>833</v>
      </c>
      <c r="V375" s="2"/>
      <c r="W375" s="2">
        <v>3.04</v>
      </c>
      <c r="X375" s="2">
        <v>6.57</v>
      </c>
      <c r="Y375" s="2">
        <v>1.59</v>
      </c>
      <c r="Z375" s="2">
        <v>0</v>
      </c>
      <c r="AA375" s="2">
        <v>0</v>
      </c>
      <c r="AB375" s="2">
        <v>0.46</v>
      </c>
      <c r="AC375" s="3" t="str">
        <f t="shared" si="10"/>
        <v>Loose</v>
      </c>
    </row>
    <row r="376" spans="1:29" x14ac:dyDescent="0.25">
      <c r="A376" s="1" t="s">
        <v>834</v>
      </c>
      <c r="B376" s="2" t="s">
        <v>29</v>
      </c>
      <c r="C376" s="2"/>
      <c r="D376" s="2"/>
      <c r="E376" s="2" t="s">
        <v>766</v>
      </c>
      <c r="F376" s="2">
        <v>2</v>
      </c>
      <c r="G376" s="2">
        <v>0.19</v>
      </c>
      <c r="H376" s="2" t="s">
        <v>137</v>
      </c>
      <c r="I376" s="2" t="s">
        <v>53</v>
      </c>
      <c r="J376" s="2" t="s">
        <v>33</v>
      </c>
      <c r="K376" s="2"/>
      <c r="L376" s="2"/>
      <c r="M376" s="2"/>
      <c r="N376" s="2"/>
      <c r="O376" s="2" t="s">
        <v>34</v>
      </c>
      <c r="P376" s="2"/>
      <c r="Q376" s="2"/>
      <c r="R376" s="2">
        <v>1900</v>
      </c>
      <c r="S376" s="2">
        <v>361</v>
      </c>
      <c r="T376" s="13" t="str">
        <f t="shared" si="11"/>
        <v>KAYTRS039C</v>
      </c>
      <c r="U376" s="2" t="s">
        <v>835</v>
      </c>
      <c r="V376" s="2"/>
      <c r="W376" s="2">
        <v>2.37</v>
      </c>
      <c r="X376" s="2">
        <v>6.09</v>
      </c>
      <c r="Y376" s="2">
        <v>1.04</v>
      </c>
      <c r="Z376" s="2">
        <v>0</v>
      </c>
      <c r="AA376" s="2">
        <v>0</v>
      </c>
      <c r="AB376" s="2">
        <v>0.39</v>
      </c>
      <c r="AC376" s="3" t="str">
        <f t="shared" si="10"/>
        <v>Pair</v>
      </c>
    </row>
    <row r="377" spans="1:29" x14ac:dyDescent="0.25">
      <c r="A377" s="1" t="s">
        <v>836</v>
      </c>
      <c r="B377" s="2" t="s">
        <v>29</v>
      </c>
      <c r="C377" s="2"/>
      <c r="D377" s="2"/>
      <c r="E377" s="2" t="s">
        <v>766</v>
      </c>
      <c r="F377" s="2">
        <v>1</v>
      </c>
      <c r="G377" s="2">
        <v>0.3</v>
      </c>
      <c r="H377" s="2" t="s">
        <v>31</v>
      </c>
      <c r="I377" s="2" t="s">
        <v>57</v>
      </c>
      <c r="J377" s="2" t="s">
        <v>33</v>
      </c>
      <c r="K377" s="2"/>
      <c r="L377" s="2"/>
      <c r="M377" s="2"/>
      <c r="N377" s="2"/>
      <c r="O377" s="2" t="s">
        <v>46</v>
      </c>
      <c r="P377" s="2"/>
      <c r="Q377" s="2"/>
      <c r="R377" s="2">
        <v>1134</v>
      </c>
      <c r="S377" s="2">
        <v>340.2</v>
      </c>
      <c r="T377" s="13" t="str">
        <f t="shared" si="11"/>
        <v>MN04A</v>
      </c>
      <c r="U377" s="2" t="s">
        <v>837</v>
      </c>
      <c r="V377" s="2"/>
      <c r="W377" s="2">
        <v>3.89</v>
      </c>
      <c r="X377" s="2">
        <v>8.0299999999999994</v>
      </c>
      <c r="Y377" s="2">
        <v>2.08</v>
      </c>
      <c r="Z377" s="2">
        <v>0</v>
      </c>
      <c r="AA377" s="2">
        <v>0</v>
      </c>
      <c r="AB377" s="2">
        <v>0.48</v>
      </c>
      <c r="AC377" s="3" t="str">
        <f t="shared" si="10"/>
        <v>Loose</v>
      </c>
    </row>
    <row r="378" spans="1:29" x14ac:dyDescent="0.25">
      <c r="A378" s="1" t="s">
        <v>838</v>
      </c>
      <c r="B378" s="2" t="s">
        <v>29</v>
      </c>
      <c r="C378" s="2"/>
      <c r="D378" s="2"/>
      <c r="E378" s="2" t="s">
        <v>766</v>
      </c>
      <c r="F378" s="2">
        <v>1</v>
      </c>
      <c r="G378" s="2">
        <v>0.15</v>
      </c>
      <c r="H378" s="2" t="s">
        <v>396</v>
      </c>
      <c r="I378" s="2" t="s">
        <v>57</v>
      </c>
      <c r="J378" s="2" t="s">
        <v>33</v>
      </c>
      <c r="K378" s="2"/>
      <c r="L378" s="2"/>
      <c r="M378" s="2"/>
      <c r="N378" s="2"/>
      <c r="O378" s="2" t="s">
        <v>34</v>
      </c>
      <c r="P378" s="2"/>
      <c r="Q378" s="2"/>
      <c r="R378" s="2">
        <v>2500</v>
      </c>
      <c r="S378" s="2">
        <v>375</v>
      </c>
      <c r="T378" s="13" t="str">
        <f t="shared" si="11"/>
        <v>ZYB043BA</v>
      </c>
      <c r="U378" s="2" t="s">
        <v>839</v>
      </c>
      <c r="V378" s="2"/>
      <c r="W378" s="2">
        <v>2.48</v>
      </c>
      <c r="X378" s="2">
        <v>7.69</v>
      </c>
      <c r="Y378" s="2">
        <v>1.1599999999999999</v>
      </c>
      <c r="Z378" s="2">
        <v>0</v>
      </c>
      <c r="AA378" s="2">
        <v>0</v>
      </c>
      <c r="AB378" s="2">
        <v>0.32</v>
      </c>
      <c r="AC378" s="3" t="str">
        <f t="shared" si="10"/>
        <v>Loose</v>
      </c>
    </row>
    <row r="379" spans="1:29" x14ac:dyDescent="0.25">
      <c r="A379" s="1" t="s">
        <v>840</v>
      </c>
      <c r="B379" s="2" t="s">
        <v>29</v>
      </c>
      <c r="C379" s="2"/>
      <c r="D379" s="2"/>
      <c r="E379" s="2" t="s">
        <v>766</v>
      </c>
      <c r="F379" s="2">
        <v>1</v>
      </c>
      <c r="G379" s="2">
        <v>0.12</v>
      </c>
      <c r="H379" s="2" t="s">
        <v>396</v>
      </c>
      <c r="I379" s="2" t="s">
        <v>57</v>
      </c>
      <c r="J379" s="2" t="s">
        <v>33</v>
      </c>
      <c r="K379" s="2"/>
      <c r="L379" s="2"/>
      <c r="M379" s="2"/>
      <c r="N379" s="2"/>
      <c r="O379" s="2" t="s">
        <v>46</v>
      </c>
      <c r="P379" s="2"/>
      <c r="Q379" s="2"/>
      <c r="R379" s="2">
        <v>419</v>
      </c>
      <c r="S379" s="2">
        <v>50.28</v>
      </c>
      <c r="T379" s="13" t="str">
        <f t="shared" si="11"/>
        <v>PLT520AAABAA</v>
      </c>
      <c r="U379" s="2" t="s">
        <v>841</v>
      </c>
      <c r="V379" s="2"/>
      <c r="W379" s="2">
        <v>2.12</v>
      </c>
      <c r="X379" s="2">
        <v>8.07</v>
      </c>
      <c r="Y379" s="2">
        <v>1.01</v>
      </c>
      <c r="Z379" s="2">
        <v>0</v>
      </c>
      <c r="AA379" s="2">
        <v>0</v>
      </c>
      <c r="AB379" s="2">
        <v>0.26</v>
      </c>
      <c r="AC379" s="3" t="str">
        <f t="shared" si="10"/>
        <v>Loose</v>
      </c>
    </row>
    <row r="380" spans="1:29" x14ac:dyDescent="0.25">
      <c r="A380" s="1" t="s">
        <v>842</v>
      </c>
      <c r="B380" s="2" t="s">
        <v>29</v>
      </c>
      <c r="C380" s="2"/>
      <c r="D380" s="2"/>
      <c r="E380" s="2" t="s">
        <v>766</v>
      </c>
      <c r="F380" s="2">
        <v>1</v>
      </c>
      <c r="G380" s="2">
        <v>0.18</v>
      </c>
      <c r="H380" s="2" t="s">
        <v>396</v>
      </c>
      <c r="I380" s="2" t="s">
        <v>53</v>
      </c>
      <c r="J380" s="2" t="s">
        <v>33</v>
      </c>
      <c r="K380" s="2"/>
      <c r="L380" s="2"/>
      <c r="M380" s="2"/>
      <c r="N380" s="2"/>
      <c r="O380" s="2" t="s">
        <v>46</v>
      </c>
      <c r="P380" s="2"/>
      <c r="Q380" s="2"/>
      <c r="R380" s="2">
        <v>2200</v>
      </c>
      <c r="S380" s="2">
        <v>396</v>
      </c>
      <c r="T380" s="13" t="str">
        <f t="shared" si="11"/>
        <v>NR105BA</v>
      </c>
      <c r="U380" s="2" t="s">
        <v>843</v>
      </c>
      <c r="V380" s="2"/>
      <c r="W380" s="2">
        <v>3</v>
      </c>
      <c r="X380" s="2">
        <v>6.23</v>
      </c>
      <c r="Y380" s="2">
        <v>1.38</v>
      </c>
      <c r="Z380" s="2">
        <v>0</v>
      </c>
      <c r="AA380" s="2">
        <v>0</v>
      </c>
      <c r="AB380" s="2">
        <v>0.48</v>
      </c>
      <c r="AC380" s="3" t="str">
        <f t="shared" si="10"/>
        <v>Loose</v>
      </c>
    </row>
    <row r="381" spans="1:29" x14ac:dyDescent="0.25">
      <c r="A381" s="1" t="s">
        <v>844</v>
      </c>
      <c r="B381" s="2" t="s">
        <v>29</v>
      </c>
      <c r="C381" s="2"/>
      <c r="D381" s="2"/>
      <c r="E381" s="2" t="s">
        <v>766</v>
      </c>
      <c r="F381" s="2">
        <v>1</v>
      </c>
      <c r="G381" s="2">
        <v>0.13</v>
      </c>
      <c r="H381" s="2" t="s">
        <v>76</v>
      </c>
      <c r="I381" s="2" t="s">
        <v>32</v>
      </c>
      <c r="J381" s="2" t="s">
        <v>33</v>
      </c>
      <c r="K381" s="2"/>
      <c r="L381" s="2"/>
      <c r="M381" s="2"/>
      <c r="N381" s="2"/>
      <c r="O381" s="2" t="s">
        <v>34</v>
      </c>
      <c r="P381" s="2"/>
      <c r="Q381" s="2"/>
      <c r="R381" s="2">
        <v>1600</v>
      </c>
      <c r="S381" s="2">
        <v>208</v>
      </c>
      <c r="T381" s="13" t="str">
        <f t="shared" si="11"/>
        <v>PLTT193ABA</v>
      </c>
      <c r="U381" s="2" t="s">
        <v>845</v>
      </c>
      <c r="V381" s="2"/>
      <c r="W381" s="2">
        <v>2.69</v>
      </c>
      <c r="X381" s="2">
        <v>5.76</v>
      </c>
      <c r="Y381" s="2">
        <v>1.31</v>
      </c>
      <c r="Z381" s="2">
        <v>0</v>
      </c>
      <c r="AA381" s="2">
        <v>0</v>
      </c>
      <c r="AB381" s="2">
        <v>0.47</v>
      </c>
      <c r="AC381" s="3" t="str">
        <f t="shared" si="10"/>
        <v>Loose</v>
      </c>
    </row>
    <row r="382" spans="1:29" x14ac:dyDescent="0.25">
      <c r="A382" s="1" t="s">
        <v>846</v>
      </c>
      <c r="B382" s="2" t="s">
        <v>29</v>
      </c>
      <c r="C382" s="2"/>
      <c r="D382" s="2"/>
      <c r="E382" s="2" t="s">
        <v>766</v>
      </c>
      <c r="F382" s="2">
        <v>1</v>
      </c>
      <c r="G382" s="2">
        <v>0.24</v>
      </c>
      <c r="H382" s="2" t="s">
        <v>43</v>
      </c>
      <c r="I382" s="2" t="s">
        <v>148</v>
      </c>
      <c r="J382" s="2" t="s">
        <v>69</v>
      </c>
      <c r="K382" s="2"/>
      <c r="L382" s="2"/>
      <c r="M382" s="2"/>
      <c r="N382" s="2"/>
      <c r="O382" s="2" t="s">
        <v>34</v>
      </c>
      <c r="P382" s="2"/>
      <c r="Q382" s="2"/>
      <c r="R382" s="2">
        <v>575</v>
      </c>
      <c r="S382" s="2">
        <v>138</v>
      </c>
      <c r="T382" s="13" t="str">
        <f t="shared" si="11"/>
        <v>LDRK06ABAAA</v>
      </c>
      <c r="U382" s="2" t="s">
        <v>847</v>
      </c>
      <c r="V382" s="2"/>
      <c r="W382" s="2">
        <v>3.94</v>
      </c>
      <c r="X382" s="2">
        <v>8.1300000000000008</v>
      </c>
      <c r="Y382" s="2">
        <v>1.73</v>
      </c>
      <c r="Z382" s="2">
        <v>0</v>
      </c>
      <c r="AA382" s="2">
        <v>0</v>
      </c>
      <c r="AB382" s="2">
        <v>0.48</v>
      </c>
      <c r="AC382" s="3" t="str">
        <f t="shared" si="10"/>
        <v>Loose</v>
      </c>
    </row>
    <row r="383" spans="1:29" x14ac:dyDescent="0.25">
      <c r="A383" s="1" t="s">
        <v>848</v>
      </c>
      <c r="B383" s="2" t="s">
        <v>29</v>
      </c>
      <c r="C383" s="2"/>
      <c r="D383" s="2"/>
      <c r="E383" s="2" t="s">
        <v>766</v>
      </c>
      <c r="F383" s="2">
        <v>1</v>
      </c>
      <c r="G383" s="2">
        <v>0.13</v>
      </c>
      <c r="H383" s="2" t="s">
        <v>396</v>
      </c>
      <c r="I383" s="2" t="s">
        <v>57</v>
      </c>
      <c r="J383" s="2" t="s">
        <v>33</v>
      </c>
      <c r="K383" s="2"/>
      <c r="L383" s="2"/>
      <c r="M383" s="2"/>
      <c r="N383" s="2"/>
      <c r="O383" s="2" t="s">
        <v>46</v>
      </c>
      <c r="P383" s="2"/>
      <c r="Q383" s="2"/>
      <c r="R383" s="2">
        <v>2200</v>
      </c>
      <c r="S383" s="2">
        <v>286</v>
      </c>
      <c r="T383" s="13" t="str">
        <f t="shared" si="11"/>
        <v>NR066AAAAAAA</v>
      </c>
      <c r="U383" s="2" t="s">
        <v>849</v>
      </c>
      <c r="V383" s="2"/>
      <c r="W383" s="2">
        <v>3.11</v>
      </c>
      <c r="X383" s="2">
        <v>5.68</v>
      </c>
      <c r="Y383" s="2">
        <v>1.26</v>
      </c>
      <c r="Z383" s="2">
        <v>0</v>
      </c>
      <c r="AA383" s="2">
        <v>0</v>
      </c>
      <c r="AB383" s="2">
        <v>0.55000000000000004</v>
      </c>
      <c r="AC383" s="3" t="str">
        <f t="shared" si="10"/>
        <v>Loose</v>
      </c>
    </row>
    <row r="384" spans="1:29" x14ac:dyDescent="0.25">
      <c r="A384" s="1" t="s">
        <v>850</v>
      </c>
      <c r="B384" s="2" t="s">
        <v>29</v>
      </c>
      <c r="C384" s="2"/>
      <c r="D384" s="2"/>
      <c r="E384" s="2" t="s">
        <v>766</v>
      </c>
      <c r="F384" s="2">
        <v>1</v>
      </c>
      <c r="G384" s="2">
        <v>0.16</v>
      </c>
      <c r="H384" s="2" t="s">
        <v>137</v>
      </c>
      <c r="I384" s="2" t="s">
        <v>68</v>
      </c>
      <c r="J384" s="2" t="s">
        <v>33</v>
      </c>
      <c r="K384" s="2"/>
      <c r="L384" s="2"/>
      <c r="M384" s="2"/>
      <c r="N384" s="2"/>
      <c r="O384" s="2" t="s">
        <v>46</v>
      </c>
      <c r="P384" s="2"/>
      <c r="Q384" s="2"/>
      <c r="R384" s="2">
        <v>2700</v>
      </c>
      <c r="S384" s="2">
        <v>432</v>
      </c>
      <c r="T384" s="13" t="str">
        <f t="shared" si="11"/>
        <v>PLT030001AABA</v>
      </c>
      <c r="U384" s="2" t="s">
        <v>851</v>
      </c>
      <c r="V384" s="2"/>
      <c r="W384" s="2">
        <v>2.2999999999999998</v>
      </c>
      <c r="X384" s="2">
        <v>7.75</v>
      </c>
      <c r="Y384" s="2">
        <v>1.28</v>
      </c>
      <c r="Z384" s="2">
        <v>0</v>
      </c>
      <c r="AA384" s="2">
        <v>0</v>
      </c>
      <c r="AB384" s="2">
        <v>0.3</v>
      </c>
      <c r="AC384" s="3" t="str">
        <f t="shared" si="10"/>
        <v>Loose</v>
      </c>
    </row>
    <row r="385" spans="1:29" x14ac:dyDescent="0.25">
      <c r="A385" s="1" t="s">
        <v>852</v>
      </c>
      <c r="B385" s="2" t="s">
        <v>29</v>
      </c>
      <c r="C385" s="2"/>
      <c r="D385" s="2"/>
      <c r="E385" s="2" t="s">
        <v>766</v>
      </c>
      <c r="F385" s="2">
        <v>1</v>
      </c>
      <c r="G385" s="2">
        <v>0.13</v>
      </c>
      <c r="H385" s="2" t="s">
        <v>43</v>
      </c>
      <c r="I385" s="2" t="s">
        <v>39</v>
      </c>
      <c r="J385" s="2" t="s">
        <v>33</v>
      </c>
      <c r="K385" s="2"/>
      <c r="L385" s="2"/>
      <c r="M385" s="2"/>
      <c r="N385" s="2"/>
      <c r="O385" s="2" t="s">
        <v>34</v>
      </c>
      <c r="P385" s="2"/>
      <c r="Q385" s="2"/>
      <c r="R385" s="2">
        <v>2100</v>
      </c>
      <c r="S385" s="2">
        <v>273</v>
      </c>
      <c r="T385" s="13" t="str">
        <f t="shared" si="11"/>
        <v>ADKB311BAA</v>
      </c>
      <c r="U385" s="2" t="s">
        <v>853</v>
      </c>
      <c r="V385" s="2"/>
      <c r="W385" s="2">
        <v>2.72</v>
      </c>
      <c r="X385" s="2">
        <v>5.63</v>
      </c>
      <c r="Y385" s="2">
        <v>1.22</v>
      </c>
      <c r="Z385" s="2">
        <v>0</v>
      </c>
      <c r="AA385" s="2">
        <v>0</v>
      </c>
      <c r="AB385" s="2">
        <v>0.48</v>
      </c>
      <c r="AC385" s="3" t="str">
        <f t="shared" si="10"/>
        <v>Loose</v>
      </c>
    </row>
    <row r="386" spans="1:29" x14ac:dyDescent="0.25">
      <c r="A386" s="1" t="s">
        <v>854</v>
      </c>
      <c r="B386" s="2" t="s">
        <v>29</v>
      </c>
      <c r="C386" s="2"/>
      <c r="D386" s="2"/>
      <c r="E386" s="2" t="s">
        <v>766</v>
      </c>
      <c r="F386" s="2">
        <v>1</v>
      </c>
      <c r="G386" s="2">
        <v>0.14000000000000001</v>
      </c>
      <c r="H386" s="2" t="s">
        <v>396</v>
      </c>
      <c r="I386" s="2" t="s">
        <v>32</v>
      </c>
      <c r="J386" s="2" t="s">
        <v>33</v>
      </c>
      <c r="K386" s="2"/>
      <c r="L386" s="2"/>
      <c r="M386" s="2"/>
      <c r="N386" s="2"/>
      <c r="O386" s="2" t="s">
        <v>34</v>
      </c>
      <c r="P386" s="2"/>
      <c r="Q386" s="2"/>
      <c r="R386" s="2">
        <v>2105</v>
      </c>
      <c r="S386" s="2">
        <v>294.7</v>
      </c>
      <c r="T386" s="13" t="str">
        <f t="shared" si="11"/>
        <v>LZ04ABAAA</v>
      </c>
      <c r="U386" s="2" t="s">
        <v>855</v>
      </c>
      <c r="V386" s="2"/>
      <c r="W386" s="2">
        <v>2.7</v>
      </c>
      <c r="X386" s="2">
        <v>6.14</v>
      </c>
      <c r="Y386" s="2">
        <v>1.35</v>
      </c>
      <c r="Z386" s="2">
        <v>0</v>
      </c>
      <c r="AA386" s="2">
        <v>0</v>
      </c>
      <c r="AB386" s="2">
        <v>0.44</v>
      </c>
      <c r="AC386" s="3" t="str">
        <f t="shared" ref="AC386:AC449" si="12">IF(F386=2,"Pair","Loose")</f>
        <v>Loose</v>
      </c>
    </row>
    <row r="387" spans="1:29" x14ac:dyDescent="0.25">
      <c r="A387" s="1" t="s">
        <v>856</v>
      </c>
      <c r="B387" s="2" t="s">
        <v>29</v>
      </c>
      <c r="C387" s="2"/>
      <c r="D387" s="2"/>
      <c r="E387" s="2" t="s">
        <v>766</v>
      </c>
      <c r="F387" s="2">
        <v>2</v>
      </c>
      <c r="G387" s="2">
        <v>0.38</v>
      </c>
      <c r="H387" s="2" t="s">
        <v>396</v>
      </c>
      <c r="I387" s="2" t="s">
        <v>53</v>
      </c>
      <c r="J387" s="2" t="s">
        <v>33</v>
      </c>
      <c r="K387" s="2"/>
      <c r="L387" s="2"/>
      <c r="M387" s="2"/>
      <c r="N387" s="2"/>
      <c r="O387" s="2" t="s">
        <v>34</v>
      </c>
      <c r="P387" s="2"/>
      <c r="Q387" s="2"/>
      <c r="R387" s="2">
        <v>2700</v>
      </c>
      <c r="S387" s="2">
        <v>1026</v>
      </c>
      <c r="T387" s="13" t="str">
        <f t="shared" si="11"/>
        <v>KAYTRS051</v>
      </c>
      <c r="U387" s="2" t="s">
        <v>857</v>
      </c>
      <c r="V387" s="2"/>
      <c r="W387" s="2">
        <v>3.38</v>
      </c>
      <c r="X387" s="2">
        <v>5.99</v>
      </c>
      <c r="Y387" s="2">
        <v>1.57</v>
      </c>
      <c r="Z387" s="2">
        <v>0</v>
      </c>
      <c r="AA387" s="2">
        <v>0</v>
      </c>
      <c r="AB387" s="2">
        <v>0.56000000000000005</v>
      </c>
      <c r="AC387" s="3" t="str">
        <f t="shared" si="12"/>
        <v>Pair</v>
      </c>
    </row>
    <row r="388" spans="1:29" x14ac:dyDescent="0.25">
      <c r="A388" s="1" t="s">
        <v>858</v>
      </c>
      <c r="B388" s="2" t="s">
        <v>29</v>
      </c>
      <c r="C388" s="2"/>
      <c r="D388" s="2"/>
      <c r="E388" s="2" t="s">
        <v>766</v>
      </c>
      <c r="F388" s="2">
        <v>1</v>
      </c>
      <c r="G388" s="2">
        <v>0.23</v>
      </c>
      <c r="H388" s="2" t="s">
        <v>67</v>
      </c>
      <c r="I388" s="2" t="s">
        <v>68</v>
      </c>
      <c r="J388" s="2" t="s">
        <v>69</v>
      </c>
      <c r="K388" s="2"/>
      <c r="L388" s="2"/>
      <c r="M388" s="2"/>
      <c r="N388" s="2"/>
      <c r="O388" s="2" t="s">
        <v>70</v>
      </c>
      <c r="P388" s="2"/>
      <c r="Q388" s="2"/>
      <c r="R388" s="2">
        <v>1800</v>
      </c>
      <c r="S388" s="2">
        <v>414</v>
      </c>
      <c r="T388" s="13" t="str">
        <f t="shared" si="11"/>
        <v>LVP009AA</v>
      </c>
      <c r="U388" s="2" t="s">
        <v>859</v>
      </c>
      <c r="V388" s="2"/>
      <c r="W388" s="2">
        <v>3.63</v>
      </c>
      <c r="X388" s="2">
        <v>7.59</v>
      </c>
      <c r="Y388" s="2">
        <v>1.83</v>
      </c>
      <c r="Z388" s="2">
        <v>0</v>
      </c>
      <c r="AA388" s="2">
        <v>0</v>
      </c>
      <c r="AB388" s="2">
        <v>0.48</v>
      </c>
      <c r="AC388" s="3" t="str">
        <f t="shared" si="12"/>
        <v>Loose</v>
      </c>
    </row>
    <row r="389" spans="1:29" x14ac:dyDescent="0.25">
      <c r="A389" s="1" t="s">
        <v>860</v>
      </c>
      <c r="B389" s="2" t="s">
        <v>29</v>
      </c>
      <c r="C389" s="2"/>
      <c r="D389" s="2"/>
      <c r="E389" s="2" t="s">
        <v>766</v>
      </c>
      <c r="F389" s="2">
        <v>1</v>
      </c>
      <c r="G389" s="2">
        <v>0.17</v>
      </c>
      <c r="H389" s="2" t="s">
        <v>43</v>
      </c>
      <c r="I389" s="2" t="s">
        <v>39</v>
      </c>
      <c r="J389" s="2" t="s">
        <v>33</v>
      </c>
      <c r="K389" s="2"/>
      <c r="L389" s="2"/>
      <c r="M389" s="2"/>
      <c r="N389" s="2"/>
      <c r="O389" s="2" t="s">
        <v>58</v>
      </c>
      <c r="P389" s="2"/>
      <c r="Q389" s="2"/>
      <c r="R389" s="2">
        <v>2100</v>
      </c>
      <c r="S389" s="2">
        <v>357</v>
      </c>
      <c r="T389" s="13" t="str">
        <f t="shared" si="11"/>
        <v>PLT4082013BBA</v>
      </c>
      <c r="U389" s="2" t="s">
        <v>861</v>
      </c>
      <c r="V389" s="2"/>
      <c r="W389" s="2">
        <v>2.84</v>
      </c>
      <c r="X389" s="2">
        <v>5.99</v>
      </c>
      <c r="Y389" s="2">
        <v>1.49</v>
      </c>
      <c r="Z389" s="2">
        <v>0</v>
      </c>
      <c r="AA389" s="2">
        <v>0</v>
      </c>
      <c r="AB389" s="2">
        <v>0.47</v>
      </c>
      <c r="AC389" s="3" t="str">
        <f t="shared" si="12"/>
        <v>Loose</v>
      </c>
    </row>
    <row r="390" spans="1:29" x14ac:dyDescent="0.25">
      <c r="A390" s="1" t="s">
        <v>862</v>
      </c>
      <c r="B390" s="2" t="s">
        <v>29</v>
      </c>
      <c r="C390" s="2"/>
      <c r="D390" s="2"/>
      <c r="E390" s="2" t="s">
        <v>766</v>
      </c>
      <c r="F390" s="2">
        <v>1</v>
      </c>
      <c r="G390" s="2">
        <v>0.94</v>
      </c>
      <c r="H390" s="2" t="s">
        <v>396</v>
      </c>
      <c r="I390" s="2" t="s">
        <v>53</v>
      </c>
      <c r="J390" s="2" t="s">
        <v>397</v>
      </c>
      <c r="K390" s="2"/>
      <c r="L390" s="2" t="s">
        <v>450</v>
      </c>
      <c r="M390" s="2" t="s">
        <v>38</v>
      </c>
      <c r="N390" s="2" t="s">
        <v>421</v>
      </c>
      <c r="O390" s="2" t="s">
        <v>70</v>
      </c>
      <c r="P390" s="2"/>
      <c r="Q390" s="2">
        <v>1489583264</v>
      </c>
      <c r="R390" s="2">
        <v>7000</v>
      </c>
      <c r="S390" s="2">
        <v>6580</v>
      </c>
      <c r="T390" s="13" t="str">
        <f t="shared" si="11"/>
        <v>KGK003AAA</v>
      </c>
      <c r="U390" s="2" t="s">
        <v>863</v>
      </c>
      <c r="V390" s="2"/>
      <c r="W390" s="2">
        <v>10.029999999999999</v>
      </c>
      <c r="X390" s="2">
        <v>6.1</v>
      </c>
      <c r="Y390" s="2">
        <v>3.32</v>
      </c>
      <c r="Z390" s="2">
        <v>54.4</v>
      </c>
      <c r="AA390" s="2">
        <v>65</v>
      </c>
      <c r="AB390" s="2">
        <v>1.64</v>
      </c>
      <c r="AC390" s="3" t="str">
        <f t="shared" si="12"/>
        <v>Loose</v>
      </c>
    </row>
    <row r="391" spans="1:29" x14ac:dyDescent="0.25">
      <c r="A391" s="1" t="s">
        <v>864</v>
      </c>
      <c r="B391" s="2" t="s">
        <v>29</v>
      </c>
      <c r="C391" s="2"/>
      <c r="D391" s="2"/>
      <c r="E391" s="2" t="s">
        <v>766</v>
      </c>
      <c r="F391" s="2">
        <v>1</v>
      </c>
      <c r="G391" s="2">
        <v>0.34</v>
      </c>
      <c r="H391" s="2" t="s">
        <v>137</v>
      </c>
      <c r="I391" s="2" t="s">
        <v>105</v>
      </c>
      <c r="J391" s="2" t="s">
        <v>69</v>
      </c>
      <c r="K391" s="2"/>
      <c r="L391" s="2" t="s">
        <v>450</v>
      </c>
      <c r="M391" s="2" t="s">
        <v>38</v>
      </c>
      <c r="N391" s="2" t="s">
        <v>421</v>
      </c>
      <c r="O391" s="2" t="s">
        <v>34</v>
      </c>
      <c r="P391" s="2"/>
      <c r="Q391" s="2">
        <v>2486573381</v>
      </c>
      <c r="R391" s="2">
        <v>2500</v>
      </c>
      <c r="S391" s="2">
        <v>850</v>
      </c>
      <c r="T391" s="13" t="str">
        <f t="shared" ref="T391:T454" si="13">IF(OR(TRIM(A391&amp;"")="",TRIM(A391&amp;"")="0"),"",HYPERLINK("https://gs.gsdiamonds.com/StoneDetails.aspx?name=" &amp; _xlfn.ENCODEURL(TRIM(A391&amp;"")), TRIM(A391&amp;"")))</f>
        <v>ELDE15AAAAA</v>
      </c>
      <c r="U391" s="2" t="s">
        <v>865</v>
      </c>
      <c r="V391" s="2"/>
      <c r="W391" s="2">
        <v>8.84</v>
      </c>
      <c r="X391" s="2">
        <v>4.08</v>
      </c>
      <c r="Y391" s="2">
        <v>2.2200000000000002</v>
      </c>
      <c r="Z391" s="2">
        <v>54.3</v>
      </c>
      <c r="AA391" s="2">
        <v>63</v>
      </c>
      <c r="AB391" s="2">
        <v>2.17</v>
      </c>
      <c r="AC391" s="3" t="str">
        <f t="shared" si="12"/>
        <v>Loose</v>
      </c>
    </row>
    <row r="392" spans="1:29" x14ac:dyDescent="0.25">
      <c r="A392" s="1" t="s">
        <v>866</v>
      </c>
      <c r="B392" s="2" t="s">
        <v>29</v>
      </c>
      <c r="C392" s="2"/>
      <c r="D392" s="2"/>
      <c r="E392" s="2" t="s">
        <v>766</v>
      </c>
      <c r="F392" s="2">
        <v>2</v>
      </c>
      <c r="G392" s="2">
        <v>0.48</v>
      </c>
      <c r="H392" s="2" t="s">
        <v>137</v>
      </c>
      <c r="I392" s="2" t="s">
        <v>53</v>
      </c>
      <c r="J392" s="2" t="s">
        <v>33</v>
      </c>
      <c r="K392" s="2"/>
      <c r="L392" s="2"/>
      <c r="M392" s="2"/>
      <c r="N392" s="2"/>
      <c r="O392" s="2"/>
      <c r="P392" s="2"/>
      <c r="Q392" s="2"/>
      <c r="R392" s="2">
        <v>2800</v>
      </c>
      <c r="S392" s="2">
        <v>1344</v>
      </c>
      <c r="T392" s="13" t="str">
        <f t="shared" si="13"/>
        <v>KAYTRS054</v>
      </c>
      <c r="U392" s="2" t="s">
        <v>867</v>
      </c>
      <c r="V392" s="2"/>
      <c r="W392" s="2">
        <v>2.84</v>
      </c>
      <c r="X392" s="2">
        <v>7.98</v>
      </c>
      <c r="Y392" s="2">
        <v>1.41</v>
      </c>
      <c r="Z392" s="2">
        <v>0</v>
      </c>
      <c r="AA392" s="2">
        <v>0</v>
      </c>
      <c r="AB392" s="2">
        <v>0.36</v>
      </c>
      <c r="AC392" s="3" t="str">
        <f t="shared" si="12"/>
        <v>Pair</v>
      </c>
    </row>
    <row r="393" spans="1:29" x14ac:dyDescent="0.25">
      <c r="A393" s="1" t="s">
        <v>868</v>
      </c>
      <c r="B393" s="2" t="s">
        <v>29</v>
      </c>
      <c r="C393" s="2"/>
      <c r="D393" s="2"/>
      <c r="E393" s="2" t="s">
        <v>766</v>
      </c>
      <c r="F393" s="2">
        <v>2</v>
      </c>
      <c r="G393" s="2">
        <v>0.14000000000000001</v>
      </c>
      <c r="H393" s="2" t="s">
        <v>396</v>
      </c>
      <c r="I393" s="2" t="s">
        <v>39</v>
      </c>
      <c r="J393" s="2" t="s">
        <v>33</v>
      </c>
      <c r="K393" s="2"/>
      <c r="L393" s="2"/>
      <c r="M393" s="2"/>
      <c r="N393" s="2"/>
      <c r="O393" s="2" t="s">
        <v>34</v>
      </c>
      <c r="P393" s="2"/>
      <c r="Q393" s="2"/>
      <c r="R393" s="2">
        <v>2300</v>
      </c>
      <c r="S393" s="2">
        <v>322</v>
      </c>
      <c r="T393" s="13" t="str">
        <f t="shared" si="13"/>
        <v>KAYT2020</v>
      </c>
      <c r="U393" s="2" t="s">
        <v>869</v>
      </c>
      <c r="V393" s="2"/>
      <c r="W393" s="2">
        <v>2.5099999999999998</v>
      </c>
      <c r="X393" s="2">
        <v>4.9800000000000004</v>
      </c>
      <c r="Y393" s="2">
        <v>1.37</v>
      </c>
      <c r="Z393" s="2">
        <v>0</v>
      </c>
      <c r="AA393" s="2">
        <v>0</v>
      </c>
      <c r="AB393" s="2">
        <v>0.5</v>
      </c>
      <c r="AC393" s="3" t="str">
        <f t="shared" si="12"/>
        <v>Pair</v>
      </c>
    </row>
    <row r="394" spans="1:29" x14ac:dyDescent="0.25">
      <c r="A394" s="1" t="s">
        <v>870</v>
      </c>
      <c r="B394" s="2" t="s">
        <v>29</v>
      </c>
      <c r="C394" s="2"/>
      <c r="D394" s="2"/>
      <c r="E394" s="2" t="s">
        <v>766</v>
      </c>
      <c r="F394" s="2">
        <v>1</v>
      </c>
      <c r="G394" s="2">
        <v>0.11</v>
      </c>
      <c r="H394" s="2" t="s">
        <v>38</v>
      </c>
      <c r="I394" s="2" t="s">
        <v>57</v>
      </c>
      <c r="J394" s="2" t="s">
        <v>33</v>
      </c>
      <c r="K394" s="2"/>
      <c r="L394" s="2"/>
      <c r="M394" s="2"/>
      <c r="N394" s="2"/>
      <c r="O394" s="2" t="s">
        <v>34</v>
      </c>
      <c r="P394" s="2"/>
      <c r="Q394" s="2"/>
      <c r="R394" s="2">
        <v>1100</v>
      </c>
      <c r="S394" s="2">
        <v>121</v>
      </c>
      <c r="T394" s="13" t="str">
        <f t="shared" si="13"/>
        <v>BLL022AAAB</v>
      </c>
      <c r="U394" s="2" t="s">
        <v>871</v>
      </c>
      <c r="V394" s="2"/>
      <c r="W394" s="2">
        <v>3.09</v>
      </c>
      <c r="X394" s="2">
        <v>6.2</v>
      </c>
      <c r="Y394" s="2">
        <v>1.25</v>
      </c>
      <c r="Z394" s="2">
        <v>0</v>
      </c>
      <c r="AA394" s="2">
        <v>0</v>
      </c>
      <c r="AB394" s="2">
        <v>0.5</v>
      </c>
      <c r="AC394" s="3" t="str">
        <f t="shared" si="12"/>
        <v>Loose</v>
      </c>
    </row>
    <row r="395" spans="1:29" x14ac:dyDescent="0.25">
      <c r="A395" s="1" t="s">
        <v>872</v>
      </c>
      <c r="B395" s="2" t="s">
        <v>29</v>
      </c>
      <c r="C395" s="2"/>
      <c r="D395" s="2"/>
      <c r="E395" s="2" t="s">
        <v>766</v>
      </c>
      <c r="F395" s="2">
        <v>1</v>
      </c>
      <c r="G395" s="2">
        <v>0.13</v>
      </c>
      <c r="H395" s="2" t="s">
        <v>137</v>
      </c>
      <c r="I395" s="2" t="s">
        <v>39</v>
      </c>
      <c r="J395" s="2" t="s">
        <v>33</v>
      </c>
      <c r="K395" s="2"/>
      <c r="L395" s="2"/>
      <c r="M395" s="2"/>
      <c r="N395" s="2"/>
      <c r="O395" s="2" t="s">
        <v>34</v>
      </c>
      <c r="P395" s="2"/>
      <c r="Q395" s="2"/>
      <c r="R395" s="2">
        <v>3000</v>
      </c>
      <c r="S395" s="2">
        <v>390</v>
      </c>
      <c r="T395" s="13" t="str">
        <f t="shared" si="13"/>
        <v>DRG03BBAAAA</v>
      </c>
      <c r="U395" s="2" t="s">
        <v>873</v>
      </c>
      <c r="V395" s="2"/>
      <c r="W395" s="2">
        <v>8.43</v>
      </c>
      <c r="X395" s="2">
        <v>2.09</v>
      </c>
      <c r="Y395" s="2">
        <v>0.99</v>
      </c>
      <c r="Z395" s="2">
        <v>0</v>
      </c>
      <c r="AA395" s="2">
        <v>0</v>
      </c>
      <c r="AB395" s="2">
        <v>4.03</v>
      </c>
      <c r="AC395" s="3" t="str">
        <f t="shared" si="12"/>
        <v>Loose</v>
      </c>
    </row>
    <row r="396" spans="1:29" x14ac:dyDescent="0.25">
      <c r="A396" s="1" t="s">
        <v>874</v>
      </c>
      <c r="B396" s="2" t="s">
        <v>29</v>
      </c>
      <c r="C396" s="2"/>
      <c r="D396" s="2"/>
      <c r="E396" s="2" t="s">
        <v>766</v>
      </c>
      <c r="F396" s="2">
        <v>1</v>
      </c>
      <c r="G396" s="2">
        <v>0.18</v>
      </c>
      <c r="H396" s="2" t="s">
        <v>137</v>
      </c>
      <c r="I396" s="2" t="s">
        <v>39</v>
      </c>
      <c r="J396" s="2" t="s">
        <v>33</v>
      </c>
      <c r="K396" s="2"/>
      <c r="L396" s="2"/>
      <c r="M396" s="2"/>
      <c r="N396" s="2"/>
      <c r="O396" s="2" t="s">
        <v>77</v>
      </c>
      <c r="P396" s="2"/>
      <c r="Q396" s="2"/>
      <c r="R396" s="2">
        <v>3000</v>
      </c>
      <c r="S396" s="2">
        <v>540</v>
      </c>
      <c r="T396" s="13" t="str">
        <f t="shared" si="13"/>
        <v>SHMN009BA</v>
      </c>
      <c r="U396" s="2" t="s">
        <v>875</v>
      </c>
      <c r="V396" s="2"/>
      <c r="W396" s="2">
        <v>2.52</v>
      </c>
      <c r="X396" s="2">
        <v>8.81</v>
      </c>
      <c r="Y396" s="2">
        <v>1.3</v>
      </c>
      <c r="Z396" s="2">
        <v>0</v>
      </c>
      <c r="AA396" s="2">
        <v>0</v>
      </c>
      <c r="AB396" s="2">
        <v>0.28999999999999998</v>
      </c>
      <c r="AC396" s="3" t="str">
        <f t="shared" si="12"/>
        <v>Loose</v>
      </c>
    </row>
    <row r="397" spans="1:29" x14ac:dyDescent="0.25">
      <c r="A397" s="1" t="s">
        <v>876</v>
      </c>
      <c r="B397" s="2" t="s">
        <v>29</v>
      </c>
      <c r="C397" s="2"/>
      <c r="D397" s="2"/>
      <c r="E397" s="2" t="s">
        <v>766</v>
      </c>
      <c r="F397" s="2">
        <v>1</v>
      </c>
      <c r="G397" s="2">
        <v>0.12</v>
      </c>
      <c r="H397" s="2" t="s">
        <v>396</v>
      </c>
      <c r="I397" s="2" t="s">
        <v>39</v>
      </c>
      <c r="J397" s="2" t="s">
        <v>33</v>
      </c>
      <c r="K397" s="2"/>
      <c r="L397" s="2"/>
      <c r="M397" s="2"/>
      <c r="N397" s="2"/>
      <c r="O397" s="2" t="s">
        <v>34</v>
      </c>
      <c r="P397" s="2"/>
      <c r="Q397" s="2"/>
      <c r="R397" s="2">
        <v>2800</v>
      </c>
      <c r="S397" s="2">
        <v>336</v>
      </c>
      <c r="T397" s="13" t="str">
        <f t="shared" si="13"/>
        <v>DRG03BBCABA</v>
      </c>
      <c r="U397" s="2" t="s">
        <v>877</v>
      </c>
      <c r="V397" s="2"/>
      <c r="W397" s="2">
        <v>2.25</v>
      </c>
      <c r="X397" s="2">
        <v>8.39</v>
      </c>
      <c r="Y397" s="2">
        <v>1.06</v>
      </c>
      <c r="Z397" s="2">
        <v>0</v>
      </c>
      <c r="AA397" s="2">
        <v>0</v>
      </c>
      <c r="AB397" s="2">
        <v>0.27</v>
      </c>
      <c r="AC397" s="3" t="str">
        <f t="shared" si="12"/>
        <v>Loose</v>
      </c>
    </row>
    <row r="398" spans="1:29" x14ac:dyDescent="0.25">
      <c r="A398" s="1" t="s">
        <v>878</v>
      </c>
      <c r="B398" s="2" t="s">
        <v>29</v>
      </c>
      <c r="C398" s="2"/>
      <c r="D398" s="2"/>
      <c r="E398" s="2" t="s">
        <v>766</v>
      </c>
      <c r="F398" s="2">
        <v>1</v>
      </c>
      <c r="G398" s="2">
        <v>0.18</v>
      </c>
      <c r="H398" s="2" t="s">
        <v>38</v>
      </c>
      <c r="I398" s="2" t="s">
        <v>39</v>
      </c>
      <c r="J398" s="2" t="s">
        <v>33</v>
      </c>
      <c r="K398" s="2"/>
      <c r="L398" s="2"/>
      <c r="M398" s="2"/>
      <c r="N398" s="2"/>
      <c r="O398" s="2" t="s">
        <v>58</v>
      </c>
      <c r="P398" s="2"/>
      <c r="Q398" s="2"/>
      <c r="R398" s="2">
        <v>2200</v>
      </c>
      <c r="S398" s="2">
        <v>396</v>
      </c>
      <c r="T398" s="13" t="str">
        <f t="shared" si="13"/>
        <v>SHNY026BA</v>
      </c>
      <c r="U398" s="2" t="s">
        <v>879</v>
      </c>
      <c r="V398" s="2"/>
      <c r="W398" s="2">
        <v>3.24</v>
      </c>
      <c r="X398" s="2">
        <v>6.56</v>
      </c>
      <c r="Y398" s="2">
        <v>1.52</v>
      </c>
      <c r="Z398" s="2">
        <v>0</v>
      </c>
      <c r="AA398" s="2">
        <v>0</v>
      </c>
      <c r="AB398" s="2">
        <v>0.49</v>
      </c>
      <c r="AC398" s="3" t="str">
        <f t="shared" si="12"/>
        <v>Loose</v>
      </c>
    </row>
    <row r="399" spans="1:29" x14ac:dyDescent="0.25">
      <c r="A399" s="1" t="s">
        <v>880</v>
      </c>
      <c r="B399" s="2" t="s">
        <v>29</v>
      </c>
      <c r="C399" s="2"/>
      <c r="D399" s="2"/>
      <c r="E399" s="2" t="s">
        <v>766</v>
      </c>
      <c r="F399" s="2">
        <v>1</v>
      </c>
      <c r="G399" s="2">
        <v>0.11</v>
      </c>
      <c r="H399" s="2" t="s">
        <v>137</v>
      </c>
      <c r="I399" s="2" t="s">
        <v>50</v>
      </c>
      <c r="J399" s="2" t="s">
        <v>33</v>
      </c>
      <c r="K399" s="2"/>
      <c r="L399" s="2"/>
      <c r="M399" s="2"/>
      <c r="N399" s="2"/>
      <c r="O399" s="2" t="s">
        <v>34</v>
      </c>
      <c r="P399" s="2"/>
      <c r="Q399" s="2"/>
      <c r="R399" s="2">
        <v>700</v>
      </c>
      <c r="S399" s="2">
        <v>77</v>
      </c>
      <c r="T399" s="13" t="str">
        <f t="shared" si="13"/>
        <v>SHMB013BA</v>
      </c>
      <c r="U399" s="2" t="s">
        <v>881</v>
      </c>
      <c r="V399" s="2"/>
      <c r="W399" s="2">
        <v>2.98</v>
      </c>
      <c r="X399" s="2">
        <v>6.39</v>
      </c>
      <c r="Y399" s="2">
        <v>1.24</v>
      </c>
      <c r="Z399" s="2">
        <v>0</v>
      </c>
      <c r="AA399" s="2">
        <v>0</v>
      </c>
      <c r="AB399" s="2">
        <v>0.47</v>
      </c>
      <c r="AC399" s="3" t="str">
        <f t="shared" si="12"/>
        <v>Loose</v>
      </c>
    </row>
    <row r="400" spans="1:29" x14ac:dyDescent="0.25">
      <c r="A400" s="1" t="s">
        <v>882</v>
      </c>
      <c r="B400" s="2" t="s">
        <v>29</v>
      </c>
      <c r="C400" s="2"/>
      <c r="D400" s="2"/>
      <c r="E400" s="2" t="s">
        <v>766</v>
      </c>
      <c r="F400" s="2">
        <v>1</v>
      </c>
      <c r="G400" s="2">
        <v>0.18</v>
      </c>
      <c r="H400" s="2" t="s">
        <v>38</v>
      </c>
      <c r="I400" s="2" t="s">
        <v>57</v>
      </c>
      <c r="J400" s="2" t="s">
        <v>33</v>
      </c>
      <c r="K400" s="2"/>
      <c r="L400" s="2"/>
      <c r="M400" s="2"/>
      <c r="N400" s="2"/>
      <c r="O400" s="2" t="s">
        <v>58</v>
      </c>
      <c r="P400" s="2"/>
      <c r="Q400" s="2"/>
      <c r="R400" s="2">
        <v>2100</v>
      </c>
      <c r="S400" s="2">
        <v>378</v>
      </c>
      <c r="T400" s="13" t="str">
        <f t="shared" si="13"/>
        <v>AUR13BA</v>
      </c>
      <c r="U400" s="2" t="s">
        <v>883</v>
      </c>
      <c r="V400" s="2"/>
      <c r="W400" s="2">
        <v>3.2</v>
      </c>
      <c r="X400" s="2">
        <v>6.39</v>
      </c>
      <c r="Y400" s="2">
        <v>1.37</v>
      </c>
      <c r="Z400" s="2">
        <v>0</v>
      </c>
      <c r="AA400" s="2">
        <v>0</v>
      </c>
      <c r="AB400" s="2">
        <v>0.5</v>
      </c>
      <c r="AC400" s="3" t="str">
        <f t="shared" si="12"/>
        <v>Loose</v>
      </c>
    </row>
    <row r="401" spans="1:29" x14ac:dyDescent="0.25">
      <c r="A401" s="1" t="s">
        <v>884</v>
      </c>
      <c r="B401" s="2" t="s">
        <v>29</v>
      </c>
      <c r="C401" s="2"/>
      <c r="D401" s="2"/>
      <c r="E401" s="2" t="s">
        <v>766</v>
      </c>
      <c r="F401" s="2">
        <v>2</v>
      </c>
      <c r="G401" s="2">
        <v>0.42</v>
      </c>
      <c r="H401" s="2" t="s">
        <v>396</v>
      </c>
      <c r="I401" s="2" t="s">
        <v>39</v>
      </c>
      <c r="J401" s="2" t="s">
        <v>397</v>
      </c>
      <c r="K401" s="2"/>
      <c r="L401" s="2"/>
      <c r="M401" s="2"/>
      <c r="N401" s="2"/>
      <c r="O401" s="2" t="s">
        <v>34</v>
      </c>
      <c r="P401" s="2"/>
      <c r="Q401" s="2"/>
      <c r="R401" s="2">
        <v>3500</v>
      </c>
      <c r="S401" s="2">
        <v>1470</v>
      </c>
      <c r="T401" s="13" t="str">
        <f t="shared" si="13"/>
        <v>KAYT385</v>
      </c>
      <c r="U401" s="2" t="s">
        <v>885</v>
      </c>
      <c r="V401" s="2"/>
      <c r="W401" s="2">
        <v>7.93</v>
      </c>
      <c r="X401" s="2">
        <v>3.78</v>
      </c>
      <c r="Y401" s="2">
        <v>1.68</v>
      </c>
      <c r="Z401" s="2">
        <v>0</v>
      </c>
      <c r="AA401" s="2">
        <v>0</v>
      </c>
      <c r="AB401" s="2">
        <v>2.1</v>
      </c>
      <c r="AC401" s="3" t="str">
        <f t="shared" si="12"/>
        <v>Pair</v>
      </c>
    </row>
    <row r="402" spans="1:29" x14ac:dyDescent="0.25">
      <c r="A402" s="1" t="s">
        <v>886</v>
      </c>
      <c r="B402" s="2" t="s">
        <v>29</v>
      </c>
      <c r="C402" s="2"/>
      <c r="D402" s="2"/>
      <c r="E402" s="2" t="s">
        <v>766</v>
      </c>
      <c r="F402" s="2">
        <v>2</v>
      </c>
      <c r="G402" s="2">
        <v>0.24</v>
      </c>
      <c r="H402" s="2" t="s">
        <v>396</v>
      </c>
      <c r="I402" s="2" t="s">
        <v>57</v>
      </c>
      <c r="J402" s="2" t="s">
        <v>33</v>
      </c>
      <c r="K402" s="2"/>
      <c r="L402" s="2"/>
      <c r="M402" s="2"/>
      <c r="N402" s="2"/>
      <c r="O402" s="2" t="s">
        <v>514</v>
      </c>
      <c r="P402" s="2"/>
      <c r="Q402" s="2"/>
      <c r="R402" s="2">
        <v>2100</v>
      </c>
      <c r="S402" s="2">
        <v>504</v>
      </c>
      <c r="T402" s="13" t="str">
        <f t="shared" si="13"/>
        <v>KAYTRS055</v>
      </c>
      <c r="U402" s="2" t="s">
        <v>887</v>
      </c>
      <c r="V402" s="2"/>
      <c r="W402" s="2">
        <v>2.77</v>
      </c>
      <c r="X402" s="2">
        <v>5.74</v>
      </c>
      <c r="Y402" s="2">
        <v>1.21</v>
      </c>
      <c r="Z402" s="2">
        <v>0</v>
      </c>
      <c r="AA402" s="2">
        <v>0</v>
      </c>
      <c r="AB402" s="2">
        <v>0.48</v>
      </c>
      <c r="AC402" s="3" t="str">
        <f t="shared" si="12"/>
        <v>Pair</v>
      </c>
    </row>
    <row r="403" spans="1:29" x14ac:dyDescent="0.25">
      <c r="A403" s="1" t="s">
        <v>888</v>
      </c>
      <c r="B403" s="2" t="s">
        <v>29</v>
      </c>
      <c r="C403" s="2"/>
      <c r="D403" s="2"/>
      <c r="E403" s="2" t="s">
        <v>766</v>
      </c>
      <c r="F403" s="2">
        <v>2</v>
      </c>
      <c r="G403" s="2">
        <v>0.27</v>
      </c>
      <c r="H403" s="2" t="s">
        <v>396</v>
      </c>
      <c r="I403" s="2" t="s">
        <v>53</v>
      </c>
      <c r="J403" s="2" t="s">
        <v>33</v>
      </c>
      <c r="K403" s="2"/>
      <c r="L403" s="2"/>
      <c r="M403" s="2"/>
      <c r="N403" s="2"/>
      <c r="O403" s="2" t="s">
        <v>34</v>
      </c>
      <c r="P403" s="2"/>
      <c r="Q403" s="2"/>
      <c r="R403" s="2">
        <v>2500</v>
      </c>
      <c r="S403" s="2">
        <v>675</v>
      </c>
      <c r="T403" s="13" t="str">
        <f t="shared" si="13"/>
        <v>KAYTRS056</v>
      </c>
      <c r="U403" s="2" t="s">
        <v>889</v>
      </c>
      <c r="V403" s="2"/>
      <c r="W403" s="2">
        <v>2.89</v>
      </c>
      <c r="X403" s="2">
        <v>6.26</v>
      </c>
      <c r="Y403" s="2">
        <v>1.23</v>
      </c>
      <c r="Z403" s="2">
        <v>0</v>
      </c>
      <c r="AA403" s="2">
        <v>0</v>
      </c>
      <c r="AB403" s="2">
        <v>0.46</v>
      </c>
      <c r="AC403" s="3" t="str">
        <f t="shared" si="12"/>
        <v>Pair</v>
      </c>
    </row>
    <row r="404" spans="1:29" x14ac:dyDescent="0.25">
      <c r="A404" s="1" t="s">
        <v>890</v>
      </c>
      <c r="B404" s="2" t="s">
        <v>29</v>
      </c>
      <c r="C404" s="2"/>
      <c r="D404" s="2"/>
      <c r="E404" s="2" t="s">
        <v>766</v>
      </c>
      <c r="F404" s="2">
        <v>2</v>
      </c>
      <c r="G404" s="2">
        <v>0.26</v>
      </c>
      <c r="H404" s="2" t="s">
        <v>137</v>
      </c>
      <c r="I404" s="2" t="s">
        <v>53</v>
      </c>
      <c r="J404" s="2" t="s">
        <v>33</v>
      </c>
      <c r="K404" s="2"/>
      <c r="L404" s="2"/>
      <c r="M404" s="2"/>
      <c r="N404" s="2"/>
      <c r="O404" s="2" t="s">
        <v>34</v>
      </c>
      <c r="P404" s="2"/>
      <c r="Q404" s="2"/>
      <c r="R404" s="2">
        <v>2400</v>
      </c>
      <c r="S404" s="2">
        <v>624</v>
      </c>
      <c r="T404" s="13" t="str">
        <f t="shared" si="13"/>
        <v>KAYTRS057</v>
      </c>
      <c r="U404" s="2" t="s">
        <v>891</v>
      </c>
      <c r="V404" s="2"/>
      <c r="W404" s="2">
        <v>2.58</v>
      </c>
      <c r="X404" s="2">
        <v>6.57</v>
      </c>
      <c r="Y404" s="2">
        <v>1.1299999999999999</v>
      </c>
      <c r="Z404" s="2">
        <v>0</v>
      </c>
      <c r="AA404" s="2">
        <v>0</v>
      </c>
      <c r="AB404" s="2">
        <v>0.39</v>
      </c>
      <c r="AC404" s="3" t="str">
        <f t="shared" si="12"/>
        <v>Pair</v>
      </c>
    </row>
    <row r="405" spans="1:29" x14ac:dyDescent="0.25">
      <c r="A405" s="1" t="s">
        <v>892</v>
      </c>
      <c r="B405" s="2" t="s">
        <v>29</v>
      </c>
      <c r="C405" s="2"/>
      <c r="D405" s="2"/>
      <c r="E405" s="2" t="s">
        <v>766</v>
      </c>
      <c r="F405" s="2">
        <v>1</v>
      </c>
      <c r="G405" s="2">
        <v>0.11</v>
      </c>
      <c r="H405" s="2" t="s">
        <v>396</v>
      </c>
      <c r="I405" s="2" t="s">
        <v>50</v>
      </c>
      <c r="J405" s="2" t="s">
        <v>33</v>
      </c>
      <c r="K405" s="2"/>
      <c r="L405" s="2"/>
      <c r="M405" s="2"/>
      <c r="N405" s="2"/>
      <c r="O405" s="2" t="s">
        <v>34</v>
      </c>
      <c r="P405" s="2"/>
      <c r="Q405" s="2"/>
      <c r="R405" s="2">
        <v>361</v>
      </c>
      <c r="S405" s="2">
        <v>39.71</v>
      </c>
      <c r="T405" s="13" t="str">
        <f t="shared" si="13"/>
        <v>PLT3417005AABA</v>
      </c>
      <c r="U405" s="2" t="s">
        <v>893</v>
      </c>
      <c r="V405" s="2"/>
      <c r="W405" s="2">
        <v>2.2200000000000002</v>
      </c>
      <c r="X405" s="2">
        <v>6.07</v>
      </c>
      <c r="Y405" s="2">
        <v>1.07</v>
      </c>
      <c r="Z405" s="2">
        <v>0</v>
      </c>
      <c r="AA405" s="2">
        <v>0</v>
      </c>
      <c r="AB405" s="2">
        <v>0.37</v>
      </c>
      <c r="AC405" s="3" t="str">
        <f t="shared" si="12"/>
        <v>Loose</v>
      </c>
    </row>
    <row r="406" spans="1:29" x14ac:dyDescent="0.25">
      <c r="A406" s="1" t="s">
        <v>894</v>
      </c>
      <c r="B406" s="2" t="s">
        <v>29</v>
      </c>
      <c r="C406" s="2"/>
      <c r="D406" s="2"/>
      <c r="E406" s="2" t="s">
        <v>766</v>
      </c>
      <c r="F406" s="2">
        <v>1</v>
      </c>
      <c r="G406" s="2">
        <v>0.11</v>
      </c>
      <c r="H406" s="2" t="s">
        <v>137</v>
      </c>
      <c r="I406" s="2" t="s">
        <v>39</v>
      </c>
      <c r="J406" s="2" t="s">
        <v>33</v>
      </c>
      <c r="K406" s="2"/>
      <c r="L406" s="2"/>
      <c r="M406" s="2"/>
      <c r="N406" s="2"/>
      <c r="O406" s="2" t="s">
        <v>58</v>
      </c>
      <c r="P406" s="2"/>
      <c r="Q406" s="2"/>
      <c r="R406" s="2">
        <v>2400</v>
      </c>
      <c r="S406" s="2">
        <v>264</v>
      </c>
      <c r="T406" s="13" t="str">
        <f t="shared" si="13"/>
        <v>HNIVABA</v>
      </c>
      <c r="U406" s="2" t="s">
        <v>895</v>
      </c>
      <c r="V406" s="2"/>
      <c r="W406" s="2">
        <v>2.16</v>
      </c>
      <c r="X406" s="2">
        <v>7.06</v>
      </c>
      <c r="Y406" s="2">
        <v>0.97</v>
      </c>
      <c r="Z406" s="2">
        <v>0</v>
      </c>
      <c r="AA406" s="2">
        <v>0</v>
      </c>
      <c r="AB406" s="2">
        <v>0.31</v>
      </c>
      <c r="AC406" s="3" t="str">
        <f t="shared" si="12"/>
        <v>Loose</v>
      </c>
    </row>
    <row r="407" spans="1:29" x14ac:dyDescent="0.25">
      <c r="A407" s="1" t="s">
        <v>896</v>
      </c>
      <c r="B407" s="2" t="s">
        <v>29</v>
      </c>
      <c r="C407" s="2"/>
      <c r="D407" s="2"/>
      <c r="E407" s="2" t="s">
        <v>766</v>
      </c>
      <c r="F407" s="2">
        <v>2</v>
      </c>
      <c r="G407" s="2">
        <v>0.3</v>
      </c>
      <c r="H407" s="2" t="s">
        <v>137</v>
      </c>
      <c r="I407" s="2" t="s">
        <v>53</v>
      </c>
      <c r="J407" s="2" t="s">
        <v>33</v>
      </c>
      <c r="K407" s="2"/>
      <c r="L407" s="2"/>
      <c r="M407" s="2"/>
      <c r="N407" s="2"/>
      <c r="O407" s="2"/>
      <c r="P407" s="2"/>
      <c r="Q407" s="2"/>
      <c r="R407" s="2">
        <v>2000</v>
      </c>
      <c r="S407" s="2">
        <v>600</v>
      </c>
      <c r="T407" s="13" t="str">
        <f t="shared" si="13"/>
        <v>KAYTRS062</v>
      </c>
      <c r="U407" s="2" t="s">
        <v>897</v>
      </c>
      <c r="V407" s="2"/>
      <c r="W407" s="2">
        <v>2.88</v>
      </c>
      <c r="X407" s="2">
        <v>6.22</v>
      </c>
      <c r="Y407" s="2">
        <v>1.34</v>
      </c>
      <c r="Z407" s="2">
        <v>0</v>
      </c>
      <c r="AA407" s="2">
        <v>0</v>
      </c>
      <c r="AB407" s="2">
        <v>0.46</v>
      </c>
      <c r="AC407" s="3" t="str">
        <f t="shared" si="12"/>
        <v>Pair</v>
      </c>
    </row>
    <row r="408" spans="1:29" x14ac:dyDescent="0.25">
      <c r="A408" s="1" t="s">
        <v>898</v>
      </c>
      <c r="B408" s="2" t="s">
        <v>29</v>
      </c>
      <c r="C408" s="2"/>
      <c r="D408" s="2"/>
      <c r="E408" s="2" t="s">
        <v>766</v>
      </c>
      <c r="F408" s="2">
        <v>2</v>
      </c>
      <c r="G408" s="2">
        <v>0.21</v>
      </c>
      <c r="H408" s="2" t="s">
        <v>396</v>
      </c>
      <c r="I408" s="2" t="s">
        <v>53</v>
      </c>
      <c r="J408" s="2" t="s">
        <v>33</v>
      </c>
      <c r="K408" s="2"/>
      <c r="L408" s="2"/>
      <c r="M408" s="2"/>
      <c r="N408" s="2"/>
      <c r="O408" s="2" t="s">
        <v>34</v>
      </c>
      <c r="P408" s="2"/>
      <c r="Q408" s="2"/>
      <c r="R408" s="2">
        <v>1900</v>
      </c>
      <c r="S408" s="2">
        <v>399</v>
      </c>
      <c r="T408" s="13" t="str">
        <f t="shared" si="13"/>
        <v>KAYTRS063</v>
      </c>
      <c r="U408" s="2" t="s">
        <v>899</v>
      </c>
      <c r="V408" s="2"/>
      <c r="W408" s="2">
        <v>2.56</v>
      </c>
      <c r="X408" s="2">
        <v>6.27</v>
      </c>
      <c r="Y408" s="2">
        <v>1.01</v>
      </c>
      <c r="Z408" s="2">
        <v>0</v>
      </c>
      <c r="AA408" s="2">
        <v>0</v>
      </c>
      <c r="AB408" s="2">
        <v>0.41</v>
      </c>
      <c r="AC408" s="3" t="str">
        <f t="shared" si="12"/>
        <v>Pair</v>
      </c>
    </row>
    <row r="409" spans="1:29" x14ac:dyDescent="0.25">
      <c r="A409" s="1" t="s">
        <v>900</v>
      </c>
      <c r="B409" s="2" t="s">
        <v>29</v>
      </c>
      <c r="C409" s="2"/>
      <c r="D409" s="2"/>
      <c r="E409" s="2" t="s">
        <v>766</v>
      </c>
      <c r="F409" s="2">
        <v>2</v>
      </c>
      <c r="G409" s="2">
        <v>0.23</v>
      </c>
      <c r="H409" s="2" t="s">
        <v>38</v>
      </c>
      <c r="I409" s="2" t="s">
        <v>39</v>
      </c>
      <c r="J409" s="2" t="s">
        <v>33</v>
      </c>
      <c r="K409" s="2"/>
      <c r="L409" s="2"/>
      <c r="M409" s="2"/>
      <c r="N409" s="2"/>
      <c r="O409" s="2" t="s">
        <v>34</v>
      </c>
      <c r="P409" s="2"/>
      <c r="Q409" s="2"/>
      <c r="R409" s="2">
        <v>1900</v>
      </c>
      <c r="S409" s="2">
        <v>437</v>
      </c>
      <c r="T409" s="13" t="str">
        <f t="shared" si="13"/>
        <v>KAYTRS064</v>
      </c>
      <c r="U409" s="2" t="s">
        <v>901</v>
      </c>
      <c r="V409" s="2"/>
      <c r="W409" s="2">
        <v>2.5099999999999998</v>
      </c>
      <c r="X409" s="2">
        <v>6.18</v>
      </c>
      <c r="Y409" s="2">
        <v>1.1399999999999999</v>
      </c>
      <c r="Z409" s="2">
        <v>0</v>
      </c>
      <c r="AA409" s="2">
        <v>0</v>
      </c>
      <c r="AB409" s="2">
        <v>0.41</v>
      </c>
      <c r="AC409" s="3" t="str">
        <f t="shared" si="12"/>
        <v>Pair</v>
      </c>
    </row>
    <row r="410" spans="1:29" x14ac:dyDescent="0.25">
      <c r="A410" s="1" t="s">
        <v>902</v>
      </c>
      <c r="B410" s="2" t="s">
        <v>29</v>
      </c>
      <c r="C410" s="2"/>
      <c r="D410" s="2"/>
      <c r="E410" s="2" t="s">
        <v>766</v>
      </c>
      <c r="F410" s="2">
        <v>2</v>
      </c>
      <c r="G410" s="2">
        <v>0.18</v>
      </c>
      <c r="H410" s="2" t="s">
        <v>137</v>
      </c>
      <c r="I410" s="2" t="s">
        <v>57</v>
      </c>
      <c r="J410" s="2" t="s">
        <v>33</v>
      </c>
      <c r="K410" s="2"/>
      <c r="L410" s="2"/>
      <c r="M410" s="2"/>
      <c r="N410" s="2"/>
      <c r="O410" s="2"/>
      <c r="P410" s="2"/>
      <c r="Q410" s="2"/>
      <c r="R410" s="2">
        <v>1900</v>
      </c>
      <c r="S410" s="2">
        <v>342</v>
      </c>
      <c r="T410" s="13" t="str">
        <f t="shared" si="13"/>
        <v>KAYTRS065</v>
      </c>
      <c r="U410" s="2" t="s">
        <v>903</v>
      </c>
      <c r="V410" s="2"/>
      <c r="W410" s="2">
        <v>2.29</v>
      </c>
      <c r="X410" s="2">
        <v>6.28</v>
      </c>
      <c r="Y410" s="2">
        <v>0.91</v>
      </c>
      <c r="Z410" s="2">
        <v>0</v>
      </c>
      <c r="AA410" s="2">
        <v>0</v>
      </c>
      <c r="AB410" s="2">
        <v>0.36</v>
      </c>
      <c r="AC410" s="3" t="str">
        <f t="shared" si="12"/>
        <v>Pair</v>
      </c>
    </row>
    <row r="411" spans="1:29" x14ac:dyDescent="0.25">
      <c r="A411" s="1" t="s">
        <v>904</v>
      </c>
      <c r="B411" s="2" t="s">
        <v>29</v>
      </c>
      <c r="C411" s="2"/>
      <c r="D411" s="2"/>
      <c r="E411" s="2" t="s">
        <v>766</v>
      </c>
      <c r="F411" s="2">
        <v>2</v>
      </c>
      <c r="G411" s="2">
        <v>0.28000000000000003</v>
      </c>
      <c r="H411" s="2" t="s">
        <v>137</v>
      </c>
      <c r="I411" s="2" t="s">
        <v>53</v>
      </c>
      <c r="J411" s="2" t="s">
        <v>33</v>
      </c>
      <c r="K411" s="2"/>
      <c r="L411" s="2"/>
      <c r="M411" s="2"/>
      <c r="N411" s="2"/>
      <c r="O411" s="2" t="s">
        <v>34</v>
      </c>
      <c r="P411" s="2"/>
      <c r="Q411" s="2"/>
      <c r="R411" s="2">
        <v>2300</v>
      </c>
      <c r="S411" s="2">
        <v>644</v>
      </c>
      <c r="T411" s="13" t="str">
        <f t="shared" si="13"/>
        <v>KAYTRS066</v>
      </c>
      <c r="U411" s="2" t="s">
        <v>905</v>
      </c>
      <c r="V411" s="2"/>
      <c r="W411" s="2">
        <v>3.03</v>
      </c>
      <c r="X411" s="2">
        <v>6.56</v>
      </c>
      <c r="Y411" s="2">
        <v>1.26</v>
      </c>
      <c r="Z411" s="2">
        <v>0</v>
      </c>
      <c r="AA411" s="2">
        <v>0</v>
      </c>
      <c r="AB411" s="2">
        <v>0.46</v>
      </c>
      <c r="AC411" s="3" t="str">
        <f t="shared" si="12"/>
        <v>Pair</v>
      </c>
    </row>
    <row r="412" spans="1:29" x14ac:dyDescent="0.25">
      <c r="A412" s="1" t="s">
        <v>906</v>
      </c>
      <c r="B412" s="2" t="s">
        <v>29</v>
      </c>
      <c r="C412" s="2"/>
      <c r="D412" s="2"/>
      <c r="E412" s="2" t="s">
        <v>766</v>
      </c>
      <c r="F412" s="2">
        <v>2</v>
      </c>
      <c r="G412" s="2">
        <v>0.19</v>
      </c>
      <c r="H412" s="2" t="s">
        <v>38</v>
      </c>
      <c r="I412" s="2" t="s">
        <v>53</v>
      </c>
      <c r="J412" s="2" t="s">
        <v>33</v>
      </c>
      <c r="K412" s="2"/>
      <c r="L412" s="2"/>
      <c r="M412" s="2"/>
      <c r="N412" s="2"/>
      <c r="O412" s="2" t="s">
        <v>514</v>
      </c>
      <c r="P412" s="2"/>
      <c r="Q412" s="2"/>
      <c r="R412" s="2">
        <v>1900</v>
      </c>
      <c r="S412" s="2">
        <v>361</v>
      </c>
      <c r="T412" s="13" t="str">
        <f t="shared" si="13"/>
        <v>KAYTRS067</v>
      </c>
      <c r="U412" s="2" t="s">
        <v>907</v>
      </c>
      <c r="V412" s="2"/>
      <c r="W412" s="2">
        <v>2.2799999999999998</v>
      </c>
      <c r="X412" s="2">
        <v>6.22</v>
      </c>
      <c r="Y412" s="2">
        <v>0.96</v>
      </c>
      <c r="Z412" s="2">
        <v>0</v>
      </c>
      <c r="AA412" s="2">
        <v>0</v>
      </c>
      <c r="AB412" s="2">
        <v>0.37</v>
      </c>
      <c r="AC412" s="3" t="str">
        <f t="shared" si="12"/>
        <v>Pair</v>
      </c>
    </row>
    <row r="413" spans="1:29" x14ac:dyDescent="0.25">
      <c r="A413" s="1" t="s">
        <v>908</v>
      </c>
      <c r="B413" s="2" t="s">
        <v>29</v>
      </c>
      <c r="C413" s="2"/>
      <c r="D413" s="2"/>
      <c r="E413" s="2" t="s">
        <v>766</v>
      </c>
      <c r="F413" s="2">
        <v>2</v>
      </c>
      <c r="G413" s="2">
        <v>0.22</v>
      </c>
      <c r="H413" s="2" t="s">
        <v>137</v>
      </c>
      <c r="I413" s="2" t="s">
        <v>53</v>
      </c>
      <c r="J413" s="2" t="s">
        <v>33</v>
      </c>
      <c r="K413" s="2"/>
      <c r="L413" s="2"/>
      <c r="M413" s="2"/>
      <c r="N413" s="2"/>
      <c r="O413" s="2" t="s">
        <v>909</v>
      </c>
      <c r="P413" s="2"/>
      <c r="Q413" s="2"/>
      <c r="R413" s="2">
        <v>2000</v>
      </c>
      <c r="S413" s="2">
        <v>440</v>
      </c>
      <c r="T413" s="13" t="str">
        <f t="shared" si="13"/>
        <v>KAYTRS068</v>
      </c>
      <c r="U413" s="2" t="s">
        <v>910</v>
      </c>
      <c r="V413" s="2"/>
      <c r="W413" s="2">
        <v>2.54</v>
      </c>
      <c r="X413" s="2">
        <v>6.34</v>
      </c>
      <c r="Y413" s="2">
        <v>1.18</v>
      </c>
      <c r="Z413" s="2">
        <v>0</v>
      </c>
      <c r="AA413" s="2">
        <v>0</v>
      </c>
      <c r="AB413" s="2">
        <v>0.4</v>
      </c>
      <c r="AC413" s="3" t="str">
        <f t="shared" si="12"/>
        <v>Pair</v>
      </c>
    </row>
    <row r="414" spans="1:29" x14ac:dyDescent="0.25">
      <c r="A414" s="1" t="s">
        <v>911</v>
      </c>
      <c r="B414" s="2" t="s">
        <v>37</v>
      </c>
      <c r="C414" s="2"/>
      <c r="D414" s="2"/>
      <c r="E414" s="2" t="s">
        <v>766</v>
      </c>
      <c r="F414" s="2">
        <v>2</v>
      </c>
      <c r="G414" s="2">
        <v>0.3</v>
      </c>
      <c r="H414" s="2" t="s">
        <v>43</v>
      </c>
      <c r="I414" s="2" t="s">
        <v>57</v>
      </c>
      <c r="J414" s="2" t="s">
        <v>33</v>
      </c>
      <c r="K414" s="2"/>
      <c r="L414" s="2"/>
      <c r="M414" s="2"/>
      <c r="N414" s="2"/>
      <c r="O414" s="2" t="s">
        <v>34</v>
      </c>
      <c r="P414" s="2"/>
      <c r="Q414" s="2"/>
      <c r="R414" s="2">
        <v>2100</v>
      </c>
      <c r="S414" s="2">
        <v>630</v>
      </c>
      <c r="T414" s="13" t="str">
        <f t="shared" si="13"/>
        <v>KAYTRS069</v>
      </c>
      <c r="U414" s="2" t="s">
        <v>912</v>
      </c>
      <c r="V414" s="2"/>
      <c r="W414" s="2">
        <v>2.5099999999999998</v>
      </c>
      <c r="X414" s="2">
        <v>6.53</v>
      </c>
      <c r="Y414" s="2">
        <v>1.4</v>
      </c>
      <c r="Z414" s="2">
        <v>0</v>
      </c>
      <c r="AA414" s="2">
        <v>0</v>
      </c>
      <c r="AB414" s="2">
        <v>0.38</v>
      </c>
      <c r="AC414" s="3" t="str">
        <f t="shared" si="12"/>
        <v>Pair</v>
      </c>
    </row>
    <row r="415" spans="1:29" x14ac:dyDescent="0.25">
      <c r="A415" s="1" t="s">
        <v>913</v>
      </c>
      <c r="B415" s="2" t="s">
        <v>29</v>
      </c>
      <c r="C415" s="2"/>
      <c r="D415" s="2"/>
      <c r="E415" s="2" t="s">
        <v>766</v>
      </c>
      <c r="F415" s="2">
        <v>2</v>
      </c>
      <c r="G415" s="2">
        <v>0.21</v>
      </c>
      <c r="H415" s="2" t="s">
        <v>137</v>
      </c>
      <c r="I415" s="2" t="s">
        <v>53</v>
      </c>
      <c r="J415" s="2" t="s">
        <v>33</v>
      </c>
      <c r="K415" s="2"/>
      <c r="L415" s="2"/>
      <c r="M415" s="2"/>
      <c r="N415" s="2"/>
      <c r="O415" s="2"/>
      <c r="P415" s="2"/>
      <c r="Q415" s="2"/>
      <c r="R415" s="2">
        <v>2000</v>
      </c>
      <c r="S415" s="2">
        <v>420</v>
      </c>
      <c r="T415" s="13" t="str">
        <f t="shared" si="13"/>
        <v>KAYTRS072</v>
      </c>
      <c r="U415" s="2" t="s">
        <v>914</v>
      </c>
      <c r="V415" s="2"/>
      <c r="W415" s="2">
        <v>2.52</v>
      </c>
      <c r="X415" s="2">
        <v>6.01</v>
      </c>
      <c r="Y415" s="2">
        <v>1.1200000000000001</v>
      </c>
      <c r="Z415" s="2">
        <v>0</v>
      </c>
      <c r="AA415" s="2">
        <v>0</v>
      </c>
      <c r="AB415" s="2">
        <v>0.42</v>
      </c>
      <c r="AC415" s="3" t="str">
        <f t="shared" si="12"/>
        <v>Pair</v>
      </c>
    </row>
    <row r="416" spans="1:29" x14ac:dyDescent="0.25">
      <c r="A416" s="1" t="s">
        <v>915</v>
      </c>
      <c r="B416" s="2" t="s">
        <v>29</v>
      </c>
      <c r="C416" s="2"/>
      <c r="D416" s="2"/>
      <c r="E416" s="2" t="s">
        <v>766</v>
      </c>
      <c r="F416" s="2">
        <v>2</v>
      </c>
      <c r="G416" s="2">
        <v>0.28000000000000003</v>
      </c>
      <c r="H416" s="2" t="s">
        <v>396</v>
      </c>
      <c r="I416" s="2" t="s">
        <v>57</v>
      </c>
      <c r="J416" s="2" t="s">
        <v>33</v>
      </c>
      <c r="K416" s="2"/>
      <c r="L416" s="2"/>
      <c r="M416" s="2"/>
      <c r="N416" s="2"/>
      <c r="O416" s="2" t="s">
        <v>34</v>
      </c>
      <c r="P416" s="2"/>
      <c r="Q416" s="2"/>
      <c r="R416" s="2">
        <v>2200</v>
      </c>
      <c r="S416" s="2">
        <v>616</v>
      </c>
      <c r="T416" s="13" t="str">
        <f t="shared" si="13"/>
        <v>KAYTRS073</v>
      </c>
      <c r="U416" s="2" t="s">
        <v>916</v>
      </c>
      <c r="V416" s="2"/>
      <c r="W416" s="2">
        <v>2.66</v>
      </c>
      <c r="X416" s="2">
        <v>6.43</v>
      </c>
      <c r="Y416" s="2">
        <v>1.24</v>
      </c>
      <c r="Z416" s="2">
        <v>0</v>
      </c>
      <c r="AA416" s="2">
        <v>0</v>
      </c>
      <c r="AB416" s="2">
        <v>0.41</v>
      </c>
      <c r="AC416" s="3" t="str">
        <f t="shared" si="12"/>
        <v>Pair</v>
      </c>
    </row>
    <row r="417" spans="1:29" x14ac:dyDescent="0.25">
      <c r="A417" s="1" t="s">
        <v>917</v>
      </c>
      <c r="B417" s="2" t="s">
        <v>29</v>
      </c>
      <c r="C417" s="2"/>
      <c r="D417" s="2"/>
      <c r="E417" s="2" t="s">
        <v>766</v>
      </c>
      <c r="F417" s="2">
        <v>2</v>
      </c>
      <c r="G417" s="2">
        <v>0.22</v>
      </c>
      <c r="H417" s="2" t="s">
        <v>137</v>
      </c>
      <c r="I417" s="2" t="s">
        <v>57</v>
      </c>
      <c r="J417" s="2" t="s">
        <v>33</v>
      </c>
      <c r="K417" s="2"/>
      <c r="L417" s="2"/>
      <c r="M417" s="2"/>
      <c r="N417" s="2"/>
      <c r="O417" s="2" t="s">
        <v>514</v>
      </c>
      <c r="P417" s="2"/>
      <c r="Q417" s="2"/>
      <c r="R417" s="2">
        <v>1800</v>
      </c>
      <c r="S417" s="2">
        <v>396</v>
      </c>
      <c r="T417" s="13" t="str">
        <f t="shared" si="13"/>
        <v>KAYTRS074</v>
      </c>
      <c r="U417" s="2" t="s">
        <v>918</v>
      </c>
      <c r="V417" s="2"/>
      <c r="W417" s="2">
        <v>2.41</v>
      </c>
      <c r="X417" s="2">
        <v>6</v>
      </c>
      <c r="Y417" s="2">
        <v>1.17</v>
      </c>
      <c r="Z417" s="2">
        <v>0</v>
      </c>
      <c r="AA417" s="2">
        <v>0</v>
      </c>
      <c r="AB417" s="2">
        <v>0.4</v>
      </c>
      <c r="AC417" s="3" t="str">
        <f t="shared" si="12"/>
        <v>Pair</v>
      </c>
    </row>
    <row r="418" spans="1:29" x14ac:dyDescent="0.25">
      <c r="A418" s="1" t="s">
        <v>919</v>
      </c>
      <c r="B418" s="2" t="s">
        <v>29</v>
      </c>
      <c r="C418" s="2"/>
      <c r="D418" s="2"/>
      <c r="E418" s="2" t="s">
        <v>766</v>
      </c>
      <c r="F418" s="2">
        <v>2</v>
      </c>
      <c r="G418" s="2">
        <v>0.22</v>
      </c>
      <c r="H418" s="2" t="s">
        <v>137</v>
      </c>
      <c r="I418" s="2" t="s">
        <v>57</v>
      </c>
      <c r="J418" s="2" t="s">
        <v>33</v>
      </c>
      <c r="K418" s="2"/>
      <c r="L418" s="2"/>
      <c r="M418" s="2"/>
      <c r="N418" s="2"/>
      <c r="O418" s="2" t="s">
        <v>34</v>
      </c>
      <c r="P418" s="2"/>
      <c r="Q418" s="2"/>
      <c r="R418" s="2">
        <v>2200</v>
      </c>
      <c r="S418" s="2">
        <v>484</v>
      </c>
      <c r="T418" s="13" t="str">
        <f t="shared" si="13"/>
        <v>KAYTRS075</v>
      </c>
      <c r="U418" s="2" t="s">
        <v>920</v>
      </c>
      <c r="V418" s="2"/>
      <c r="W418" s="2">
        <v>2.58</v>
      </c>
      <c r="X418" s="2">
        <v>6.91</v>
      </c>
      <c r="Y418" s="2">
        <v>1.02</v>
      </c>
      <c r="Z418" s="2">
        <v>0</v>
      </c>
      <c r="AA418" s="2">
        <v>0</v>
      </c>
      <c r="AB418" s="2">
        <v>0.37</v>
      </c>
      <c r="AC418" s="3" t="str">
        <f t="shared" si="12"/>
        <v>Pair</v>
      </c>
    </row>
    <row r="419" spans="1:29" x14ac:dyDescent="0.25">
      <c r="A419" s="1" t="s">
        <v>921</v>
      </c>
      <c r="B419" s="2" t="s">
        <v>29</v>
      </c>
      <c r="C419" s="2"/>
      <c r="D419" s="2"/>
      <c r="E419" s="2" t="s">
        <v>766</v>
      </c>
      <c r="F419" s="2">
        <v>2</v>
      </c>
      <c r="G419" s="2">
        <v>0.27</v>
      </c>
      <c r="H419" s="2" t="s">
        <v>396</v>
      </c>
      <c r="I419" s="2" t="s">
        <v>53</v>
      </c>
      <c r="J419" s="2" t="s">
        <v>33</v>
      </c>
      <c r="K419" s="2"/>
      <c r="L419" s="2"/>
      <c r="M419" s="2"/>
      <c r="N419" s="2"/>
      <c r="O419" s="2" t="s">
        <v>34</v>
      </c>
      <c r="P419" s="2"/>
      <c r="Q419" s="2"/>
      <c r="R419" s="2">
        <v>2400</v>
      </c>
      <c r="S419" s="2">
        <v>648</v>
      </c>
      <c r="T419" s="13" t="str">
        <f t="shared" si="13"/>
        <v>KAYTRS076</v>
      </c>
      <c r="U419" s="2" t="s">
        <v>922</v>
      </c>
      <c r="V419" s="2"/>
      <c r="W419" s="2">
        <v>2.63</v>
      </c>
      <c r="X419" s="2">
        <v>6.78</v>
      </c>
      <c r="Y419" s="2">
        <v>1.2</v>
      </c>
      <c r="Z419" s="2">
        <v>0</v>
      </c>
      <c r="AA419" s="2">
        <v>0</v>
      </c>
      <c r="AB419" s="2">
        <v>0.39</v>
      </c>
      <c r="AC419" s="3" t="str">
        <f t="shared" si="12"/>
        <v>Pair</v>
      </c>
    </row>
    <row r="420" spans="1:29" x14ac:dyDescent="0.25">
      <c r="A420" s="1" t="s">
        <v>923</v>
      </c>
      <c r="B420" s="2" t="s">
        <v>29</v>
      </c>
      <c r="C420" s="2"/>
      <c r="D420" s="2"/>
      <c r="E420" s="2" t="s">
        <v>766</v>
      </c>
      <c r="F420" s="2">
        <v>1</v>
      </c>
      <c r="G420" s="2">
        <v>0.15</v>
      </c>
      <c r="H420" s="2" t="s">
        <v>396</v>
      </c>
      <c r="I420" s="2" t="s">
        <v>39</v>
      </c>
      <c r="J420" s="2" t="s">
        <v>33</v>
      </c>
      <c r="K420" s="2"/>
      <c r="L420" s="2"/>
      <c r="M420" s="2"/>
      <c r="N420" s="2"/>
      <c r="O420" s="2" t="s">
        <v>34</v>
      </c>
      <c r="P420" s="2"/>
      <c r="Q420" s="2"/>
      <c r="R420" s="2">
        <v>2500</v>
      </c>
      <c r="S420" s="2">
        <v>375</v>
      </c>
      <c r="T420" s="13" t="str">
        <f t="shared" si="13"/>
        <v>PLT540001A</v>
      </c>
      <c r="U420" s="2" t="s">
        <v>924</v>
      </c>
      <c r="V420" s="2"/>
      <c r="W420" s="2">
        <v>3.05</v>
      </c>
      <c r="X420" s="2">
        <v>7.58</v>
      </c>
      <c r="Y420" s="2">
        <v>1.04</v>
      </c>
      <c r="Z420" s="2">
        <v>0</v>
      </c>
      <c r="AA420" s="2">
        <v>0</v>
      </c>
      <c r="AB420" s="2">
        <v>0.4</v>
      </c>
      <c r="AC420" s="3" t="str">
        <f t="shared" si="12"/>
        <v>Loose</v>
      </c>
    </row>
    <row r="421" spans="1:29" x14ac:dyDescent="0.25">
      <c r="A421" s="1" t="s">
        <v>925</v>
      </c>
      <c r="B421" s="2" t="s">
        <v>29</v>
      </c>
      <c r="C421" s="2"/>
      <c r="D421" s="2"/>
      <c r="E421" s="2" t="s">
        <v>766</v>
      </c>
      <c r="F421" s="2">
        <v>1</v>
      </c>
      <c r="G421" s="2">
        <v>0.31</v>
      </c>
      <c r="H421" s="2" t="s">
        <v>43</v>
      </c>
      <c r="I421" s="2" t="s">
        <v>32</v>
      </c>
      <c r="J421" s="2" t="s">
        <v>33</v>
      </c>
      <c r="K421" s="2"/>
      <c r="L421" s="2"/>
      <c r="M421" s="2"/>
      <c r="N421" s="2"/>
      <c r="O421" s="2" t="s">
        <v>58</v>
      </c>
      <c r="P421" s="2"/>
      <c r="Q421" s="2"/>
      <c r="R421" s="2">
        <v>3000</v>
      </c>
      <c r="S421" s="2">
        <v>930</v>
      </c>
      <c r="T421" s="13" t="str">
        <f t="shared" si="13"/>
        <v>BLL018BAA</v>
      </c>
      <c r="U421" s="2" t="s">
        <v>926</v>
      </c>
      <c r="V421" s="2"/>
      <c r="W421" s="2">
        <v>4.0199999999999996</v>
      </c>
      <c r="X421" s="2">
        <v>8.5500000000000007</v>
      </c>
      <c r="Y421" s="2">
        <v>2.08</v>
      </c>
      <c r="Z421" s="2">
        <v>0</v>
      </c>
      <c r="AA421" s="2">
        <v>0</v>
      </c>
      <c r="AB421" s="2">
        <v>0.47</v>
      </c>
      <c r="AC421" s="3" t="str">
        <f t="shared" si="12"/>
        <v>Loose</v>
      </c>
    </row>
    <row r="422" spans="1:29" x14ac:dyDescent="0.25">
      <c r="A422" s="1" t="s">
        <v>927</v>
      </c>
      <c r="B422" s="2" t="s">
        <v>29</v>
      </c>
      <c r="C422" s="2"/>
      <c r="D422" s="2"/>
      <c r="E422" s="2" t="s">
        <v>766</v>
      </c>
      <c r="F422" s="2">
        <v>1</v>
      </c>
      <c r="G422" s="2">
        <v>0.3</v>
      </c>
      <c r="H422" s="2" t="s">
        <v>38</v>
      </c>
      <c r="I422" s="2" t="s">
        <v>39</v>
      </c>
      <c r="J422" s="2" t="s">
        <v>33</v>
      </c>
      <c r="K422" s="2"/>
      <c r="L422" s="2"/>
      <c r="M422" s="2"/>
      <c r="N422" s="2"/>
      <c r="O422" s="2" t="s">
        <v>34</v>
      </c>
      <c r="P422" s="2"/>
      <c r="Q422" s="2"/>
      <c r="R422" s="2">
        <v>2600</v>
      </c>
      <c r="S422" s="2">
        <v>780</v>
      </c>
      <c r="T422" s="13" t="str">
        <f t="shared" si="13"/>
        <v>LEV152409AA</v>
      </c>
      <c r="U422" s="2" t="s">
        <v>928</v>
      </c>
      <c r="V422" s="2"/>
      <c r="W422" s="2">
        <v>3.79</v>
      </c>
      <c r="X422" s="2">
        <v>7.08</v>
      </c>
      <c r="Y422" s="2">
        <v>1.73</v>
      </c>
      <c r="Z422" s="2">
        <v>0</v>
      </c>
      <c r="AA422" s="2">
        <v>0</v>
      </c>
      <c r="AB422" s="2">
        <v>0.54</v>
      </c>
      <c r="AC422" s="3" t="str">
        <f t="shared" si="12"/>
        <v>Loose</v>
      </c>
    </row>
    <row r="423" spans="1:29" x14ac:dyDescent="0.25">
      <c r="A423" s="1" t="s">
        <v>929</v>
      </c>
      <c r="B423" s="2" t="s">
        <v>29</v>
      </c>
      <c r="C423" s="2"/>
      <c r="D423" s="2"/>
      <c r="E423" s="2" t="s">
        <v>766</v>
      </c>
      <c r="F423" s="2">
        <v>2</v>
      </c>
      <c r="G423" s="2">
        <v>0.52</v>
      </c>
      <c r="H423" s="2" t="s">
        <v>396</v>
      </c>
      <c r="I423" s="2" t="s">
        <v>32</v>
      </c>
      <c r="J423" s="2" t="s">
        <v>33</v>
      </c>
      <c r="K423" s="2"/>
      <c r="L423" s="2"/>
      <c r="M423" s="2"/>
      <c r="N423" s="2"/>
      <c r="O423" s="2" t="s">
        <v>34</v>
      </c>
      <c r="P423" s="2"/>
      <c r="Q423" s="2"/>
      <c r="R423" s="2">
        <v>2600</v>
      </c>
      <c r="S423" s="2">
        <v>1352</v>
      </c>
      <c r="T423" s="13" t="str">
        <f t="shared" si="13"/>
        <v>KAYT386Q</v>
      </c>
      <c r="U423" s="2" t="s">
        <v>930</v>
      </c>
      <c r="V423" s="2"/>
      <c r="W423" s="2">
        <v>3.75</v>
      </c>
      <c r="X423" s="2">
        <v>8.11</v>
      </c>
      <c r="Y423" s="2">
        <v>2.0099999999999998</v>
      </c>
      <c r="Z423" s="2">
        <v>0</v>
      </c>
      <c r="AA423" s="2">
        <v>0</v>
      </c>
      <c r="AB423" s="2">
        <v>0.46</v>
      </c>
      <c r="AC423" s="3" t="str">
        <f t="shared" si="12"/>
        <v>Pair</v>
      </c>
    </row>
    <row r="424" spans="1:29" x14ac:dyDescent="0.25">
      <c r="A424" s="1" t="s">
        <v>931</v>
      </c>
      <c r="B424" s="2" t="s">
        <v>29</v>
      </c>
      <c r="C424" s="2"/>
      <c r="D424" s="2"/>
      <c r="E424" s="2" t="s">
        <v>766</v>
      </c>
      <c r="F424" s="2">
        <v>1</v>
      </c>
      <c r="G424" s="2">
        <v>0.11</v>
      </c>
      <c r="H424" s="2" t="s">
        <v>137</v>
      </c>
      <c r="I424" s="2" t="s">
        <v>32</v>
      </c>
      <c r="J424" s="2" t="s">
        <v>33</v>
      </c>
      <c r="K424" s="2"/>
      <c r="L424" s="2"/>
      <c r="M424" s="2"/>
      <c r="N424" s="2"/>
      <c r="O424" s="2" t="s">
        <v>34</v>
      </c>
      <c r="P424" s="2"/>
      <c r="Q424" s="2"/>
      <c r="R424" s="2">
        <v>1100</v>
      </c>
      <c r="S424" s="2">
        <v>121</v>
      </c>
      <c r="T424" s="13" t="str">
        <f t="shared" si="13"/>
        <v>SHBA009BAA</v>
      </c>
      <c r="U424" s="2" t="s">
        <v>932</v>
      </c>
      <c r="V424" s="2"/>
      <c r="W424" s="2">
        <v>2.75</v>
      </c>
      <c r="X424" s="2">
        <v>5.79</v>
      </c>
      <c r="Y424" s="2">
        <v>1.39</v>
      </c>
      <c r="Z424" s="2">
        <v>0</v>
      </c>
      <c r="AA424" s="2">
        <v>0</v>
      </c>
      <c r="AB424" s="2">
        <v>0.47</v>
      </c>
      <c r="AC424" s="3" t="str">
        <f t="shared" si="12"/>
        <v>Loose</v>
      </c>
    </row>
    <row r="425" spans="1:29" x14ac:dyDescent="0.25">
      <c r="A425" s="1" t="s">
        <v>933</v>
      </c>
      <c r="B425" s="2" t="s">
        <v>29</v>
      </c>
      <c r="C425" s="2"/>
      <c r="D425" s="2"/>
      <c r="E425" s="2" t="s">
        <v>766</v>
      </c>
      <c r="F425" s="2">
        <v>1</v>
      </c>
      <c r="G425" s="2">
        <v>0.12</v>
      </c>
      <c r="H425" s="2" t="s">
        <v>38</v>
      </c>
      <c r="I425" s="2" t="s">
        <v>57</v>
      </c>
      <c r="J425" s="2" t="s">
        <v>33</v>
      </c>
      <c r="K425" s="2"/>
      <c r="L425" s="2"/>
      <c r="M425" s="2"/>
      <c r="N425" s="2"/>
      <c r="O425" s="2" t="s">
        <v>34</v>
      </c>
      <c r="P425" s="2"/>
      <c r="Q425" s="2"/>
      <c r="R425" s="2">
        <v>1100</v>
      </c>
      <c r="S425" s="2">
        <v>132</v>
      </c>
      <c r="T425" s="13" t="str">
        <f t="shared" si="13"/>
        <v>LDRL032BA</v>
      </c>
      <c r="U425" s="2" t="s">
        <v>934</v>
      </c>
      <c r="V425" s="2"/>
      <c r="W425" s="2">
        <v>2.91</v>
      </c>
      <c r="X425" s="2">
        <v>6.03</v>
      </c>
      <c r="Y425" s="2">
        <v>1.45</v>
      </c>
      <c r="Z425" s="2">
        <v>0</v>
      </c>
      <c r="AA425" s="2">
        <v>0</v>
      </c>
      <c r="AB425" s="2">
        <v>0.48</v>
      </c>
      <c r="AC425" s="3" t="str">
        <f t="shared" si="12"/>
        <v>Loose</v>
      </c>
    </row>
    <row r="426" spans="1:29" x14ac:dyDescent="0.25">
      <c r="A426" s="1" t="s">
        <v>935</v>
      </c>
      <c r="B426" s="2" t="s">
        <v>29</v>
      </c>
      <c r="C426" s="2"/>
      <c r="D426" s="2"/>
      <c r="E426" s="2" t="s">
        <v>766</v>
      </c>
      <c r="F426" s="2">
        <v>1</v>
      </c>
      <c r="G426" s="2">
        <v>0.12</v>
      </c>
      <c r="H426" s="2" t="s">
        <v>38</v>
      </c>
      <c r="I426" s="2" t="s">
        <v>39</v>
      </c>
      <c r="J426" s="2" t="s">
        <v>33</v>
      </c>
      <c r="K426" s="2"/>
      <c r="L426" s="2"/>
      <c r="M426" s="2"/>
      <c r="N426" s="2"/>
      <c r="O426" s="2" t="s">
        <v>34</v>
      </c>
      <c r="P426" s="2"/>
      <c r="Q426" s="2"/>
      <c r="R426" s="2">
        <v>1100</v>
      </c>
      <c r="S426" s="2">
        <v>132</v>
      </c>
      <c r="T426" s="13" t="str">
        <f t="shared" si="13"/>
        <v>PLT4322004A</v>
      </c>
      <c r="U426" s="2" t="s">
        <v>936</v>
      </c>
      <c r="V426" s="2"/>
      <c r="W426" s="2">
        <v>3.04</v>
      </c>
      <c r="X426" s="2">
        <v>5.63</v>
      </c>
      <c r="Y426" s="2">
        <v>1.46</v>
      </c>
      <c r="Z426" s="2">
        <v>0</v>
      </c>
      <c r="AA426" s="2">
        <v>0</v>
      </c>
      <c r="AB426" s="2">
        <v>0.54</v>
      </c>
      <c r="AC426" s="3" t="str">
        <f t="shared" si="12"/>
        <v>Loose</v>
      </c>
    </row>
    <row r="427" spans="1:29" x14ac:dyDescent="0.25">
      <c r="A427" s="1" t="s">
        <v>937</v>
      </c>
      <c r="B427" s="2" t="s">
        <v>29</v>
      </c>
      <c r="C427" s="2"/>
      <c r="D427" s="2"/>
      <c r="E427" s="2" t="s">
        <v>766</v>
      </c>
      <c r="F427" s="2">
        <v>1</v>
      </c>
      <c r="G427" s="2">
        <v>0.12</v>
      </c>
      <c r="H427" s="2" t="s">
        <v>396</v>
      </c>
      <c r="I427" s="2" t="s">
        <v>57</v>
      </c>
      <c r="J427" s="2" t="s">
        <v>33</v>
      </c>
      <c r="K427" s="2"/>
      <c r="L427" s="2"/>
      <c r="M427" s="2"/>
      <c r="N427" s="2"/>
      <c r="O427" s="2" t="s">
        <v>34</v>
      </c>
      <c r="P427" s="2"/>
      <c r="Q427" s="2"/>
      <c r="R427" s="2">
        <v>1100</v>
      </c>
      <c r="S427" s="2">
        <v>132</v>
      </c>
      <c r="T427" s="13" t="str">
        <f t="shared" si="13"/>
        <v>PLT238917BA</v>
      </c>
      <c r="U427" s="2" t="s">
        <v>938</v>
      </c>
      <c r="V427" s="2"/>
      <c r="W427" s="2">
        <v>3.05</v>
      </c>
      <c r="X427" s="2">
        <v>5.95</v>
      </c>
      <c r="Y427" s="2">
        <v>1.42</v>
      </c>
      <c r="Z427" s="2">
        <v>0</v>
      </c>
      <c r="AA427" s="2">
        <v>0</v>
      </c>
      <c r="AB427" s="2">
        <v>0.51</v>
      </c>
      <c r="AC427" s="3" t="str">
        <f t="shared" si="12"/>
        <v>Loose</v>
      </c>
    </row>
    <row r="428" spans="1:29" x14ac:dyDescent="0.25">
      <c r="A428" s="1" t="s">
        <v>939</v>
      </c>
      <c r="B428" s="2" t="s">
        <v>29</v>
      </c>
      <c r="C428" s="2"/>
      <c r="D428" s="2"/>
      <c r="E428" s="2" t="s">
        <v>766</v>
      </c>
      <c r="F428" s="2">
        <v>1</v>
      </c>
      <c r="G428" s="2">
        <v>0.1</v>
      </c>
      <c r="H428" s="2" t="s">
        <v>137</v>
      </c>
      <c r="I428" s="2" t="s">
        <v>53</v>
      </c>
      <c r="J428" s="2" t="s">
        <v>33</v>
      </c>
      <c r="K428" s="2"/>
      <c r="L428" s="2"/>
      <c r="M428" s="2"/>
      <c r="N428" s="2"/>
      <c r="O428" s="2" t="s">
        <v>34</v>
      </c>
      <c r="P428" s="2"/>
      <c r="Q428" s="2"/>
      <c r="R428" s="2">
        <v>1000</v>
      </c>
      <c r="S428" s="2">
        <v>100</v>
      </c>
      <c r="T428" s="13" t="str">
        <f t="shared" si="13"/>
        <v>PLT48002BA</v>
      </c>
      <c r="U428" s="2" t="s">
        <v>940</v>
      </c>
      <c r="V428" s="2"/>
      <c r="W428" s="2">
        <v>3.39</v>
      </c>
      <c r="X428" s="2">
        <v>6.34</v>
      </c>
      <c r="Y428" s="2">
        <v>1.29</v>
      </c>
      <c r="Z428" s="2">
        <v>0</v>
      </c>
      <c r="AA428" s="2">
        <v>0</v>
      </c>
      <c r="AB428" s="2">
        <v>0.53</v>
      </c>
      <c r="AC428" s="3" t="str">
        <f t="shared" si="12"/>
        <v>Loose</v>
      </c>
    </row>
    <row r="429" spans="1:29" x14ac:dyDescent="0.25">
      <c r="A429" s="1" t="s">
        <v>941</v>
      </c>
      <c r="B429" s="2" t="s">
        <v>29</v>
      </c>
      <c r="C429" s="2"/>
      <c r="D429" s="2"/>
      <c r="E429" s="2" t="s">
        <v>766</v>
      </c>
      <c r="F429" s="2">
        <v>1</v>
      </c>
      <c r="G429" s="2">
        <v>0.12</v>
      </c>
      <c r="H429" s="2" t="s">
        <v>38</v>
      </c>
      <c r="I429" s="2" t="s">
        <v>39</v>
      </c>
      <c r="J429" s="2" t="s">
        <v>33</v>
      </c>
      <c r="K429" s="2"/>
      <c r="L429" s="2"/>
      <c r="M429" s="2"/>
      <c r="N429" s="2"/>
      <c r="O429" s="2" t="s">
        <v>58</v>
      </c>
      <c r="P429" s="2"/>
      <c r="Q429" s="2"/>
      <c r="R429" s="2">
        <v>1100</v>
      </c>
      <c r="S429" s="2">
        <v>132</v>
      </c>
      <c r="T429" s="13" t="str">
        <f t="shared" si="13"/>
        <v>PLT71202BA</v>
      </c>
      <c r="U429" s="2" t="s">
        <v>942</v>
      </c>
      <c r="V429" s="2"/>
      <c r="W429" s="2">
        <v>2.94</v>
      </c>
      <c r="X429" s="2">
        <v>6.1</v>
      </c>
      <c r="Y429" s="2">
        <v>1.36</v>
      </c>
      <c r="Z429" s="2">
        <v>0</v>
      </c>
      <c r="AA429" s="2">
        <v>0</v>
      </c>
      <c r="AB429" s="2">
        <v>0.48</v>
      </c>
      <c r="AC429" s="3" t="str">
        <f t="shared" si="12"/>
        <v>Loose</v>
      </c>
    </row>
    <row r="430" spans="1:29" x14ac:dyDescent="0.25">
      <c r="A430" s="1" t="s">
        <v>943</v>
      </c>
      <c r="B430" s="2" t="s">
        <v>29</v>
      </c>
      <c r="C430" s="2"/>
      <c r="D430" s="2"/>
      <c r="E430" s="2" t="s">
        <v>766</v>
      </c>
      <c r="F430" s="2">
        <v>1</v>
      </c>
      <c r="G430" s="2">
        <v>0.12</v>
      </c>
      <c r="H430" s="2" t="s">
        <v>396</v>
      </c>
      <c r="I430" s="2" t="s">
        <v>53</v>
      </c>
      <c r="J430" s="2" t="s">
        <v>33</v>
      </c>
      <c r="K430" s="2"/>
      <c r="L430" s="2"/>
      <c r="M430" s="2"/>
      <c r="N430" s="2"/>
      <c r="O430" s="2" t="s">
        <v>34</v>
      </c>
      <c r="P430" s="2"/>
      <c r="Q430" s="2"/>
      <c r="R430" s="2">
        <v>1100</v>
      </c>
      <c r="S430" s="2">
        <v>132</v>
      </c>
      <c r="T430" s="13" t="str">
        <f t="shared" si="13"/>
        <v>BLL019ABA</v>
      </c>
      <c r="U430" s="2" t="s">
        <v>944</v>
      </c>
      <c r="V430" s="2"/>
      <c r="W430" s="2">
        <v>2.97</v>
      </c>
      <c r="X430" s="2">
        <v>6.15</v>
      </c>
      <c r="Y430" s="2">
        <v>1.44</v>
      </c>
      <c r="Z430" s="2">
        <v>0</v>
      </c>
      <c r="AA430" s="2">
        <v>0</v>
      </c>
      <c r="AB430" s="2">
        <v>0.48</v>
      </c>
      <c r="AC430" s="3" t="str">
        <f t="shared" si="12"/>
        <v>Loose</v>
      </c>
    </row>
    <row r="431" spans="1:29" x14ac:dyDescent="0.25">
      <c r="A431" s="1" t="s">
        <v>945</v>
      </c>
      <c r="B431" s="2" t="s">
        <v>29</v>
      </c>
      <c r="C431" s="2"/>
      <c r="D431" s="2"/>
      <c r="E431" s="2" t="s">
        <v>766</v>
      </c>
      <c r="F431" s="2">
        <v>1</v>
      </c>
      <c r="G431" s="2">
        <v>0.13</v>
      </c>
      <c r="H431" s="2" t="s">
        <v>137</v>
      </c>
      <c r="I431" s="2" t="s">
        <v>39</v>
      </c>
      <c r="J431" s="2" t="s">
        <v>33</v>
      </c>
      <c r="K431" s="2"/>
      <c r="L431" s="2"/>
      <c r="M431" s="2"/>
      <c r="N431" s="2"/>
      <c r="O431" s="2" t="s">
        <v>46</v>
      </c>
      <c r="P431" s="2"/>
      <c r="Q431" s="2"/>
      <c r="R431" s="2">
        <v>1100</v>
      </c>
      <c r="S431" s="2">
        <v>143</v>
      </c>
      <c r="T431" s="13" t="str">
        <f t="shared" si="13"/>
        <v>NR121BA</v>
      </c>
      <c r="U431" s="2" t="s">
        <v>946</v>
      </c>
      <c r="V431" s="2"/>
      <c r="W431" s="2">
        <v>3.23</v>
      </c>
      <c r="X431" s="2">
        <v>6.27</v>
      </c>
      <c r="Y431" s="2">
        <v>1.37</v>
      </c>
      <c r="Z431" s="2">
        <v>0</v>
      </c>
      <c r="AA431" s="2">
        <v>0</v>
      </c>
      <c r="AB431" s="2">
        <v>0.52</v>
      </c>
      <c r="AC431" s="3" t="str">
        <f t="shared" si="12"/>
        <v>Loose</v>
      </c>
    </row>
    <row r="432" spans="1:29" x14ac:dyDescent="0.25">
      <c r="A432" s="1" t="s">
        <v>947</v>
      </c>
      <c r="B432" s="2" t="s">
        <v>29</v>
      </c>
      <c r="C432" s="2"/>
      <c r="D432" s="2"/>
      <c r="E432" s="2" t="s">
        <v>766</v>
      </c>
      <c r="F432" s="2">
        <v>1</v>
      </c>
      <c r="G432" s="2">
        <v>0.1</v>
      </c>
      <c r="H432" s="2" t="s">
        <v>137</v>
      </c>
      <c r="I432" s="2" t="s">
        <v>53</v>
      </c>
      <c r="J432" s="2" t="s">
        <v>33</v>
      </c>
      <c r="K432" s="2"/>
      <c r="L432" s="2"/>
      <c r="M432" s="2"/>
      <c r="N432" s="2"/>
      <c r="O432" s="2" t="s">
        <v>58</v>
      </c>
      <c r="P432" s="2"/>
      <c r="Q432" s="2"/>
      <c r="R432" s="2">
        <v>1100</v>
      </c>
      <c r="S432" s="2">
        <v>110</v>
      </c>
      <c r="T432" s="13" t="str">
        <f t="shared" si="13"/>
        <v>YL037BA</v>
      </c>
      <c r="U432" s="2" t="s">
        <v>948</v>
      </c>
      <c r="V432" s="2"/>
      <c r="W432" s="2">
        <v>2.88</v>
      </c>
      <c r="X432" s="2">
        <v>5.92</v>
      </c>
      <c r="Y432" s="2">
        <v>1.31</v>
      </c>
      <c r="Z432" s="2">
        <v>0</v>
      </c>
      <c r="AA432" s="2">
        <v>0</v>
      </c>
      <c r="AB432" s="2">
        <v>0.49</v>
      </c>
      <c r="AC432" s="3" t="str">
        <f t="shared" si="12"/>
        <v>Loose</v>
      </c>
    </row>
    <row r="433" spans="1:29" x14ac:dyDescent="0.25">
      <c r="A433" s="1" t="s">
        <v>949</v>
      </c>
      <c r="B433" s="2" t="s">
        <v>29</v>
      </c>
      <c r="C433" s="2"/>
      <c r="D433" s="2"/>
      <c r="E433" s="2" t="s">
        <v>766</v>
      </c>
      <c r="F433" s="2">
        <v>1</v>
      </c>
      <c r="G433" s="2">
        <v>0.1</v>
      </c>
      <c r="H433" s="2" t="s">
        <v>137</v>
      </c>
      <c r="I433" s="2" t="s">
        <v>32</v>
      </c>
      <c r="J433" s="2" t="s">
        <v>33</v>
      </c>
      <c r="K433" s="2"/>
      <c r="L433" s="2"/>
      <c r="M433" s="2"/>
      <c r="N433" s="2"/>
      <c r="O433" s="2" t="s">
        <v>34</v>
      </c>
      <c r="P433" s="2"/>
      <c r="Q433" s="2"/>
      <c r="R433" s="2">
        <v>1000</v>
      </c>
      <c r="S433" s="2">
        <v>100</v>
      </c>
      <c r="T433" s="13" t="str">
        <f t="shared" si="13"/>
        <v>BLHL02BAA</v>
      </c>
      <c r="U433" s="2" t="s">
        <v>950</v>
      </c>
      <c r="V433" s="2"/>
      <c r="W433" s="2">
        <v>2.88</v>
      </c>
      <c r="X433" s="2">
        <v>5.54</v>
      </c>
      <c r="Y433" s="2">
        <v>1.36</v>
      </c>
      <c r="Z433" s="2">
        <v>0</v>
      </c>
      <c r="AA433" s="2">
        <v>0</v>
      </c>
      <c r="AB433" s="2">
        <v>0.52</v>
      </c>
      <c r="AC433" s="3" t="str">
        <f t="shared" si="12"/>
        <v>Loose</v>
      </c>
    </row>
    <row r="434" spans="1:29" x14ac:dyDescent="0.25">
      <c r="A434" s="1" t="s">
        <v>951</v>
      </c>
      <c r="B434" s="2" t="s">
        <v>29</v>
      </c>
      <c r="C434" s="2"/>
      <c r="D434" s="2"/>
      <c r="E434" s="2" t="s">
        <v>766</v>
      </c>
      <c r="F434" s="2">
        <v>1</v>
      </c>
      <c r="G434" s="2">
        <v>0.1</v>
      </c>
      <c r="H434" s="2" t="s">
        <v>396</v>
      </c>
      <c r="I434" s="2" t="s">
        <v>68</v>
      </c>
      <c r="J434" s="2" t="s">
        <v>33</v>
      </c>
      <c r="K434" s="2"/>
      <c r="L434" s="2"/>
      <c r="M434" s="2"/>
      <c r="N434" s="2"/>
      <c r="O434" s="2" t="s">
        <v>34</v>
      </c>
      <c r="P434" s="2"/>
      <c r="Q434" s="2"/>
      <c r="R434" s="2">
        <v>1100</v>
      </c>
      <c r="S434" s="2">
        <v>110</v>
      </c>
      <c r="T434" s="13" t="str">
        <f t="shared" si="13"/>
        <v>SHMB021BA</v>
      </c>
      <c r="U434" s="2" t="s">
        <v>952</v>
      </c>
      <c r="V434" s="2"/>
      <c r="W434" s="2">
        <v>2.72</v>
      </c>
      <c r="X434" s="2">
        <v>6.19</v>
      </c>
      <c r="Y434" s="2">
        <v>1.27</v>
      </c>
      <c r="Z434" s="2">
        <v>0</v>
      </c>
      <c r="AA434" s="2">
        <v>0</v>
      </c>
      <c r="AB434" s="2">
        <v>0.44</v>
      </c>
      <c r="AC434" s="3" t="str">
        <f t="shared" si="12"/>
        <v>Loose</v>
      </c>
    </row>
    <row r="435" spans="1:29" x14ac:dyDescent="0.25">
      <c r="A435" s="1" t="s">
        <v>953</v>
      </c>
      <c r="B435" s="2" t="s">
        <v>29</v>
      </c>
      <c r="C435" s="2"/>
      <c r="D435" s="2"/>
      <c r="E435" s="2" t="s">
        <v>766</v>
      </c>
      <c r="F435" s="2">
        <v>1</v>
      </c>
      <c r="G435" s="2">
        <v>0.1</v>
      </c>
      <c r="H435" s="2" t="s">
        <v>137</v>
      </c>
      <c r="I435" s="2" t="s">
        <v>57</v>
      </c>
      <c r="J435" s="2" t="s">
        <v>33</v>
      </c>
      <c r="K435" s="2"/>
      <c r="L435" s="2"/>
      <c r="M435" s="2"/>
      <c r="N435" s="2"/>
      <c r="O435" s="2" t="s">
        <v>46</v>
      </c>
      <c r="P435" s="2"/>
      <c r="Q435" s="2"/>
      <c r="R435" s="2">
        <v>1100</v>
      </c>
      <c r="S435" s="2">
        <v>110</v>
      </c>
      <c r="T435" s="13" t="str">
        <f t="shared" si="13"/>
        <v>LEV326BBABA</v>
      </c>
      <c r="U435" s="2" t="s">
        <v>954</v>
      </c>
      <c r="V435" s="2"/>
      <c r="W435" s="2">
        <v>2.91</v>
      </c>
      <c r="X435" s="2">
        <v>6.27</v>
      </c>
      <c r="Y435" s="2">
        <v>1.29</v>
      </c>
      <c r="Z435" s="2">
        <v>0</v>
      </c>
      <c r="AA435" s="2">
        <v>0</v>
      </c>
      <c r="AB435" s="2">
        <v>0.46</v>
      </c>
      <c r="AC435" s="3" t="str">
        <f t="shared" si="12"/>
        <v>Loose</v>
      </c>
    </row>
    <row r="436" spans="1:29" x14ac:dyDescent="0.25">
      <c r="A436" s="1" t="s">
        <v>955</v>
      </c>
      <c r="B436" s="2" t="s">
        <v>29</v>
      </c>
      <c r="C436" s="2"/>
      <c r="D436" s="2"/>
      <c r="E436" s="2" t="s">
        <v>766</v>
      </c>
      <c r="F436" s="2">
        <v>1</v>
      </c>
      <c r="G436" s="2">
        <v>0.13</v>
      </c>
      <c r="H436" s="2" t="s">
        <v>31</v>
      </c>
      <c r="I436" s="2" t="s">
        <v>39</v>
      </c>
      <c r="J436" s="2" t="s">
        <v>33</v>
      </c>
      <c r="K436" s="2"/>
      <c r="L436" s="2"/>
      <c r="M436" s="2"/>
      <c r="N436" s="2"/>
      <c r="O436" s="2" t="s">
        <v>77</v>
      </c>
      <c r="P436" s="2"/>
      <c r="Q436" s="2"/>
      <c r="R436" s="2">
        <v>1400</v>
      </c>
      <c r="S436" s="2">
        <v>182</v>
      </c>
      <c r="T436" s="13" t="str">
        <f t="shared" si="13"/>
        <v>LDRKABAA</v>
      </c>
      <c r="U436" s="2" t="s">
        <v>956</v>
      </c>
      <c r="V436" s="2"/>
      <c r="W436" s="2">
        <v>3.18</v>
      </c>
      <c r="X436" s="2">
        <v>6.4</v>
      </c>
      <c r="Y436" s="2">
        <v>1.41</v>
      </c>
      <c r="Z436" s="2">
        <v>0</v>
      </c>
      <c r="AA436" s="2">
        <v>0</v>
      </c>
      <c r="AB436" s="2">
        <v>0.5</v>
      </c>
      <c r="AC436" s="3" t="str">
        <f t="shared" si="12"/>
        <v>Loose</v>
      </c>
    </row>
    <row r="437" spans="1:29" x14ac:dyDescent="0.25">
      <c r="A437" s="1" t="s">
        <v>957</v>
      </c>
      <c r="B437" s="2" t="s">
        <v>29</v>
      </c>
      <c r="C437" s="2"/>
      <c r="D437" s="2"/>
      <c r="E437" s="2" t="s">
        <v>766</v>
      </c>
      <c r="F437" s="2">
        <v>1</v>
      </c>
      <c r="G437" s="2">
        <v>0.12</v>
      </c>
      <c r="H437" s="2" t="s">
        <v>396</v>
      </c>
      <c r="I437" s="2" t="s">
        <v>57</v>
      </c>
      <c r="J437" s="2" t="s">
        <v>33</v>
      </c>
      <c r="K437" s="2"/>
      <c r="L437" s="2"/>
      <c r="M437" s="2"/>
      <c r="N437" s="2"/>
      <c r="O437" s="2" t="s">
        <v>34</v>
      </c>
      <c r="P437" s="2"/>
      <c r="Q437" s="2"/>
      <c r="R437" s="2">
        <v>1100</v>
      </c>
      <c r="S437" s="2">
        <v>132</v>
      </c>
      <c r="T437" s="13" t="str">
        <f t="shared" si="13"/>
        <v>LEV400ABAA</v>
      </c>
      <c r="U437" s="2" t="s">
        <v>958</v>
      </c>
      <c r="V437" s="2"/>
      <c r="W437" s="2">
        <v>2.95</v>
      </c>
      <c r="X437" s="2">
        <v>6.39</v>
      </c>
      <c r="Y437" s="2">
        <v>1.39</v>
      </c>
      <c r="Z437" s="2">
        <v>0</v>
      </c>
      <c r="AA437" s="2">
        <v>0</v>
      </c>
      <c r="AB437" s="2">
        <v>0.46</v>
      </c>
      <c r="AC437" s="3" t="str">
        <f t="shared" si="12"/>
        <v>Loose</v>
      </c>
    </row>
    <row r="438" spans="1:29" x14ac:dyDescent="0.25">
      <c r="A438" s="1" t="s">
        <v>959</v>
      </c>
      <c r="B438" s="2" t="s">
        <v>29</v>
      </c>
      <c r="C438" s="2"/>
      <c r="D438" s="2"/>
      <c r="E438" s="2" t="s">
        <v>766</v>
      </c>
      <c r="F438" s="2">
        <v>2</v>
      </c>
      <c r="G438" s="2">
        <v>0.34</v>
      </c>
      <c r="H438" s="2" t="s">
        <v>137</v>
      </c>
      <c r="I438" s="2" t="s">
        <v>32</v>
      </c>
      <c r="J438" s="2" t="s">
        <v>33</v>
      </c>
      <c r="K438" s="2"/>
      <c r="L438" s="2"/>
      <c r="M438" s="2"/>
      <c r="N438" s="2"/>
      <c r="O438" s="2"/>
      <c r="P438" s="2"/>
      <c r="Q438" s="2"/>
      <c r="R438" s="2">
        <v>1800</v>
      </c>
      <c r="S438" s="2">
        <v>612</v>
      </c>
      <c r="T438" s="13" t="str">
        <f t="shared" si="13"/>
        <v>KAYT2021</v>
      </c>
      <c r="U438" s="2" t="s">
        <v>960</v>
      </c>
      <c r="V438" s="2"/>
      <c r="W438" s="2">
        <v>3.42</v>
      </c>
      <c r="X438" s="2">
        <v>7.18</v>
      </c>
      <c r="Y438" s="2">
        <v>1.72</v>
      </c>
      <c r="Z438" s="2">
        <v>0</v>
      </c>
      <c r="AA438" s="2">
        <v>0</v>
      </c>
      <c r="AB438" s="2">
        <v>0.48</v>
      </c>
      <c r="AC438" s="3" t="str">
        <f t="shared" si="12"/>
        <v>Pair</v>
      </c>
    </row>
    <row r="439" spans="1:29" x14ac:dyDescent="0.25">
      <c r="A439" s="1" t="s">
        <v>961</v>
      </c>
      <c r="B439" s="2" t="s">
        <v>29</v>
      </c>
      <c r="C439" s="2"/>
      <c r="D439" s="2"/>
      <c r="E439" s="2" t="s">
        <v>766</v>
      </c>
      <c r="F439" s="2">
        <v>1</v>
      </c>
      <c r="G439" s="2">
        <v>0.1</v>
      </c>
      <c r="H439" s="2" t="s">
        <v>38</v>
      </c>
      <c r="I439" s="2" t="s">
        <v>53</v>
      </c>
      <c r="J439" s="2" t="s">
        <v>33</v>
      </c>
      <c r="K439" s="2"/>
      <c r="L439" s="2"/>
      <c r="M439" s="2"/>
      <c r="N439" s="2"/>
      <c r="O439" s="2" t="s">
        <v>34</v>
      </c>
      <c r="P439" s="2"/>
      <c r="Q439" s="2"/>
      <c r="R439" s="2">
        <v>1100</v>
      </c>
      <c r="S439" s="2">
        <v>110</v>
      </c>
      <c r="T439" s="13" t="str">
        <f t="shared" si="13"/>
        <v>AMTA008BBA</v>
      </c>
      <c r="U439" s="2" t="s">
        <v>962</v>
      </c>
      <c r="V439" s="2"/>
      <c r="W439" s="2">
        <v>2.85</v>
      </c>
      <c r="X439" s="2">
        <v>5.94</v>
      </c>
      <c r="Y439" s="2">
        <v>1.28</v>
      </c>
      <c r="Z439" s="2">
        <v>0</v>
      </c>
      <c r="AA439" s="2">
        <v>0</v>
      </c>
      <c r="AB439" s="2">
        <v>0.48</v>
      </c>
      <c r="AC439" s="3" t="str">
        <f t="shared" si="12"/>
        <v>Loose</v>
      </c>
    </row>
    <row r="440" spans="1:29" x14ac:dyDescent="0.25">
      <c r="A440" s="1" t="s">
        <v>963</v>
      </c>
      <c r="B440" s="2" t="s">
        <v>29</v>
      </c>
      <c r="C440" s="2"/>
      <c r="D440" s="2"/>
      <c r="E440" s="2" t="s">
        <v>766</v>
      </c>
      <c r="F440" s="2">
        <v>2</v>
      </c>
      <c r="G440" s="2">
        <v>0.37</v>
      </c>
      <c r="H440" s="2" t="s">
        <v>396</v>
      </c>
      <c r="I440" s="2" t="s">
        <v>53</v>
      </c>
      <c r="J440" s="2" t="s">
        <v>33</v>
      </c>
      <c r="K440" s="2"/>
      <c r="L440" s="2"/>
      <c r="M440" s="2"/>
      <c r="N440" s="2"/>
      <c r="O440" s="2" t="s">
        <v>34</v>
      </c>
      <c r="P440" s="2"/>
      <c r="Q440" s="2"/>
      <c r="R440" s="2">
        <v>2600</v>
      </c>
      <c r="S440" s="2">
        <v>962</v>
      </c>
      <c r="T440" s="13" t="str">
        <f t="shared" si="13"/>
        <v>KAYTRS077</v>
      </c>
      <c r="U440" s="2" t="s">
        <v>964</v>
      </c>
      <c r="V440" s="2"/>
      <c r="W440" s="2">
        <v>3.53</v>
      </c>
      <c r="X440" s="2">
        <v>6.1</v>
      </c>
      <c r="Y440" s="2">
        <v>1.44</v>
      </c>
      <c r="Z440" s="2">
        <v>0</v>
      </c>
      <c r="AA440" s="2">
        <v>0</v>
      </c>
      <c r="AB440" s="2">
        <v>0.57999999999999996</v>
      </c>
      <c r="AC440" s="3" t="str">
        <f t="shared" si="12"/>
        <v>Pair</v>
      </c>
    </row>
    <row r="441" spans="1:29" x14ac:dyDescent="0.25">
      <c r="A441" s="1" t="s">
        <v>965</v>
      </c>
      <c r="B441" s="2" t="s">
        <v>29</v>
      </c>
      <c r="C441" s="2"/>
      <c r="D441" s="2"/>
      <c r="E441" s="2" t="s">
        <v>966</v>
      </c>
      <c r="F441" s="2">
        <v>1</v>
      </c>
      <c r="G441" s="2">
        <v>0.5</v>
      </c>
      <c r="H441" s="2" t="s">
        <v>76</v>
      </c>
      <c r="I441" s="2" t="s">
        <v>32</v>
      </c>
      <c r="J441" s="2" t="s">
        <v>33</v>
      </c>
      <c r="K441" s="2"/>
      <c r="L441" s="2" t="s">
        <v>450</v>
      </c>
      <c r="M441" s="2" t="s">
        <v>450</v>
      </c>
      <c r="N441" s="2" t="s">
        <v>421</v>
      </c>
      <c r="O441" s="2" t="s">
        <v>34</v>
      </c>
      <c r="P441" s="2"/>
      <c r="Q441" s="2">
        <v>6455785968</v>
      </c>
      <c r="R441" s="2">
        <v>2200</v>
      </c>
      <c r="S441" s="2">
        <v>1100</v>
      </c>
      <c r="T441" s="13" t="str">
        <f t="shared" si="13"/>
        <v>GRKS07AA</v>
      </c>
      <c r="U441" s="2" t="s">
        <v>967</v>
      </c>
      <c r="V441" s="2"/>
      <c r="W441" s="2">
        <v>9.32</v>
      </c>
      <c r="X441" s="2">
        <v>4.75</v>
      </c>
      <c r="Y441" s="2">
        <v>2.37</v>
      </c>
      <c r="Z441" s="2">
        <v>49.9</v>
      </c>
      <c r="AA441" s="2">
        <v>63</v>
      </c>
      <c r="AB441" s="2">
        <v>1.96</v>
      </c>
      <c r="AC441" s="3" t="str">
        <f t="shared" si="12"/>
        <v>Loose</v>
      </c>
    </row>
    <row r="442" spans="1:29" x14ac:dyDescent="0.25">
      <c r="A442" s="1" t="s">
        <v>968</v>
      </c>
      <c r="B442" s="2" t="s">
        <v>37</v>
      </c>
      <c r="C442" s="2"/>
      <c r="D442" s="2"/>
      <c r="E442" s="2" t="s">
        <v>969</v>
      </c>
      <c r="F442" s="2">
        <v>1</v>
      </c>
      <c r="G442" s="2">
        <v>0.19</v>
      </c>
      <c r="H442" s="2" t="s">
        <v>108</v>
      </c>
      <c r="I442" s="2" t="s">
        <v>68</v>
      </c>
      <c r="J442" s="2" t="s">
        <v>69</v>
      </c>
      <c r="K442" s="2"/>
      <c r="L442" s="2"/>
      <c r="M442" s="2"/>
      <c r="N442" s="2"/>
      <c r="O442" s="2" t="s">
        <v>77</v>
      </c>
      <c r="P442" s="2"/>
      <c r="Q442" s="2"/>
      <c r="R442" s="2">
        <v>1300</v>
      </c>
      <c r="S442" s="2">
        <v>247</v>
      </c>
      <c r="T442" s="13" t="str">
        <f t="shared" si="13"/>
        <v>PLT207503</v>
      </c>
      <c r="U442" s="2" t="s">
        <v>970</v>
      </c>
      <c r="V442" s="2"/>
      <c r="W442" s="2">
        <v>3.69</v>
      </c>
      <c r="X442" s="2">
        <v>7.75</v>
      </c>
      <c r="Y442" s="2">
        <v>1.53</v>
      </c>
      <c r="Z442" s="2">
        <v>0</v>
      </c>
      <c r="AA442" s="2">
        <v>0</v>
      </c>
      <c r="AB442" s="2">
        <v>0.48</v>
      </c>
      <c r="AC442" s="3" t="str">
        <f t="shared" si="12"/>
        <v>Loose</v>
      </c>
    </row>
    <row r="443" spans="1:29" x14ac:dyDescent="0.25">
      <c r="A443" s="1" t="s">
        <v>971</v>
      </c>
      <c r="B443" s="2" t="s">
        <v>29</v>
      </c>
      <c r="C443" s="2"/>
      <c r="D443" s="2"/>
      <c r="E443" s="2" t="s">
        <v>969</v>
      </c>
      <c r="F443" s="2">
        <v>1</v>
      </c>
      <c r="G443" s="2">
        <v>0.2</v>
      </c>
      <c r="H443" s="2" t="s">
        <v>108</v>
      </c>
      <c r="I443" s="2" t="s">
        <v>39</v>
      </c>
      <c r="J443" s="2" t="s">
        <v>69</v>
      </c>
      <c r="K443" s="2"/>
      <c r="L443" s="2"/>
      <c r="M443" s="2"/>
      <c r="N443" s="2"/>
      <c r="O443" s="2" t="s">
        <v>58</v>
      </c>
      <c r="P443" s="2"/>
      <c r="Q443" s="2"/>
      <c r="R443" s="2">
        <v>1500</v>
      </c>
      <c r="S443" s="2">
        <v>300</v>
      </c>
      <c r="T443" s="13" t="str">
        <f t="shared" si="13"/>
        <v>DSHHO2A</v>
      </c>
      <c r="U443" s="2" t="s">
        <v>972</v>
      </c>
      <c r="V443" s="2"/>
      <c r="W443" s="2">
        <v>3.99</v>
      </c>
      <c r="X443" s="2">
        <v>7.36</v>
      </c>
      <c r="Y443" s="2">
        <v>1.44</v>
      </c>
      <c r="Z443" s="2">
        <v>0</v>
      </c>
      <c r="AA443" s="2">
        <v>0</v>
      </c>
      <c r="AB443" s="2">
        <v>0.54</v>
      </c>
      <c r="AC443" s="3" t="str">
        <f t="shared" si="12"/>
        <v>Loose</v>
      </c>
    </row>
    <row r="444" spans="1:29" x14ac:dyDescent="0.25">
      <c r="A444" s="1" t="s">
        <v>973</v>
      </c>
      <c r="B444" s="2" t="s">
        <v>29</v>
      </c>
      <c r="C444" s="2"/>
      <c r="D444" s="2"/>
      <c r="E444" s="2" t="s">
        <v>969</v>
      </c>
      <c r="F444" s="2">
        <v>1</v>
      </c>
      <c r="G444" s="2">
        <v>0.23</v>
      </c>
      <c r="H444" s="2" t="s">
        <v>31</v>
      </c>
      <c r="I444" s="2" t="s">
        <v>32</v>
      </c>
      <c r="J444" s="2" t="s">
        <v>33</v>
      </c>
      <c r="K444" s="2"/>
      <c r="L444" s="2"/>
      <c r="M444" s="2"/>
      <c r="N444" s="2"/>
      <c r="O444" s="2" t="s">
        <v>70</v>
      </c>
      <c r="P444" s="2"/>
      <c r="Q444" s="2"/>
      <c r="R444" s="2">
        <v>2700</v>
      </c>
      <c r="S444" s="2">
        <v>621</v>
      </c>
      <c r="T444" s="13" t="str">
        <f t="shared" si="13"/>
        <v>AMTL05</v>
      </c>
      <c r="U444" s="2" t="s">
        <v>974</v>
      </c>
      <c r="V444" s="2"/>
      <c r="W444" s="2">
        <v>3.49</v>
      </c>
      <c r="X444" s="2">
        <v>8.4499999999999993</v>
      </c>
      <c r="Y444" s="2">
        <v>1.86</v>
      </c>
      <c r="Z444" s="2">
        <v>0</v>
      </c>
      <c r="AA444" s="2">
        <v>0</v>
      </c>
      <c r="AB444" s="2">
        <v>0.41</v>
      </c>
      <c r="AC444" s="3" t="str">
        <f t="shared" si="12"/>
        <v>Loose</v>
      </c>
    </row>
    <row r="445" spans="1:29" x14ac:dyDescent="0.25">
      <c r="A445" s="1" t="s">
        <v>975</v>
      </c>
      <c r="B445" s="2" t="s">
        <v>29</v>
      </c>
      <c r="C445" s="2"/>
      <c r="D445" s="2"/>
      <c r="E445" s="2" t="s">
        <v>969</v>
      </c>
      <c r="F445" s="2">
        <v>2</v>
      </c>
      <c r="G445" s="2">
        <v>0.1</v>
      </c>
      <c r="H445" s="2" t="s">
        <v>38</v>
      </c>
      <c r="I445" s="2" t="s">
        <v>53</v>
      </c>
      <c r="J445" s="2" t="s">
        <v>33</v>
      </c>
      <c r="K445" s="2"/>
      <c r="L445" s="2"/>
      <c r="M445" s="2"/>
      <c r="N445" s="2"/>
      <c r="O445" s="2" t="s">
        <v>34</v>
      </c>
      <c r="P445" s="2"/>
      <c r="Q445" s="2"/>
      <c r="R445" s="2">
        <v>2100</v>
      </c>
      <c r="S445" s="2">
        <v>210</v>
      </c>
      <c r="T445" s="13" t="str">
        <f t="shared" si="13"/>
        <v>KAYTS054N</v>
      </c>
      <c r="U445" s="2" t="s">
        <v>976</v>
      </c>
      <c r="V445" s="2"/>
      <c r="W445" s="2">
        <v>1.81</v>
      </c>
      <c r="X445" s="2">
        <v>6.57</v>
      </c>
      <c r="Y445" s="2">
        <v>1.01</v>
      </c>
      <c r="Z445" s="2">
        <v>0</v>
      </c>
      <c r="AA445" s="2">
        <v>0</v>
      </c>
      <c r="AB445" s="2">
        <v>0.28000000000000003</v>
      </c>
      <c r="AC445" s="3" t="str">
        <f t="shared" si="12"/>
        <v>Pair</v>
      </c>
    </row>
    <row r="446" spans="1:29" x14ac:dyDescent="0.25">
      <c r="A446" s="1" t="s">
        <v>977</v>
      </c>
      <c r="B446" s="2" t="s">
        <v>29</v>
      </c>
      <c r="C446" s="2"/>
      <c r="D446" s="2"/>
      <c r="E446" s="2" t="s">
        <v>969</v>
      </c>
      <c r="F446" s="2">
        <v>2</v>
      </c>
      <c r="G446" s="2">
        <v>1.04</v>
      </c>
      <c r="H446" s="2" t="s">
        <v>49</v>
      </c>
      <c r="I446" s="2" t="s">
        <v>39</v>
      </c>
      <c r="J446" s="2" t="s">
        <v>33</v>
      </c>
      <c r="K446" s="2"/>
      <c r="L446" s="2"/>
      <c r="M446" s="2"/>
      <c r="N446" s="2"/>
      <c r="O446" s="2" t="s">
        <v>70</v>
      </c>
      <c r="P446" s="2"/>
      <c r="Q446" s="2"/>
      <c r="R446" s="2">
        <v>2800</v>
      </c>
      <c r="S446" s="2">
        <v>2912</v>
      </c>
      <c r="T446" s="13" t="str">
        <f t="shared" si="13"/>
        <v>KAYTS080C</v>
      </c>
      <c r="U446" s="2" t="s">
        <v>978</v>
      </c>
      <c r="V446" s="2"/>
      <c r="W446" s="2">
        <v>4.41</v>
      </c>
      <c r="X446" s="2">
        <v>10.42</v>
      </c>
      <c r="Y446" s="2">
        <v>2.4700000000000002</v>
      </c>
      <c r="Z446" s="2">
        <v>0</v>
      </c>
      <c r="AA446" s="2">
        <v>0</v>
      </c>
      <c r="AB446" s="2">
        <v>0.42</v>
      </c>
      <c r="AC446" s="3" t="str">
        <f t="shared" si="12"/>
        <v>Pair</v>
      </c>
    </row>
    <row r="447" spans="1:29" x14ac:dyDescent="0.25">
      <c r="A447" s="1" t="s">
        <v>979</v>
      </c>
      <c r="B447" s="2" t="s">
        <v>37</v>
      </c>
      <c r="C447" s="2"/>
      <c r="D447" s="2"/>
      <c r="E447" s="2" t="s">
        <v>969</v>
      </c>
      <c r="F447" s="2">
        <v>2</v>
      </c>
      <c r="G447" s="2">
        <v>0.94</v>
      </c>
      <c r="H447" s="2" t="s">
        <v>137</v>
      </c>
      <c r="I447" s="2" t="s">
        <v>53</v>
      </c>
      <c r="J447" s="2" t="s">
        <v>397</v>
      </c>
      <c r="K447" s="2"/>
      <c r="L447" s="2"/>
      <c r="M447" s="2"/>
      <c r="N447" s="2"/>
      <c r="O447" s="2" t="s">
        <v>34</v>
      </c>
      <c r="P447" s="2"/>
      <c r="Q447" s="2"/>
      <c r="R447" s="2">
        <v>4600</v>
      </c>
      <c r="S447" s="2">
        <v>4324</v>
      </c>
      <c r="T447" s="13" t="str">
        <f t="shared" si="13"/>
        <v>KAYTS090</v>
      </c>
      <c r="U447" s="2" t="s">
        <v>980</v>
      </c>
      <c r="V447" s="2"/>
      <c r="W447" s="2">
        <v>9.36</v>
      </c>
      <c r="X447" s="2">
        <v>4.22</v>
      </c>
      <c r="Y447" s="2">
        <v>2.73</v>
      </c>
      <c r="Z447" s="2">
        <v>0</v>
      </c>
      <c r="AA447" s="2">
        <v>0</v>
      </c>
      <c r="AB447" s="2">
        <v>2.2200000000000002</v>
      </c>
      <c r="AC447" s="3" t="str">
        <f t="shared" si="12"/>
        <v>Pair</v>
      </c>
    </row>
    <row r="448" spans="1:29" x14ac:dyDescent="0.25">
      <c r="A448" s="1" t="s">
        <v>981</v>
      </c>
      <c r="B448" s="2" t="s">
        <v>29</v>
      </c>
      <c r="C448" s="2"/>
      <c r="D448" s="2"/>
      <c r="E448" s="2" t="s">
        <v>969</v>
      </c>
      <c r="F448" s="2">
        <v>2</v>
      </c>
      <c r="G448" s="2">
        <v>0.55000000000000004</v>
      </c>
      <c r="H448" s="2" t="s">
        <v>396</v>
      </c>
      <c r="I448" s="2" t="s">
        <v>53</v>
      </c>
      <c r="J448" s="2" t="s">
        <v>33</v>
      </c>
      <c r="K448" s="2"/>
      <c r="L448" s="2"/>
      <c r="M448" s="2"/>
      <c r="N448" s="2"/>
      <c r="O448" s="2"/>
      <c r="P448" s="2"/>
      <c r="Q448" s="2"/>
      <c r="R448" s="2">
        <v>3100</v>
      </c>
      <c r="S448" s="2">
        <v>1705</v>
      </c>
      <c r="T448" s="13" t="str">
        <f t="shared" si="13"/>
        <v>KAYTS095</v>
      </c>
      <c r="U448" s="2" t="s">
        <v>982</v>
      </c>
      <c r="V448" s="2"/>
      <c r="W448" s="2">
        <v>3.76</v>
      </c>
      <c r="X448" s="2">
        <v>9.11</v>
      </c>
      <c r="Y448" s="2">
        <v>1.79</v>
      </c>
      <c r="Z448" s="2">
        <v>0</v>
      </c>
      <c r="AA448" s="2">
        <v>0</v>
      </c>
      <c r="AB448" s="2">
        <v>0.41</v>
      </c>
      <c r="AC448" s="3" t="str">
        <f t="shared" si="12"/>
        <v>Pair</v>
      </c>
    </row>
    <row r="449" spans="1:29" x14ac:dyDescent="0.25">
      <c r="A449" s="1" t="s">
        <v>983</v>
      </c>
      <c r="B449" s="2" t="s">
        <v>37</v>
      </c>
      <c r="C449" s="2"/>
      <c r="D449" s="2"/>
      <c r="E449" s="2" t="s">
        <v>969</v>
      </c>
      <c r="F449" s="2">
        <v>2</v>
      </c>
      <c r="G449" s="2">
        <v>0.61</v>
      </c>
      <c r="H449" s="2" t="s">
        <v>396</v>
      </c>
      <c r="I449" s="2" t="s">
        <v>57</v>
      </c>
      <c r="J449" s="2" t="s">
        <v>397</v>
      </c>
      <c r="K449" s="2"/>
      <c r="L449" s="2"/>
      <c r="M449" s="2"/>
      <c r="N449" s="2"/>
      <c r="O449" s="2"/>
      <c r="P449" s="2"/>
      <c r="Q449" s="2"/>
      <c r="R449" s="2">
        <v>3500</v>
      </c>
      <c r="S449" s="2">
        <v>2135</v>
      </c>
      <c r="T449" s="13" t="str">
        <f t="shared" si="13"/>
        <v>KAYTS098</v>
      </c>
      <c r="U449" s="2" t="s">
        <v>984</v>
      </c>
      <c r="V449" s="2"/>
      <c r="W449" s="2">
        <v>9.48</v>
      </c>
      <c r="X449" s="2">
        <v>4.2</v>
      </c>
      <c r="Y449" s="2">
        <v>1.75</v>
      </c>
      <c r="Z449" s="2">
        <v>0</v>
      </c>
      <c r="AA449" s="2">
        <v>0</v>
      </c>
      <c r="AB449" s="2">
        <v>2.2599999999999998</v>
      </c>
      <c r="AC449" s="3" t="str">
        <f t="shared" si="12"/>
        <v>Pair</v>
      </c>
    </row>
    <row r="450" spans="1:29" x14ac:dyDescent="0.25">
      <c r="A450" s="1" t="s">
        <v>985</v>
      </c>
      <c r="B450" s="2" t="s">
        <v>29</v>
      </c>
      <c r="C450" s="2"/>
      <c r="D450" s="2"/>
      <c r="E450" s="2" t="s">
        <v>969</v>
      </c>
      <c r="F450" s="2">
        <v>2</v>
      </c>
      <c r="G450" s="2">
        <v>0.28000000000000003</v>
      </c>
      <c r="H450" s="2" t="s">
        <v>137</v>
      </c>
      <c r="I450" s="2" t="s">
        <v>50</v>
      </c>
      <c r="J450" s="2" t="s">
        <v>33</v>
      </c>
      <c r="K450" s="2"/>
      <c r="L450" s="2"/>
      <c r="M450" s="2"/>
      <c r="N450" s="2"/>
      <c r="O450" s="2"/>
      <c r="P450" s="2"/>
      <c r="Q450" s="2"/>
      <c r="R450" s="2">
        <v>1700</v>
      </c>
      <c r="S450" s="2">
        <v>476</v>
      </c>
      <c r="T450" s="13" t="str">
        <f t="shared" si="13"/>
        <v>KAYTS110</v>
      </c>
      <c r="U450" s="2" t="s">
        <v>986</v>
      </c>
      <c r="V450" s="2"/>
      <c r="W450" s="2">
        <v>3.18</v>
      </c>
      <c r="X450" s="2">
        <v>8.65</v>
      </c>
      <c r="Y450" s="2">
        <v>1.17</v>
      </c>
      <c r="Z450" s="2">
        <v>0</v>
      </c>
      <c r="AA450" s="2">
        <v>0</v>
      </c>
      <c r="AB450" s="2">
        <v>0.37</v>
      </c>
      <c r="AC450" s="3" t="str">
        <f t="shared" ref="AC450:AC513" si="14">IF(F450=2,"Pair","Loose")</f>
        <v>Pair</v>
      </c>
    </row>
    <row r="451" spans="1:29" x14ac:dyDescent="0.25">
      <c r="A451" s="1" t="s">
        <v>987</v>
      </c>
      <c r="B451" s="2" t="s">
        <v>29</v>
      </c>
      <c r="C451" s="2"/>
      <c r="D451" s="2"/>
      <c r="E451" s="2" t="s">
        <v>969</v>
      </c>
      <c r="F451" s="2">
        <v>2</v>
      </c>
      <c r="G451" s="2">
        <v>0.3</v>
      </c>
      <c r="H451" s="2" t="s">
        <v>396</v>
      </c>
      <c r="I451" s="2" t="s">
        <v>53</v>
      </c>
      <c r="J451" s="2" t="s">
        <v>33</v>
      </c>
      <c r="K451" s="2"/>
      <c r="L451" s="2"/>
      <c r="M451" s="2"/>
      <c r="N451" s="2"/>
      <c r="O451" s="2" t="s">
        <v>34</v>
      </c>
      <c r="P451" s="2"/>
      <c r="Q451" s="2"/>
      <c r="R451" s="2">
        <v>2700</v>
      </c>
      <c r="S451" s="2">
        <v>810</v>
      </c>
      <c r="T451" s="13" t="str">
        <f t="shared" si="13"/>
        <v>KAYTS111</v>
      </c>
      <c r="U451" s="2" t="s">
        <v>988</v>
      </c>
      <c r="V451" s="2"/>
      <c r="W451" s="2">
        <v>3.28</v>
      </c>
      <c r="X451" s="2">
        <v>9.19</v>
      </c>
      <c r="Y451" s="2">
        <v>1.1000000000000001</v>
      </c>
      <c r="Z451" s="2">
        <v>0</v>
      </c>
      <c r="AA451" s="2">
        <v>0</v>
      </c>
      <c r="AB451" s="2">
        <v>0.36</v>
      </c>
      <c r="AC451" s="3" t="str">
        <f t="shared" si="14"/>
        <v>Pair</v>
      </c>
    </row>
    <row r="452" spans="1:29" x14ac:dyDescent="0.25">
      <c r="A452" s="1" t="s">
        <v>989</v>
      </c>
      <c r="B452" s="2" t="s">
        <v>29</v>
      </c>
      <c r="C452" s="2"/>
      <c r="D452" s="2"/>
      <c r="E452" s="2" t="s">
        <v>969</v>
      </c>
      <c r="F452" s="2">
        <v>2</v>
      </c>
      <c r="G452" s="2">
        <v>0.38</v>
      </c>
      <c r="H452" s="2" t="s">
        <v>137</v>
      </c>
      <c r="I452" s="2" t="s">
        <v>39</v>
      </c>
      <c r="J452" s="2" t="s">
        <v>33</v>
      </c>
      <c r="K452" s="2"/>
      <c r="L452" s="2"/>
      <c r="M452" s="2"/>
      <c r="N452" s="2"/>
      <c r="O452" s="2"/>
      <c r="P452" s="2"/>
      <c r="Q452" s="2"/>
      <c r="R452" s="2">
        <v>3500</v>
      </c>
      <c r="S452" s="2">
        <v>1330</v>
      </c>
      <c r="T452" s="13" t="str">
        <f t="shared" si="13"/>
        <v>KAYTS112</v>
      </c>
      <c r="U452" s="2" t="s">
        <v>990</v>
      </c>
      <c r="V452" s="2"/>
      <c r="W452" s="2">
        <v>9.99</v>
      </c>
      <c r="X452" s="2">
        <v>3.58</v>
      </c>
      <c r="Y452" s="2">
        <v>1.2</v>
      </c>
      <c r="Z452" s="2">
        <v>0</v>
      </c>
      <c r="AA452" s="2">
        <v>0</v>
      </c>
      <c r="AB452" s="2">
        <v>2.79</v>
      </c>
      <c r="AC452" s="3" t="str">
        <f t="shared" si="14"/>
        <v>Pair</v>
      </c>
    </row>
    <row r="453" spans="1:29" x14ac:dyDescent="0.25">
      <c r="A453" s="1" t="s">
        <v>991</v>
      </c>
      <c r="B453" s="2" t="s">
        <v>29</v>
      </c>
      <c r="C453" s="2"/>
      <c r="D453" s="2"/>
      <c r="E453" s="2" t="s">
        <v>969</v>
      </c>
      <c r="F453" s="2">
        <v>1</v>
      </c>
      <c r="G453" s="2">
        <v>0.39</v>
      </c>
      <c r="H453" s="2" t="s">
        <v>396</v>
      </c>
      <c r="I453" s="2" t="s">
        <v>68</v>
      </c>
      <c r="J453" s="2" t="s">
        <v>397</v>
      </c>
      <c r="K453" s="2"/>
      <c r="L453" s="2" t="s">
        <v>450</v>
      </c>
      <c r="M453" s="2" t="s">
        <v>43</v>
      </c>
      <c r="N453" s="2" t="s">
        <v>421</v>
      </c>
      <c r="O453" s="2" t="s">
        <v>58</v>
      </c>
      <c r="P453" s="2"/>
      <c r="Q453" s="2">
        <v>2396089578</v>
      </c>
      <c r="R453" s="2">
        <v>5000</v>
      </c>
      <c r="S453" s="2">
        <v>1950</v>
      </c>
      <c r="T453" s="13" t="str">
        <f t="shared" si="13"/>
        <v>PLT219007AA</v>
      </c>
      <c r="U453" s="2" t="s">
        <v>992</v>
      </c>
      <c r="V453" s="2"/>
      <c r="W453" s="2">
        <v>14.25</v>
      </c>
      <c r="X453" s="2">
        <v>3.11</v>
      </c>
      <c r="Y453" s="2">
        <v>1.4</v>
      </c>
      <c r="Z453" s="2">
        <v>44.9</v>
      </c>
      <c r="AA453" s="2">
        <v>76</v>
      </c>
      <c r="AB453" s="2">
        <v>4.58</v>
      </c>
      <c r="AC453" s="3" t="str">
        <f t="shared" si="14"/>
        <v>Loose</v>
      </c>
    </row>
    <row r="454" spans="1:29" x14ac:dyDescent="0.25">
      <c r="A454" s="1" t="s">
        <v>993</v>
      </c>
      <c r="B454" s="2" t="s">
        <v>29</v>
      </c>
      <c r="C454" s="2"/>
      <c r="D454" s="2"/>
      <c r="E454" s="2" t="s">
        <v>969</v>
      </c>
      <c r="F454" s="2">
        <v>2</v>
      </c>
      <c r="G454" s="2">
        <v>0.43</v>
      </c>
      <c r="H454" s="2" t="s">
        <v>396</v>
      </c>
      <c r="I454" s="2" t="s">
        <v>32</v>
      </c>
      <c r="J454" s="2" t="s">
        <v>33</v>
      </c>
      <c r="K454" s="2"/>
      <c r="L454" s="2"/>
      <c r="M454" s="2"/>
      <c r="N454" s="2"/>
      <c r="O454" s="2" t="s">
        <v>34</v>
      </c>
      <c r="P454" s="2"/>
      <c r="Q454" s="2"/>
      <c r="R454" s="2">
        <v>3000</v>
      </c>
      <c r="S454" s="2">
        <v>1290</v>
      </c>
      <c r="T454" s="13" t="str">
        <f t="shared" si="13"/>
        <v>KAYTS114L</v>
      </c>
      <c r="U454" s="2" t="s">
        <v>994</v>
      </c>
      <c r="V454" s="2"/>
      <c r="W454" s="2">
        <v>3.64</v>
      </c>
      <c r="X454" s="2">
        <v>9.5</v>
      </c>
      <c r="Y454" s="2">
        <v>1.44</v>
      </c>
      <c r="Z454" s="2">
        <v>0</v>
      </c>
      <c r="AA454" s="2">
        <v>0</v>
      </c>
      <c r="AB454" s="2">
        <v>0.38</v>
      </c>
      <c r="AC454" s="3" t="str">
        <f t="shared" si="14"/>
        <v>Pair</v>
      </c>
    </row>
    <row r="455" spans="1:29" x14ac:dyDescent="0.25">
      <c r="A455" s="1" t="s">
        <v>995</v>
      </c>
      <c r="B455" s="2" t="s">
        <v>29</v>
      </c>
      <c r="C455" s="2"/>
      <c r="D455" s="2"/>
      <c r="E455" s="2" t="s">
        <v>969</v>
      </c>
      <c r="F455" s="2">
        <v>1</v>
      </c>
      <c r="G455" s="2">
        <v>0.78</v>
      </c>
      <c r="H455" s="2" t="s">
        <v>396</v>
      </c>
      <c r="I455" s="2" t="s">
        <v>53</v>
      </c>
      <c r="J455" s="2" t="s">
        <v>397</v>
      </c>
      <c r="K455" s="2"/>
      <c r="L455" s="2" t="s">
        <v>43</v>
      </c>
      <c r="M455" s="2" t="s">
        <v>43</v>
      </c>
      <c r="N455" s="2" t="s">
        <v>421</v>
      </c>
      <c r="O455" s="2" t="s">
        <v>34</v>
      </c>
      <c r="P455" s="2"/>
      <c r="Q455" s="2">
        <v>6472316240</v>
      </c>
      <c r="R455" s="2">
        <v>7000</v>
      </c>
      <c r="S455" s="2">
        <v>5460</v>
      </c>
      <c r="T455" s="13" t="str">
        <f t="shared" ref="T455:T518" si="15">IF(OR(TRIM(A455&amp;"")="",TRIM(A455&amp;"")="0"),"",HYPERLINK("https://gs.gsdiamonds.com/StoneDetails.aspx?name=" &amp; _xlfn.ENCODEURL(TRIM(A455&amp;"")), TRIM(A455&amp;"")))</f>
        <v>PLT2330AA</v>
      </c>
      <c r="U455" s="2" t="s">
        <v>996</v>
      </c>
      <c r="V455" s="2"/>
      <c r="W455" s="2">
        <v>14.31</v>
      </c>
      <c r="X455" s="2">
        <v>4.22</v>
      </c>
      <c r="Y455" s="2">
        <v>1.79</v>
      </c>
      <c r="Z455" s="2">
        <v>42.4</v>
      </c>
      <c r="AA455" s="2">
        <v>75</v>
      </c>
      <c r="AB455" s="2">
        <v>3.39</v>
      </c>
      <c r="AC455" s="3" t="str">
        <f t="shared" si="14"/>
        <v>Loose</v>
      </c>
    </row>
    <row r="456" spans="1:29" x14ac:dyDescent="0.25">
      <c r="A456" s="1" t="s">
        <v>997</v>
      </c>
      <c r="B456" s="2" t="s">
        <v>29</v>
      </c>
      <c r="C456" s="2"/>
      <c r="D456" s="2"/>
      <c r="E456" s="2" t="s">
        <v>969</v>
      </c>
      <c r="F456" s="2">
        <v>1</v>
      </c>
      <c r="G456" s="2">
        <v>0.62</v>
      </c>
      <c r="H456" s="2" t="s">
        <v>73</v>
      </c>
      <c r="I456" s="2" t="s">
        <v>57</v>
      </c>
      <c r="J456" s="2" t="s">
        <v>33</v>
      </c>
      <c r="K456" s="2"/>
      <c r="L456" s="2" t="s">
        <v>450</v>
      </c>
      <c r="M456" s="2" t="s">
        <v>43</v>
      </c>
      <c r="N456" s="2" t="s">
        <v>421</v>
      </c>
      <c r="O456" s="2" t="s">
        <v>77</v>
      </c>
      <c r="P456" s="2"/>
      <c r="Q456" s="2">
        <v>1479202278</v>
      </c>
      <c r="R456" s="2">
        <v>3500</v>
      </c>
      <c r="S456" s="2">
        <v>2170</v>
      </c>
      <c r="T456" s="13" t="str">
        <f t="shared" si="15"/>
        <v>LVP043AAA</v>
      </c>
      <c r="U456" s="2" t="s">
        <v>998</v>
      </c>
      <c r="V456" s="2"/>
      <c r="W456" s="2">
        <v>14.17</v>
      </c>
      <c r="X456" s="2">
        <v>3.55</v>
      </c>
      <c r="Y456" s="2">
        <v>1.82</v>
      </c>
      <c r="Z456" s="2">
        <v>51.3</v>
      </c>
      <c r="AA456" s="2">
        <v>67</v>
      </c>
      <c r="AB456" s="2">
        <v>3.99</v>
      </c>
      <c r="AC456" s="3" t="str">
        <f t="shared" si="14"/>
        <v>Loose</v>
      </c>
    </row>
    <row r="457" spans="1:29" x14ac:dyDescent="0.25">
      <c r="A457" s="1" t="s">
        <v>999</v>
      </c>
      <c r="B457" s="2" t="s">
        <v>29</v>
      </c>
      <c r="C457" s="2"/>
      <c r="D457" s="2"/>
      <c r="E457" s="2" t="s">
        <v>969</v>
      </c>
      <c r="F457" s="2">
        <v>1</v>
      </c>
      <c r="G457" s="2">
        <v>0.38</v>
      </c>
      <c r="H457" s="2" t="s">
        <v>396</v>
      </c>
      <c r="I457" s="2" t="s">
        <v>39</v>
      </c>
      <c r="J457" s="2" t="s">
        <v>397</v>
      </c>
      <c r="K457" s="2"/>
      <c r="L457" s="2" t="s">
        <v>450</v>
      </c>
      <c r="M457" s="2" t="s">
        <v>43</v>
      </c>
      <c r="N457" s="2" t="s">
        <v>421</v>
      </c>
      <c r="O457" s="2" t="s">
        <v>34</v>
      </c>
      <c r="P457" s="2"/>
      <c r="Q457" s="2">
        <v>6475316214</v>
      </c>
      <c r="R457" s="2">
        <v>4500</v>
      </c>
      <c r="S457" s="2">
        <v>1710</v>
      </c>
      <c r="T457" s="13" t="str">
        <f t="shared" si="15"/>
        <v>LIR275604BA</v>
      </c>
      <c r="U457" s="2" t="s">
        <v>1000</v>
      </c>
      <c r="V457" s="2"/>
      <c r="W457" s="2">
        <v>9.2100000000000009</v>
      </c>
      <c r="X457" s="2">
        <v>3.73</v>
      </c>
      <c r="Y457" s="2">
        <v>2.31</v>
      </c>
      <c r="Z457" s="2">
        <v>61.9</v>
      </c>
      <c r="AA457" s="2">
        <v>72</v>
      </c>
      <c r="AB457" s="2">
        <v>2.4700000000000002</v>
      </c>
      <c r="AC457" s="3" t="str">
        <f t="shared" si="14"/>
        <v>Loose</v>
      </c>
    </row>
    <row r="458" spans="1:29" x14ac:dyDescent="0.25">
      <c r="A458" s="1" t="s">
        <v>1001</v>
      </c>
      <c r="B458" s="2" t="s">
        <v>29</v>
      </c>
      <c r="C458" s="2"/>
      <c r="D458" s="2"/>
      <c r="E458" s="2" t="s">
        <v>969</v>
      </c>
      <c r="F458" s="2">
        <v>2</v>
      </c>
      <c r="G458" s="2">
        <v>0.64</v>
      </c>
      <c r="H458" s="2" t="s">
        <v>137</v>
      </c>
      <c r="I458" s="2" t="s">
        <v>53</v>
      </c>
      <c r="J458" s="2" t="s">
        <v>397</v>
      </c>
      <c r="K458" s="2"/>
      <c r="L458" s="2"/>
      <c r="M458" s="2"/>
      <c r="N458" s="2"/>
      <c r="O458" s="2" t="s">
        <v>34</v>
      </c>
      <c r="P458" s="2"/>
      <c r="Q458" s="2"/>
      <c r="R458" s="2">
        <v>3300</v>
      </c>
      <c r="S458" s="2">
        <v>2112</v>
      </c>
      <c r="T458" s="13" t="str">
        <f t="shared" si="15"/>
        <v>KAYTS123</v>
      </c>
      <c r="U458" s="2" t="s">
        <v>1002</v>
      </c>
      <c r="V458" s="2"/>
      <c r="W458" s="2">
        <v>8.75</v>
      </c>
      <c r="X458" s="2">
        <v>4.6100000000000003</v>
      </c>
      <c r="Y458" s="2">
        <v>1.77</v>
      </c>
      <c r="Z458" s="2">
        <v>0</v>
      </c>
      <c r="AA458" s="2">
        <v>0</v>
      </c>
      <c r="AB458" s="2">
        <v>1.9</v>
      </c>
      <c r="AC458" s="3" t="str">
        <f t="shared" si="14"/>
        <v>Pair</v>
      </c>
    </row>
    <row r="459" spans="1:29" x14ac:dyDescent="0.25">
      <c r="A459" s="1" t="s">
        <v>1003</v>
      </c>
      <c r="B459" s="2" t="s">
        <v>29</v>
      </c>
      <c r="C459" s="2"/>
      <c r="D459" s="2"/>
      <c r="E459" s="2" t="s">
        <v>969</v>
      </c>
      <c r="F459" s="2">
        <v>2</v>
      </c>
      <c r="G459" s="2">
        <v>0.13</v>
      </c>
      <c r="H459" s="2" t="s">
        <v>38</v>
      </c>
      <c r="I459" s="2" t="s">
        <v>53</v>
      </c>
      <c r="J459" s="2" t="s">
        <v>33</v>
      </c>
      <c r="K459" s="2"/>
      <c r="L459" s="2"/>
      <c r="M459" s="2"/>
      <c r="N459" s="2"/>
      <c r="O459" s="2" t="s">
        <v>34</v>
      </c>
      <c r="P459" s="2"/>
      <c r="Q459" s="2"/>
      <c r="R459" s="2">
        <v>2100</v>
      </c>
      <c r="S459" s="2">
        <v>273</v>
      </c>
      <c r="T459" s="13" t="str">
        <f t="shared" si="15"/>
        <v>KAYTS125</v>
      </c>
      <c r="U459" s="2" t="s">
        <v>1004</v>
      </c>
      <c r="V459" s="2"/>
      <c r="W459" s="2">
        <v>2.5499999999999998</v>
      </c>
      <c r="X459" s="2">
        <v>5.29</v>
      </c>
      <c r="Y459" s="2">
        <v>1.03</v>
      </c>
      <c r="Z459" s="2">
        <v>0</v>
      </c>
      <c r="AA459" s="2">
        <v>0</v>
      </c>
      <c r="AB459" s="2">
        <v>0.48</v>
      </c>
      <c r="AC459" s="3" t="str">
        <f t="shared" si="14"/>
        <v>Pair</v>
      </c>
    </row>
    <row r="460" spans="1:29" x14ac:dyDescent="0.25">
      <c r="A460" s="1" t="s">
        <v>1005</v>
      </c>
      <c r="B460" s="2" t="s">
        <v>29</v>
      </c>
      <c r="C460" s="2"/>
      <c r="D460" s="2"/>
      <c r="E460" s="2" t="s">
        <v>969</v>
      </c>
      <c r="F460" s="2">
        <v>2</v>
      </c>
      <c r="G460" s="2">
        <v>0.12</v>
      </c>
      <c r="H460" s="2" t="s">
        <v>396</v>
      </c>
      <c r="I460" s="2" t="s">
        <v>53</v>
      </c>
      <c r="J460" s="2" t="s">
        <v>33</v>
      </c>
      <c r="K460" s="2"/>
      <c r="L460" s="2"/>
      <c r="M460" s="2"/>
      <c r="N460" s="2"/>
      <c r="O460" s="2" t="s">
        <v>34</v>
      </c>
      <c r="P460" s="2"/>
      <c r="Q460" s="2"/>
      <c r="R460" s="2">
        <v>2100</v>
      </c>
      <c r="S460" s="2">
        <v>252</v>
      </c>
      <c r="T460" s="13" t="str">
        <f t="shared" si="15"/>
        <v>KAYTS126</v>
      </c>
      <c r="U460" s="2" t="s">
        <v>1006</v>
      </c>
      <c r="V460" s="2"/>
      <c r="W460" s="2">
        <v>2.27</v>
      </c>
      <c r="X460" s="2">
        <v>5.09</v>
      </c>
      <c r="Y460" s="2">
        <v>1.03</v>
      </c>
      <c r="Z460" s="2">
        <v>0</v>
      </c>
      <c r="AA460" s="2">
        <v>0</v>
      </c>
      <c r="AB460" s="2">
        <v>0.45</v>
      </c>
      <c r="AC460" s="3" t="str">
        <f t="shared" si="14"/>
        <v>Pair</v>
      </c>
    </row>
    <row r="461" spans="1:29" x14ac:dyDescent="0.25">
      <c r="A461" s="1" t="s">
        <v>1007</v>
      </c>
      <c r="B461" s="2" t="s">
        <v>29</v>
      </c>
      <c r="C461" s="2"/>
      <c r="D461" s="2"/>
      <c r="E461" s="2" t="s">
        <v>969</v>
      </c>
      <c r="F461" s="2">
        <v>1</v>
      </c>
      <c r="G461" s="2">
        <v>0.39</v>
      </c>
      <c r="H461" s="2" t="s">
        <v>137</v>
      </c>
      <c r="I461" s="2" t="s">
        <v>166</v>
      </c>
      <c r="J461" s="2" t="s">
        <v>69</v>
      </c>
      <c r="K461" s="2"/>
      <c r="L461" s="2"/>
      <c r="M461" s="2"/>
      <c r="N461" s="2"/>
      <c r="O461" s="2" t="s">
        <v>34</v>
      </c>
      <c r="P461" s="2"/>
      <c r="Q461" s="2"/>
      <c r="R461" s="2">
        <v>1500</v>
      </c>
      <c r="S461" s="2">
        <v>585</v>
      </c>
      <c r="T461" s="13" t="str">
        <f t="shared" si="15"/>
        <v>DRG03BBCAAAAAA</v>
      </c>
      <c r="U461" s="2" t="s">
        <v>1008</v>
      </c>
      <c r="V461" s="2"/>
      <c r="W461" s="2">
        <v>3.95</v>
      </c>
      <c r="X461" s="2">
        <v>9.73</v>
      </c>
      <c r="Y461" s="2">
        <v>2.58</v>
      </c>
      <c r="Z461" s="2">
        <v>0</v>
      </c>
      <c r="AA461" s="2">
        <v>0</v>
      </c>
      <c r="AB461" s="2">
        <v>0.41</v>
      </c>
      <c r="AC461" s="3" t="str">
        <f t="shared" si="14"/>
        <v>Loose</v>
      </c>
    </row>
    <row r="462" spans="1:29" x14ac:dyDescent="0.25">
      <c r="A462" s="1" t="s">
        <v>1009</v>
      </c>
      <c r="B462" s="2" t="s">
        <v>29</v>
      </c>
      <c r="C462" s="2"/>
      <c r="D462" s="2"/>
      <c r="E462" s="2" t="s">
        <v>969</v>
      </c>
      <c r="F462" s="2">
        <v>1</v>
      </c>
      <c r="G462" s="2">
        <v>0.55000000000000004</v>
      </c>
      <c r="H462" s="2" t="s">
        <v>396</v>
      </c>
      <c r="I462" s="2" t="s">
        <v>39</v>
      </c>
      <c r="J462" s="2" t="s">
        <v>397</v>
      </c>
      <c r="K462" s="2"/>
      <c r="L462" s="2" t="s">
        <v>43</v>
      </c>
      <c r="M462" s="2" t="s">
        <v>43</v>
      </c>
      <c r="N462" s="2" t="s">
        <v>421</v>
      </c>
      <c r="O462" s="2" t="s">
        <v>34</v>
      </c>
      <c r="P462" s="2"/>
      <c r="Q462" s="2">
        <v>5231493412</v>
      </c>
      <c r="R462" s="2">
        <v>5000</v>
      </c>
      <c r="S462" s="2">
        <v>2750</v>
      </c>
      <c r="T462" s="13" t="str">
        <f t="shared" si="15"/>
        <v>RHMV05AAAAAA</v>
      </c>
      <c r="U462" s="2" t="s">
        <v>1010</v>
      </c>
      <c r="V462" s="2"/>
      <c r="W462" s="2">
        <v>13.46</v>
      </c>
      <c r="X462" s="2">
        <v>3.89</v>
      </c>
      <c r="Y462" s="2">
        <v>1.47</v>
      </c>
      <c r="Z462" s="2">
        <v>37.700000000000003</v>
      </c>
      <c r="AA462" s="2">
        <v>76</v>
      </c>
      <c r="AB462" s="2">
        <v>3.46</v>
      </c>
      <c r="AC462" s="3" t="str">
        <f t="shared" si="14"/>
        <v>Loose</v>
      </c>
    </row>
    <row r="463" spans="1:29" x14ac:dyDescent="0.25">
      <c r="A463" s="1" t="s">
        <v>1011</v>
      </c>
      <c r="B463" s="2" t="s">
        <v>29</v>
      </c>
      <c r="C463" s="2"/>
      <c r="D463" s="2"/>
      <c r="E463" s="2" t="s">
        <v>969</v>
      </c>
      <c r="F463" s="2">
        <v>1</v>
      </c>
      <c r="G463" s="2">
        <v>0.1</v>
      </c>
      <c r="H463" s="2" t="s">
        <v>31</v>
      </c>
      <c r="I463" s="2" t="s">
        <v>53</v>
      </c>
      <c r="J463" s="2" t="s">
        <v>33</v>
      </c>
      <c r="K463" s="2"/>
      <c r="L463" s="2"/>
      <c r="M463" s="2"/>
      <c r="N463" s="2"/>
      <c r="O463" s="2" t="s">
        <v>34</v>
      </c>
      <c r="P463" s="2"/>
      <c r="Q463" s="2"/>
      <c r="R463" s="2">
        <v>1000</v>
      </c>
      <c r="S463" s="2">
        <v>100</v>
      </c>
      <c r="T463" s="13" t="str">
        <f t="shared" si="15"/>
        <v>LEV501BA</v>
      </c>
      <c r="U463" s="2" t="s">
        <v>1012</v>
      </c>
      <c r="V463" s="2"/>
      <c r="W463" s="2">
        <v>2.87</v>
      </c>
      <c r="X463" s="2">
        <v>6.94</v>
      </c>
      <c r="Y463" s="2">
        <v>1.03</v>
      </c>
      <c r="Z463" s="2">
        <v>0</v>
      </c>
      <c r="AA463" s="2">
        <v>0</v>
      </c>
      <c r="AB463" s="2">
        <v>0.41</v>
      </c>
      <c r="AC463" s="3" t="str">
        <f t="shared" si="14"/>
        <v>Loose</v>
      </c>
    </row>
    <row r="464" spans="1:29" x14ac:dyDescent="0.25">
      <c r="A464" s="1" t="s">
        <v>1013</v>
      </c>
      <c r="B464" s="2" t="s">
        <v>29</v>
      </c>
      <c r="C464" s="2"/>
      <c r="D464" s="2"/>
      <c r="E464" s="2" t="s">
        <v>969</v>
      </c>
      <c r="F464" s="2">
        <v>1</v>
      </c>
      <c r="G464" s="2">
        <v>0.1</v>
      </c>
      <c r="H464" s="2" t="s">
        <v>43</v>
      </c>
      <c r="I464" s="2" t="s">
        <v>166</v>
      </c>
      <c r="J464" s="2" t="s">
        <v>33</v>
      </c>
      <c r="K464" s="2"/>
      <c r="L464" s="2"/>
      <c r="M464" s="2"/>
      <c r="N464" s="2"/>
      <c r="O464" s="2" t="s">
        <v>34</v>
      </c>
      <c r="P464" s="2"/>
      <c r="Q464" s="2"/>
      <c r="R464" s="2">
        <v>1500</v>
      </c>
      <c r="S464" s="2">
        <v>150</v>
      </c>
      <c r="T464" s="13" t="str">
        <f t="shared" si="15"/>
        <v>PLT7711049BA</v>
      </c>
      <c r="U464" s="2" t="s">
        <v>1014</v>
      </c>
      <c r="V464" s="2"/>
      <c r="W464" s="2">
        <v>3.02</v>
      </c>
      <c r="X464" s="2">
        <v>6.94</v>
      </c>
      <c r="Y464" s="2">
        <v>1.05</v>
      </c>
      <c r="Z464" s="2">
        <v>0</v>
      </c>
      <c r="AA464" s="2">
        <v>0</v>
      </c>
      <c r="AB464" s="2">
        <v>0.44</v>
      </c>
      <c r="AC464" s="3" t="str">
        <f t="shared" si="14"/>
        <v>Loose</v>
      </c>
    </row>
    <row r="465" spans="1:29" x14ac:dyDescent="0.25">
      <c r="A465" s="1" t="s">
        <v>1015</v>
      </c>
      <c r="B465" s="2" t="s">
        <v>29</v>
      </c>
      <c r="C465" s="2"/>
      <c r="D465" s="2"/>
      <c r="E465" s="2" t="s">
        <v>969</v>
      </c>
      <c r="F465" s="2">
        <v>1</v>
      </c>
      <c r="G465" s="2">
        <v>0.31</v>
      </c>
      <c r="H465" s="2" t="s">
        <v>43</v>
      </c>
      <c r="I465" s="2" t="s">
        <v>53</v>
      </c>
      <c r="J465" s="2" t="s">
        <v>397</v>
      </c>
      <c r="K465" s="2"/>
      <c r="L465" s="2" t="s">
        <v>43</v>
      </c>
      <c r="M465" s="2" t="s">
        <v>43</v>
      </c>
      <c r="N465" s="2" t="s">
        <v>421</v>
      </c>
      <c r="O465" s="2" t="s">
        <v>34</v>
      </c>
      <c r="P465" s="2"/>
      <c r="Q465" s="2">
        <v>1232743204</v>
      </c>
      <c r="R465" s="2">
        <v>2500</v>
      </c>
      <c r="S465" s="2">
        <v>775</v>
      </c>
      <c r="T465" s="13" t="str">
        <f t="shared" si="15"/>
        <v>LEV152401AA</v>
      </c>
      <c r="U465" s="2" t="s">
        <v>1016</v>
      </c>
      <c r="V465" s="2"/>
      <c r="W465" s="2">
        <v>8.77</v>
      </c>
      <c r="X465" s="2">
        <v>3.64</v>
      </c>
      <c r="Y465" s="2">
        <v>2.06</v>
      </c>
      <c r="Z465" s="2">
        <v>56.5</v>
      </c>
      <c r="AA465" s="2">
        <v>73</v>
      </c>
      <c r="AB465" s="2">
        <v>2.41</v>
      </c>
      <c r="AC465" s="3" t="str">
        <f t="shared" si="14"/>
        <v>Loose</v>
      </c>
    </row>
    <row r="466" spans="1:29" x14ac:dyDescent="0.25">
      <c r="A466" s="1" t="s">
        <v>1017</v>
      </c>
      <c r="B466" s="2" t="s">
        <v>29</v>
      </c>
      <c r="C466" s="2"/>
      <c r="D466" s="2"/>
      <c r="E466" s="2" t="s">
        <v>969</v>
      </c>
      <c r="F466" s="2">
        <v>2</v>
      </c>
      <c r="G466" s="2">
        <v>0.24</v>
      </c>
      <c r="H466" s="2" t="s">
        <v>396</v>
      </c>
      <c r="I466" s="2" t="s">
        <v>53</v>
      </c>
      <c r="J466" s="2" t="s">
        <v>33</v>
      </c>
      <c r="K466" s="2"/>
      <c r="L466" s="2"/>
      <c r="M466" s="2"/>
      <c r="N466" s="2"/>
      <c r="O466" s="2" t="s">
        <v>34</v>
      </c>
      <c r="P466" s="2"/>
      <c r="Q466" s="2"/>
      <c r="R466" s="2">
        <v>2400</v>
      </c>
      <c r="S466" s="2">
        <v>576</v>
      </c>
      <c r="T466" s="13" t="str">
        <f t="shared" si="15"/>
        <v>KAYTS132L</v>
      </c>
      <c r="U466" s="2" t="s">
        <v>1018</v>
      </c>
      <c r="V466" s="2"/>
      <c r="W466" s="2">
        <v>3.02</v>
      </c>
      <c r="X466" s="2">
        <v>6.78</v>
      </c>
      <c r="Y466" s="2">
        <v>1.2</v>
      </c>
      <c r="Z466" s="2">
        <v>0</v>
      </c>
      <c r="AA466" s="2">
        <v>0</v>
      </c>
      <c r="AB466" s="2">
        <v>0.45</v>
      </c>
      <c r="AC466" s="3" t="str">
        <f t="shared" si="14"/>
        <v>Pair</v>
      </c>
    </row>
    <row r="467" spans="1:29" x14ac:dyDescent="0.25">
      <c r="A467" s="1" t="s">
        <v>1019</v>
      </c>
      <c r="B467" s="2" t="s">
        <v>37</v>
      </c>
      <c r="C467" s="2"/>
      <c r="D467" s="2"/>
      <c r="E467" s="2" t="s">
        <v>1020</v>
      </c>
      <c r="F467" s="2">
        <v>2</v>
      </c>
      <c r="G467" s="2">
        <v>0.28000000000000003</v>
      </c>
      <c r="H467" s="2" t="s">
        <v>38</v>
      </c>
      <c r="I467" s="2" t="s">
        <v>68</v>
      </c>
      <c r="J467" s="2" t="s">
        <v>33</v>
      </c>
      <c r="K467" s="2"/>
      <c r="L467" s="2"/>
      <c r="M467" s="2"/>
      <c r="N467" s="2"/>
      <c r="O467" s="2" t="s">
        <v>34</v>
      </c>
      <c r="P467" s="2"/>
      <c r="Q467" s="2"/>
      <c r="R467" s="2">
        <v>2500</v>
      </c>
      <c r="S467" s="2">
        <v>700</v>
      </c>
      <c r="T467" s="13" t="str">
        <f t="shared" si="15"/>
        <v>MAYAN014</v>
      </c>
      <c r="U467" s="2" t="s">
        <v>1021</v>
      </c>
      <c r="V467" s="2"/>
      <c r="W467" s="2">
        <v>3.77</v>
      </c>
      <c r="X467" s="2">
        <v>6.02</v>
      </c>
      <c r="Y467" s="2">
        <v>1.45</v>
      </c>
      <c r="Z467" s="2">
        <v>0</v>
      </c>
      <c r="AA467" s="2">
        <v>0</v>
      </c>
      <c r="AB467" s="2">
        <v>0.63</v>
      </c>
      <c r="AC467" s="3" t="str">
        <f t="shared" si="14"/>
        <v>Pair</v>
      </c>
    </row>
    <row r="468" spans="1:29" x14ac:dyDescent="0.25">
      <c r="A468" s="1" t="s">
        <v>1022</v>
      </c>
      <c r="B468" s="2" t="s">
        <v>29</v>
      </c>
      <c r="C468" s="2"/>
      <c r="D468" s="2"/>
      <c r="E468" s="2" t="s">
        <v>1020</v>
      </c>
      <c r="F468" s="2">
        <v>1</v>
      </c>
      <c r="G468" s="2">
        <v>0.95</v>
      </c>
      <c r="H468" s="2" t="s">
        <v>396</v>
      </c>
      <c r="I468" s="2" t="s">
        <v>68</v>
      </c>
      <c r="J468" s="2" t="s">
        <v>397</v>
      </c>
      <c r="K468" s="2"/>
      <c r="L468" s="2" t="s">
        <v>450</v>
      </c>
      <c r="M468" s="2" t="s">
        <v>450</v>
      </c>
      <c r="N468" s="2" t="s">
        <v>421</v>
      </c>
      <c r="O468" s="2" t="s">
        <v>61</v>
      </c>
      <c r="P468" s="2"/>
      <c r="Q468" s="2">
        <v>6342824784</v>
      </c>
      <c r="R468" s="2">
        <v>8000</v>
      </c>
      <c r="S468" s="2">
        <v>7600</v>
      </c>
      <c r="T468" s="13" t="str">
        <f t="shared" si="15"/>
        <v>PLT0224</v>
      </c>
      <c r="U468" s="2" t="s">
        <v>1023</v>
      </c>
      <c r="V468" s="2"/>
      <c r="W468" s="2">
        <v>9.81</v>
      </c>
      <c r="X468" s="2">
        <v>8.34</v>
      </c>
      <c r="Y468" s="2">
        <v>2.62</v>
      </c>
      <c r="Z468" s="2">
        <v>31.4</v>
      </c>
      <c r="AA468" s="2">
        <v>81</v>
      </c>
      <c r="AB468" s="2">
        <v>1.18</v>
      </c>
      <c r="AC468" s="3" t="str">
        <f t="shared" si="14"/>
        <v>Loose</v>
      </c>
    </row>
    <row r="469" spans="1:29" x14ac:dyDescent="0.25">
      <c r="A469" s="1" t="s">
        <v>1024</v>
      </c>
      <c r="B469" s="2" t="s">
        <v>37</v>
      </c>
      <c r="C469" s="2"/>
      <c r="D469" s="2"/>
      <c r="E469" s="2" t="s">
        <v>1020</v>
      </c>
      <c r="F469" s="2">
        <v>2</v>
      </c>
      <c r="G469" s="2">
        <v>0.46</v>
      </c>
      <c r="H469" s="2" t="s">
        <v>49</v>
      </c>
      <c r="I469" s="2" t="s">
        <v>39</v>
      </c>
      <c r="J469" s="2" t="s">
        <v>33</v>
      </c>
      <c r="K469" s="2"/>
      <c r="L469" s="2"/>
      <c r="M469" s="2"/>
      <c r="N469" s="2"/>
      <c r="O469" s="2" t="s">
        <v>34</v>
      </c>
      <c r="P469" s="2"/>
      <c r="Q469" s="2"/>
      <c r="R469" s="2">
        <v>2200</v>
      </c>
      <c r="S469" s="2">
        <v>1012</v>
      </c>
      <c r="T469" s="13" t="str">
        <f t="shared" si="15"/>
        <v>MAYAN015</v>
      </c>
      <c r="U469" s="2" t="s">
        <v>1025</v>
      </c>
      <c r="V469" s="2"/>
      <c r="W469" s="2">
        <v>4.3600000000000003</v>
      </c>
      <c r="X469" s="2">
        <v>6.11</v>
      </c>
      <c r="Y469" s="2">
        <v>2.09</v>
      </c>
      <c r="Z469" s="2">
        <v>0</v>
      </c>
      <c r="AA469" s="2">
        <v>0</v>
      </c>
      <c r="AB469" s="2">
        <v>0.71</v>
      </c>
      <c r="AC469" s="3" t="str">
        <f t="shared" si="14"/>
        <v>Pair</v>
      </c>
    </row>
    <row r="470" spans="1:29" x14ac:dyDescent="0.25">
      <c r="A470" s="1" t="s">
        <v>1026</v>
      </c>
      <c r="B470" s="2" t="s">
        <v>37</v>
      </c>
      <c r="C470" s="2"/>
      <c r="D470" s="2"/>
      <c r="E470" s="2" t="s">
        <v>1020</v>
      </c>
      <c r="F470" s="2">
        <v>2</v>
      </c>
      <c r="G470" s="2">
        <v>0.83</v>
      </c>
      <c r="H470" s="2" t="s">
        <v>38</v>
      </c>
      <c r="I470" s="2" t="s">
        <v>53</v>
      </c>
      <c r="J470" s="2" t="s">
        <v>33</v>
      </c>
      <c r="K470" s="2"/>
      <c r="L470" s="2"/>
      <c r="M470" s="2"/>
      <c r="N470" s="2"/>
      <c r="O470" s="2"/>
      <c r="P470" s="2"/>
      <c r="Q470" s="2"/>
      <c r="R470" s="2">
        <v>3100</v>
      </c>
      <c r="S470" s="2">
        <v>2573</v>
      </c>
      <c r="T470" s="13" t="str">
        <f t="shared" si="15"/>
        <v>MAYAN025</v>
      </c>
      <c r="U470" s="2" t="s">
        <v>1027</v>
      </c>
      <c r="V470" s="2"/>
      <c r="W470" s="2">
        <v>5.53</v>
      </c>
      <c r="X470" s="2">
        <v>7.11</v>
      </c>
      <c r="Y470" s="2">
        <v>2.63</v>
      </c>
      <c r="Z470" s="2">
        <v>0</v>
      </c>
      <c r="AA470" s="2">
        <v>0</v>
      </c>
      <c r="AB470" s="2">
        <v>0.78</v>
      </c>
      <c r="AC470" s="3" t="str">
        <f t="shared" si="14"/>
        <v>Pair</v>
      </c>
    </row>
    <row r="471" spans="1:29" x14ac:dyDescent="0.25">
      <c r="A471" s="1" t="s">
        <v>1028</v>
      </c>
      <c r="B471" s="2" t="s">
        <v>37</v>
      </c>
      <c r="C471" s="2"/>
      <c r="D471" s="2"/>
      <c r="E471" s="2" t="s">
        <v>1020</v>
      </c>
      <c r="F471" s="2">
        <v>2</v>
      </c>
      <c r="G471" s="2">
        <v>0.6</v>
      </c>
      <c r="H471" s="2" t="s">
        <v>137</v>
      </c>
      <c r="I471" s="2" t="s">
        <v>53</v>
      </c>
      <c r="J471" s="2" t="s">
        <v>33</v>
      </c>
      <c r="K471" s="2"/>
      <c r="L471" s="2"/>
      <c r="M471" s="2"/>
      <c r="N471" s="2"/>
      <c r="O471" s="2"/>
      <c r="P471" s="2"/>
      <c r="Q471" s="2"/>
      <c r="R471" s="2">
        <v>2500</v>
      </c>
      <c r="S471" s="2">
        <v>1500</v>
      </c>
      <c r="T471" s="13" t="str">
        <f t="shared" si="15"/>
        <v>MAYAN028</v>
      </c>
      <c r="U471" s="2" t="s">
        <v>1029</v>
      </c>
      <c r="V471" s="2"/>
      <c r="W471" s="2">
        <v>5.41</v>
      </c>
      <c r="X471" s="2">
        <v>6.72</v>
      </c>
      <c r="Y471" s="2">
        <v>2</v>
      </c>
      <c r="Z471" s="2">
        <v>0</v>
      </c>
      <c r="AA471" s="2">
        <v>0</v>
      </c>
      <c r="AB471" s="2">
        <v>0.81</v>
      </c>
      <c r="AC471" s="3" t="str">
        <f t="shared" si="14"/>
        <v>Pair</v>
      </c>
    </row>
    <row r="472" spans="1:29" x14ac:dyDescent="0.25">
      <c r="A472" s="1" t="s">
        <v>1030</v>
      </c>
      <c r="B472" s="2" t="s">
        <v>37</v>
      </c>
      <c r="C472" s="2"/>
      <c r="D472" s="2"/>
      <c r="E472" s="2" t="s">
        <v>1020</v>
      </c>
      <c r="F472" s="2">
        <v>2</v>
      </c>
      <c r="G472" s="2">
        <v>0.6</v>
      </c>
      <c r="H472" s="2" t="s">
        <v>396</v>
      </c>
      <c r="I472" s="2" t="s">
        <v>57</v>
      </c>
      <c r="J472" s="2" t="s">
        <v>33</v>
      </c>
      <c r="K472" s="2"/>
      <c r="L472" s="2"/>
      <c r="M472" s="2"/>
      <c r="N472" s="2"/>
      <c r="O472" s="2"/>
      <c r="P472" s="2"/>
      <c r="Q472" s="2"/>
      <c r="R472" s="2">
        <v>2600</v>
      </c>
      <c r="S472" s="2">
        <v>1560</v>
      </c>
      <c r="T472" s="13" t="str">
        <f t="shared" si="15"/>
        <v>MAYAN030</v>
      </c>
      <c r="U472" s="2" t="s">
        <v>1031</v>
      </c>
      <c r="V472" s="2"/>
      <c r="W472" s="2">
        <v>4.91</v>
      </c>
      <c r="X472" s="2">
        <v>6.27</v>
      </c>
      <c r="Y472" s="2">
        <v>2.2200000000000002</v>
      </c>
      <c r="Z472" s="2">
        <v>0</v>
      </c>
      <c r="AA472" s="2">
        <v>0</v>
      </c>
      <c r="AB472" s="2">
        <v>0.78</v>
      </c>
      <c r="AC472" s="3" t="str">
        <f t="shared" si="14"/>
        <v>Pair</v>
      </c>
    </row>
    <row r="473" spans="1:29" x14ac:dyDescent="0.25">
      <c r="A473" s="1" t="s">
        <v>1032</v>
      </c>
      <c r="B473" s="2" t="s">
        <v>29</v>
      </c>
      <c r="C473" s="2"/>
      <c r="D473" s="2"/>
      <c r="E473" s="2" t="s">
        <v>1020</v>
      </c>
      <c r="F473" s="2">
        <v>1</v>
      </c>
      <c r="G473" s="2">
        <v>0.34</v>
      </c>
      <c r="H473" s="2" t="s">
        <v>73</v>
      </c>
      <c r="I473" s="2" t="s">
        <v>39</v>
      </c>
      <c r="J473" s="2" t="s">
        <v>33</v>
      </c>
      <c r="K473" s="2"/>
      <c r="L473" s="2"/>
      <c r="M473" s="2"/>
      <c r="N473" s="2"/>
      <c r="O473" s="2" t="s">
        <v>34</v>
      </c>
      <c r="P473" s="2"/>
      <c r="Q473" s="2"/>
      <c r="R473" s="2">
        <v>2200</v>
      </c>
      <c r="S473" s="2">
        <v>748</v>
      </c>
      <c r="T473" s="13" t="str">
        <f t="shared" si="15"/>
        <v>SHN70104A</v>
      </c>
      <c r="U473" s="2" t="s">
        <v>1033</v>
      </c>
      <c r="V473" s="2"/>
      <c r="W473" s="2">
        <v>5.48</v>
      </c>
      <c r="X473" s="2">
        <v>8.52</v>
      </c>
      <c r="Y473" s="2">
        <v>1.69</v>
      </c>
      <c r="Z473" s="2">
        <v>0</v>
      </c>
      <c r="AA473" s="2">
        <v>0</v>
      </c>
      <c r="AB473" s="2">
        <v>0.64</v>
      </c>
      <c r="AC473" s="3" t="str">
        <f t="shared" si="14"/>
        <v>Loose</v>
      </c>
    </row>
    <row r="474" spans="1:29" x14ac:dyDescent="0.25">
      <c r="A474" s="1" t="s">
        <v>1034</v>
      </c>
      <c r="B474" s="2" t="s">
        <v>37</v>
      </c>
      <c r="C474" s="2"/>
      <c r="D474" s="2"/>
      <c r="E474" s="2" t="s">
        <v>1020</v>
      </c>
      <c r="F474" s="2">
        <v>2</v>
      </c>
      <c r="G474" s="2">
        <v>0.75</v>
      </c>
      <c r="H474" s="2" t="s">
        <v>38</v>
      </c>
      <c r="I474" s="2" t="s">
        <v>68</v>
      </c>
      <c r="J474" s="2" t="s">
        <v>397</v>
      </c>
      <c r="K474" s="2"/>
      <c r="L474" s="2"/>
      <c r="M474" s="2"/>
      <c r="N474" s="2"/>
      <c r="O474" s="2" t="s">
        <v>34</v>
      </c>
      <c r="P474" s="2"/>
      <c r="Q474" s="2"/>
      <c r="R474" s="2">
        <v>3300</v>
      </c>
      <c r="S474" s="2">
        <v>2475</v>
      </c>
      <c r="T474" s="13" t="str">
        <f t="shared" si="15"/>
        <v>MAYAN033C</v>
      </c>
      <c r="U474" s="2" t="s">
        <v>1035</v>
      </c>
      <c r="V474" s="2"/>
      <c r="W474" s="2">
        <v>6.45</v>
      </c>
      <c r="X474" s="2">
        <v>5.0199999999999996</v>
      </c>
      <c r="Y474" s="2">
        <v>2.36</v>
      </c>
      <c r="Z474" s="2">
        <v>0</v>
      </c>
      <c r="AA474" s="2">
        <v>0</v>
      </c>
      <c r="AB474" s="2">
        <v>1.28</v>
      </c>
      <c r="AC474" s="3" t="str">
        <f t="shared" si="14"/>
        <v>Pair</v>
      </c>
    </row>
    <row r="475" spans="1:29" x14ac:dyDescent="0.25">
      <c r="A475" s="1" t="s">
        <v>1036</v>
      </c>
      <c r="B475" s="2" t="s">
        <v>29</v>
      </c>
      <c r="C475" s="2"/>
      <c r="D475" s="2"/>
      <c r="E475" s="2" t="s">
        <v>1020</v>
      </c>
      <c r="F475" s="2">
        <v>2</v>
      </c>
      <c r="G475" s="2">
        <v>0.84</v>
      </c>
      <c r="H475" s="2" t="s">
        <v>396</v>
      </c>
      <c r="I475" s="2" t="s">
        <v>57</v>
      </c>
      <c r="J475" s="2" t="s">
        <v>397</v>
      </c>
      <c r="K475" s="2"/>
      <c r="L475" s="2"/>
      <c r="M475" s="2"/>
      <c r="N475" s="2"/>
      <c r="O475" s="2" t="s">
        <v>70</v>
      </c>
      <c r="P475" s="2"/>
      <c r="Q475" s="2"/>
      <c r="R475" s="2">
        <v>3300</v>
      </c>
      <c r="S475" s="2">
        <v>2772</v>
      </c>
      <c r="T475" s="13" t="str">
        <f t="shared" si="15"/>
        <v>MAYAN037</v>
      </c>
      <c r="U475" s="2" t="s">
        <v>1037</v>
      </c>
      <c r="V475" s="2"/>
      <c r="W475" s="2">
        <v>7.43</v>
      </c>
      <c r="X475" s="2">
        <v>5.78</v>
      </c>
      <c r="Y475" s="2">
        <v>2.2000000000000002</v>
      </c>
      <c r="Z475" s="2">
        <v>0</v>
      </c>
      <c r="AA475" s="2">
        <v>0</v>
      </c>
      <c r="AB475" s="2">
        <v>1.29</v>
      </c>
      <c r="AC475" s="3" t="str">
        <f t="shared" si="14"/>
        <v>Pair</v>
      </c>
    </row>
    <row r="476" spans="1:29" x14ac:dyDescent="0.25">
      <c r="A476" s="1" t="s">
        <v>1038</v>
      </c>
      <c r="B476" s="2" t="s">
        <v>29</v>
      </c>
      <c r="C476" s="2"/>
      <c r="D476" s="2"/>
      <c r="E476" s="2" t="s">
        <v>1020</v>
      </c>
      <c r="F476" s="2">
        <v>2</v>
      </c>
      <c r="G476" s="2">
        <v>0.37</v>
      </c>
      <c r="H476" s="2" t="s">
        <v>137</v>
      </c>
      <c r="I476" s="2" t="s">
        <v>57</v>
      </c>
      <c r="J476" s="2" t="s">
        <v>33</v>
      </c>
      <c r="K476" s="2"/>
      <c r="L476" s="2"/>
      <c r="M476" s="2"/>
      <c r="N476" s="2"/>
      <c r="O476" s="2"/>
      <c r="P476" s="2"/>
      <c r="Q476" s="2"/>
      <c r="R476" s="2">
        <v>2600</v>
      </c>
      <c r="S476" s="2">
        <v>962</v>
      </c>
      <c r="T476" s="13" t="str">
        <f t="shared" si="15"/>
        <v>MAYAN039</v>
      </c>
      <c r="U476" s="2" t="s">
        <v>1039</v>
      </c>
      <c r="V476" s="2"/>
      <c r="W476" s="2">
        <v>4.28</v>
      </c>
      <c r="X476" s="2">
        <v>6.86</v>
      </c>
      <c r="Y476" s="2">
        <v>1.53</v>
      </c>
      <c r="Z476" s="2">
        <v>0</v>
      </c>
      <c r="AA476" s="2">
        <v>0</v>
      </c>
      <c r="AB476" s="2">
        <v>0.62</v>
      </c>
      <c r="AC476" s="3" t="str">
        <f t="shared" si="14"/>
        <v>Pair</v>
      </c>
    </row>
    <row r="477" spans="1:29" x14ac:dyDescent="0.25">
      <c r="A477" s="1" t="s">
        <v>1040</v>
      </c>
      <c r="B477" s="2" t="s">
        <v>29</v>
      </c>
      <c r="C477" s="2"/>
      <c r="D477" s="2"/>
      <c r="E477" s="2" t="s">
        <v>1020</v>
      </c>
      <c r="F477" s="2">
        <v>2</v>
      </c>
      <c r="G477" s="2">
        <v>0.44</v>
      </c>
      <c r="H477" s="2" t="s">
        <v>38</v>
      </c>
      <c r="I477" s="2" t="s">
        <v>32</v>
      </c>
      <c r="J477" s="2" t="s">
        <v>33</v>
      </c>
      <c r="K477" s="2"/>
      <c r="L477" s="2"/>
      <c r="M477" s="2"/>
      <c r="N477" s="2"/>
      <c r="O477" s="2" t="s">
        <v>70</v>
      </c>
      <c r="P477" s="2"/>
      <c r="Q477" s="2"/>
      <c r="R477" s="2">
        <v>2200</v>
      </c>
      <c r="S477" s="2">
        <v>968</v>
      </c>
      <c r="T477" s="13" t="str">
        <f t="shared" si="15"/>
        <v>MAYAN040</v>
      </c>
      <c r="U477" s="2" t="s">
        <v>1041</v>
      </c>
      <c r="V477" s="2"/>
      <c r="W477" s="2">
        <v>4.76</v>
      </c>
      <c r="X477" s="2">
        <v>6.01</v>
      </c>
      <c r="Y477" s="2">
        <v>1.84</v>
      </c>
      <c r="Z477" s="2">
        <v>0</v>
      </c>
      <c r="AA477" s="2">
        <v>0</v>
      </c>
      <c r="AB477" s="2">
        <v>0.79</v>
      </c>
      <c r="AC477" s="3" t="str">
        <f t="shared" si="14"/>
        <v>Pair</v>
      </c>
    </row>
    <row r="478" spans="1:29" x14ac:dyDescent="0.25">
      <c r="A478" s="1" t="s">
        <v>1042</v>
      </c>
      <c r="B478" s="2" t="s">
        <v>29</v>
      </c>
      <c r="C478" s="2"/>
      <c r="D478" s="2"/>
      <c r="E478" s="2" t="s">
        <v>1043</v>
      </c>
      <c r="F478" s="2">
        <v>1</v>
      </c>
      <c r="G478" s="2">
        <v>0.43</v>
      </c>
      <c r="H478" s="2" t="s">
        <v>396</v>
      </c>
      <c r="I478" s="2" t="s">
        <v>57</v>
      </c>
      <c r="J478" s="2" t="s">
        <v>397</v>
      </c>
      <c r="K478" s="2"/>
      <c r="L478" s="2" t="s">
        <v>450</v>
      </c>
      <c r="M478" s="2" t="s">
        <v>450</v>
      </c>
      <c r="N478" s="2" t="s">
        <v>421</v>
      </c>
      <c r="O478" s="2" t="s">
        <v>34</v>
      </c>
      <c r="P478" s="2"/>
      <c r="Q478" s="2">
        <v>2504606903</v>
      </c>
      <c r="R478" s="2">
        <v>1600</v>
      </c>
      <c r="S478" s="2">
        <v>688</v>
      </c>
      <c r="T478" s="13" t="str">
        <f t="shared" si="15"/>
        <v>MQ001</v>
      </c>
      <c r="U478" s="2" t="s">
        <v>1044</v>
      </c>
      <c r="V478" s="2"/>
      <c r="W478" s="2">
        <v>7.34</v>
      </c>
      <c r="X478" s="2">
        <v>3.82</v>
      </c>
      <c r="Y478" s="2">
        <v>2.68</v>
      </c>
      <c r="Z478" s="2">
        <v>70.2</v>
      </c>
      <c r="AA478" s="2">
        <v>60</v>
      </c>
      <c r="AB478" s="2">
        <v>1.92</v>
      </c>
      <c r="AC478" s="3" t="str">
        <f t="shared" si="14"/>
        <v>Loose</v>
      </c>
    </row>
    <row r="479" spans="1:29" x14ac:dyDescent="0.25">
      <c r="A479" s="1" t="s">
        <v>1045</v>
      </c>
      <c r="B479" s="2" t="s">
        <v>29</v>
      </c>
      <c r="C479" s="2"/>
      <c r="D479" s="2"/>
      <c r="E479" s="2" t="s">
        <v>1046</v>
      </c>
      <c r="F479" s="2">
        <v>1</v>
      </c>
      <c r="G479" s="2">
        <v>0.45</v>
      </c>
      <c r="H479" s="2" t="s">
        <v>396</v>
      </c>
      <c r="I479" s="2" t="s">
        <v>68</v>
      </c>
      <c r="J479" s="2" t="s">
        <v>397</v>
      </c>
      <c r="K479" s="2"/>
      <c r="L479" s="2" t="s">
        <v>450</v>
      </c>
      <c r="M479" s="2" t="s">
        <v>43</v>
      </c>
      <c r="N479" s="2" t="s">
        <v>421</v>
      </c>
      <c r="O479" s="2" t="s">
        <v>34</v>
      </c>
      <c r="P479" s="2"/>
      <c r="Q479" s="2">
        <v>7501606932</v>
      </c>
      <c r="R479" s="2">
        <v>1600</v>
      </c>
      <c r="S479" s="2">
        <v>720</v>
      </c>
      <c r="T479" s="13" t="str">
        <f t="shared" si="15"/>
        <v>MQ003</v>
      </c>
      <c r="U479" s="2" t="s">
        <v>1047</v>
      </c>
      <c r="V479" s="2"/>
      <c r="W479" s="2">
        <v>7.73</v>
      </c>
      <c r="X479" s="2">
        <v>3.5</v>
      </c>
      <c r="Y479" s="2">
        <v>2.7</v>
      </c>
      <c r="Z479" s="2">
        <v>77.2</v>
      </c>
      <c r="AA479" s="2">
        <v>54</v>
      </c>
      <c r="AB479" s="2">
        <v>2.21</v>
      </c>
      <c r="AC479" s="3" t="str">
        <f t="shared" si="14"/>
        <v>Loose</v>
      </c>
    </row>
    <row r="480" spans="1:29" x14ac:dyDescent="0.25">
      <c r="A480" s="1" t="s">
        <v>1048</v>
      </c>
      <c r="B480" s="2" t="s">
        <v>29</v>
      </c>
      <c r="C480" s="2"/>
      <c r="D480" s="2"/>
      <c r="E480" s="2" t="s">
        <v>1049</v>
      </c>
      <c r="F480" s="2">
        <v>1</v>
      </c>
      <c r="G480" s="2">
        <v>1.22</v>
      </c>
      <c r="H480" s="2" t="s">
        <v>38</v>
      </c>
      <c r="I480" s="2" t="s">
        <v>57</v>
      </c>
      <c r="J480" s="2" t="s">
        <v>397</v>
      </c>
      <c r="K480" s="2"/>
      <c r="L480" s="2" t="s">
        <v>450</v>
      </c>
      <c r="M480" s="2" t="s">
        <v>450</v>
      </c>
      <c r="N480" s="2" t="s">
        <v>421</v>
      </c>
      <c r="O480" s="2" t="s">
        <v>58</v>
      </c>
      <c r="P480" s="2"/>
      <c r="Q480" s="2">
        <v>2308876083</v>
      </c>
      <c r="R480" s="2">
        <v>6400</v>
      </c>
      <c r="S480" s="2">
        <v>7808</v>
      </c>
      <c r="T480" s="13" t="str">
        <f t="shared" si="15"/>
        <v>AMTA016AAAA</v>
      </c>
      <c r="U480" s="2" t="s">
        <v>1050</v>
      </c>
      <c r="V480" s="2"/>
      <c r="W480" s="2">
        <v>13.69</v>
      </c>
      <c r="X480" s="2">
        <v>5.71</v>
      </c>
      <c r="Y480" s="2">
        <v>2.6</v>
      </c>
      <c r="Z480" s="2">
        <v>45.5</v>
      </c>
      <c r="AA480" s="2">
        <v>75</v>
      </c>
      <c r="AB480" s="2">
        <v>2.4</v>
      </c>
      <c r="AC480" s="3" t="str">
        <f t="shared" si="14"/>
        <v>Loose</v>
      </c>
    </row>
    <row r="481" spans="1:29" x14ac:dyDescent="0.25">
      <c r="A481" s="1" t="s">
        <v>1051</v>
      </c>
      <c r="B481" s="2" t="s">
        <v>37</v>
      </c>
      <c r="C481" s="2"/>
      <c r="D481" s="2"/>
      <c r="E481" s="2" t="s">
        <v>1052</v>
      </c>
      <c r="F481" s="2">
        <v>1</v>
      </c>
      <c r="G481" s="2">
        <v>0.54</v>
      </c>
      <c r="H481" s="2" t="s">
        <v>76</v>
      </c>
      <c r="I481" s="2" t="s">
        <v>105</v>
      </c>
      <c r="J481" s="2" t="s">
        <v>69</v>
      </c>
      <c r="K481" s="2"/>
      <c r="L481" s="2"/>
      <c r="M481" s="2"/>
      <c r="N481" s="2"/>
      <c r="O481" s="2" t="s">
        <v>77</v>
      </c>
      <c r="P481" s="2"/>
      <c r="Q481" s="2"/>
      <c r="R481" s="2">
        <v>900</v>
      </c>
      <c r="S481" s="2">
        <v>486</v>
      </c>
      <c r="T481" s="13" t="str">
        <f t="shared" si="15"/>
        <v>LEVY527C3</v>
      </c>
      <c r="U481" s="2" t="s">
        <v>1053</v>
      </c>
      <c r="V481" s="2"/>
      <c r="W481" s="2">
        <v>7.71</v>
      </c>
      <c r="X481" s="2">
        <v>4.08</v>
      </c>
      <c r="Y481" s="2">
        <v>2.82</v>
      </c>
      <c r="Z481" s="2">
        <v>0</v>
      </c>
      <c r="AA481" s="2">
        <v>0</v>
      </c>
      <c r="AB481" s="2">
        <v>1.89</v>
      </c>
      <c r="AC481" s="3" t="str">
        <f t="shared" si="14"/>
        <v>Loose</v>
      </c>
    </row>
    <row r="482" spans="1:29" x14ac:dyDescent="0.25">
      <c r="A482" s="1" t="s">
        <v>1054</v>
      </c>
      <c r="B482" s="2" t="s">
        <v>29</v>
      </c>
      <c r="C482" s="2"/>
      <c r="D482" s="2"/>
      <c r="E482" s="2" t="s">
        <v>1052</v>
      </c>
      <c r="F482" s="2">
        <v>2</v>
      </c>
      <c r="G482" s="2">
        <v>0.05</v>
      </c>
      <c r="H482" s="2" t="s">
        <v>73</v>
      </c>
      <c r="I482" s="2" t="s">
        <v>53</v>
      </c>
      <c r="J482" s="2" t="s">
        <v>33</v>
      </c>
      <c r="K482" s="2"/>
      <c r="L482" s="2"/>
      <c r="M482" s="2"/>
      <c r="N482" s="2"/>
      <c r="O482" s="2"/>
      <c r="P482" s="2"/>
      <c r="Q482" s="2"/>
      <c r="R482" s="2">
        <v>300</v>
      </c>
      <c r="S482" s="2">
        <v>15</v>
      </c>
      <c r="T482" s="13" t="str">
        <f t="shared" si="15"/>
        <v>MQPAIR10</v>
      </c>
      <c r="U482" s="2"/>
      <c r="V482" s="2"/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3" t="str">
        <f t="shared" si="14"/>
        <v>Pair</v>
      </c>
    </row>
    <row r="483" spans="1:29" x14ac:dyDescent="0.25">
      <c r="A483" s="1" t="s">
        <v>1055</v>
      </c>
      <c r="B483" s="2" t="s">
        <v>37</v>
      </c>
      <c r="C483" s="2"/>
      <c r="D483" s="2"/>
      <c r="E483" s="2" t="s">
        <v>1052</v>
      </c>
      <c r="F483" s="2">
        <v>1</v>
      </c>
      <c r="G483" s="2">
        <v>0.1</v>
      </c>
      <c r="H483" s="2" t="s">
        <v>76</v>
      </c>
      <c r="I483" s="2" t="s">
        <v>105</v>
      </c>
      <c r="J483" s="2" t="s">
        <v>69</v>
      </c>
      <c r="K483" s="2"/>
      <c r="L483" s="2"/>
      <c r="M483" s="2"/>
      <c r="N483" s="2"/>
      <c r="O483" s="2" t="s">
        <v>77</v>
      </c>
      <c r="P483" s="2"/>
      <c r="Q483" s="2"/>
      <c r="R483" s="2">
        <v>600</v>
      </c>
      <c r="S483" s="2">
        <v>60</v>
      </c>
      <c r="T483" s="13" t="str">
        <f t="shared" si="15"/>
        <v>KBIB050FY205</v>
      </c>
      <c r="U483" s="2" t="s">
        <v>1056</v>
      </c>
      <c r="V483" s="2"/>
      <c r="W483" s="2">
        <v>2.38</v>
      </c>
      <c r="X483" s="2">
        <v>4.49</v>
      </c>
      <c r="Y483" s="2">
        <v>1.55</v>
      </c>
      <c r="Z483" s="2">
        <v>0</v>
      </c>
      <c r="AA483" s="2">
        <v>0</v>
      </c>
      <c r="AB483" s="2">
        <v>0.53</v>
      </c>
      <c r="AC483" s="3" t="str">
        <f t="shared" si="14"/>
        <v>Loose</v>
      </c>
    </row>
    <row r="484" spans="1:29" x14ac:dyDescent="0.25">
      <c r="A484" s="1" t="s">
        <v>1057</v>
      </c>
      <c r="B484" s="2" t="s">
        <v>29</v>
      </c>
      <c r="C484" s="2"/>
      <c r="D484" s="2"/>
      <c r="E484" s="2" t="s">
        <v>1052</v>
      </c>
      <c r="F484" s="2">
        <v>1</v>
      </c>
      <c r="G484" s="2">
        <v>0.37</v>
      </c>
      <c r="H484" s="2" t="s">
        <v>38</v>
      </c>
      <c r="I484" s="2" t="s">
        <v>32</v>
      </c>
      <c r="J484" s="2" t="s">
        <v>33</v>
      </c>
      <c r="K484" s="2"/>
      <c r="L484" s="2"/>
      <c r="M484" s="2"/>
      <c r="N484" s="2"/>
      <c r="O484" s="2" t="s">
        <v>70</v>
      </c>
      <c r="P484" s="2"/>
      <c r="Q484" s="2"/>
      <c r="R484" s="2">
        <v>1600</v>
      </c>
      <c r="S484" s="2">
        <v>592</v>
      </c>
      <c r="T484" s="13" t="str">
        <f t="shared" si="15"/>
        <v>MQ002</v>
      </c>
      <c r="U484" s="2" t="s">
        <v>1058</v>
      </c>
      <c r="V484" s="2"/>
      <c r="W484" s="2">
        <v>3.63</v>
      </c>
      <c r="X484" s="2">
        <v>7.72</v>
      </c>
      <c r="Y484" s="2">
        <v>2.2200000000000002</v>
      </c>
      <c r="Z484" s="2">
        <v>0</v>
      </c>
      <c r="AA484" s="2">
        <v>0</v>
      </c>
      <c r="AB484" s="2">
        <v>0.47</v>
      </c>
      <c r="AC484" s="3" t="str">
        <f t="shared" si="14"/>
        <v>Loose</v>
      </c>
    </row>
    <row r="485" spans="1:29" x14ac:dyDescent="0.25">
      <c r="A485" s="1" t="s">
        <v>1059</v>
      </c>
      <c r="B485" s="2" t="s">
        <v>29</v>
      </c>
      <c r="C485" s="2"/>
      <c r="D485" s="2"/>
      <c r="E485" s="2" t="s">
        <v>1052</v>
      </c>
      <c r="F485" s="2">
        <v>1</v>
      </c>
      <c r="G485" s="2">
        <v>0.25</v>
      </c>
      <c r="H485" s="2" t="s">
        <v>49</v>
      </c>
      <c r="I485" s="2" t="s">
        <v>50</v>
      </c>
      <c r="J485" s="2" t="s">
        <v>33</v>
      </c>
      <c r="K485" s="2"/>
      <c r="L485" s="2"/>
      <c r="M485" s="2"/>
      <c r="N485" s="2"/>
      <c r="O485" s="2" t="s">
        <v>34</v>
      </c>
      <c r="P485" s="2"/>
      <c r="Q485" s="2"/>
      <c r="R485" s="2">
        <v>500</v>
      </c>
      <c r="S485" s="2">
        <v>125</v>
      </c>
      <c r="T485" s="13" t="str">
        <f t="shared" si="15"/>
        <v>MQ027</v>
      </c>
      <c r="U485" s="2" t="s">
        <v>1060</v>
      </c>
      <c r="V485" s="2"/>
      <c r="W485" s="2">
        <v>3.3</v>
      </c>
      <c r="X485" s="2">
        <v>5.51</v>
      </c>
      <c r="Y485" s="2">
        <v>2.31</v>
      </c>
      <c r="Z485" s="2">
        <v>0</v>
      </c>
      <c r="AA485" s="2">
        <v>0</v>
      </c>
      <c r="AB485" s="2">
        <v>0.6</v>
      </c>
      <c r="AC485" s="3" t="str">
        <f t="shared" si="14"/>
        <v>Loose</v>
      </c>
    </row>
    <row r="486" spans="1:29" x14ac:dyDescent="0.25">
      <c r="A486" s="1" t="s">
        <v>1061</v>
      </c>
      <c r="B486" s="2" t="s">
        <v>29</v>
      </c>
      <c r="C486" s="2"/>
      <c r="D486" s="2"/>
      <c r="E486" s="2" t="s">
        <v>1052</v>
      </c>
      <c r="F486" s="2">
        <v>1</v>
      </c>
      <c r="G486" s="2">
        <v>0.24</v>
      </c>
      <c r="H486" s="2" t="s">
        <v>38</v>
      </c>
      <c r="I486" s="2" t="s">
        <v>151</v>
      </c>
      <c r="J486" s="2" t="s">
        <v>69</v>
      </c>
      <c r="K486" s="2"/>
      <c r="L486" s="2"/>
      <c r="M486" s="2"/>
      <c r="N486" s="2"/>
      <c r="O486" s="2" t="s">
        <v>34</v>
      </c>
      <c r="P486" s="2"/>
      <c r="Q486" s="2"/>
      <c r="R486" s="2">
        <v>500</v>
      </c>
      <c r="S486" s="2">
        <v>120</v>
      </c>
      <c r="T486" s="13" t="str">
        <f t="shared" si="15"/>
        <v>MQ028</v>
      </c>
      <c r="U486" s="2" t="s">
        <v>1062</v>
      </c>
      <c r="V486" s="2"/>
      <c r="W486" s="2">
        <v>3.25</v>
      </c>
      <c r="X486" s="2">
        <v>5.58</v>
      </c>
      <c r="Y486" s="2">
        <v>2.15</v>
      </c>
      <c r="Z486" s="2">
        <v>0</v>
      </c>
      <c r="AA486" s="2">
        <v>0</v>
      </c>
      <c r="AB486" s="2">
        <v>0.57999999999999996</v>
      </c>
      <c r="AC486" s="3" t="str">
        <f t="shared" si="14"/>
        <v>Loose</v>
      </c>
    </row>
    <row r="487" spans="1:29" x14ac:dyDescent="0.25">
      <c r="A487" s="1" t="s">
        <v>1063</v>
      </c>
      <c r="B487" s="2" t="s">
        <v>29</v>
      </c>
      <c r="C487" s="2"/>
      <c r="D487" s="2"/>
      <c r="E487" s="2" t="s">
        <v>1052</v>
      </c>
      <c r="F487" s="2">
        <v>1</v>
      </c>
      <c r="G487" s="2">
        <v>0.23</v>
      </c>
      <c r="H487" s="2" t="s">
        <v>76</v>
      </c>
      <c r="I487" s="2" t="s">
        <v>50</v>
      </c>
      <c r="J487" s="2" t="s">
        <v>33</v>
      </c>
      <c r="K487" s="2"/>
      <c r="L487" s="2"/>
      <c r="M487" s="2"/>
      <c r="N487" s="2"/>
      <c r="O487" s="2" t="s">
        <v>34</v>
      </c>
      <c r="P487" s="2"/>
      <c r="Q487" s="2"/>
      <c r="R487" s="2">
        <v>502</v>
      </c>
      <c r="S487" s="2">
        <v>115.46</v>
      </c>
      <c r="T487" s="13" t="str">
        <f t="shared" si="15"/>
        <v>MQ029</v>
      </c>
      <c r="U487" s="2" t="s">
        <v>1064</v>
      </c>
      <c r="V487" s="2"/>
      <c r="W487" s="2">
        <v>3.69</v>
      </c>
      <c r="X487" s="2">
        <v>6.58</v>
      </c>
      <c r="Y487" s="2">
        <v>1.51</v>
      </c>
      <c r="Z487" s="2">
        <v>0</v>
      </c>
      <c r="AA487" s="2">
        <v>0</v>
      </c>
      <c r="AB487" s="2">
        <v>0.56000000000000005</v>
      </c>
      <c r="AC487" s="3" t="str">
        <f t="shared" si="14"/>
        <v>Loose</v>
      </c>
    </row>
    <row r="488" spans="1:29" x14ac:dyDescent="0.25">
      <c r="A488" s="1" t="s">
        <v>1065</v>
      </c>
      <c r="B488" s="2" t="s">
        <v>29</v>
      </c>
      <c r="C488" s="2"/>
      <c r="D488" s="2"/>
      <c r="E488" s="2" t="s">
        <v>1052</v>
      </c>
      <c r="F488" s="2">
        <v>1</v>
      </c>
      <c r="G488" s="2">
        <v>0.22</v>
      </c>
      <c r="H488" s="2" t="s">
        <v>31</v>
      </c>
      <c r="I488" s="2" t="s">
        <v>32</v>
      </c>
      <c r="J488" s="2" t="s">
        <v>33</v>
      </c>
      <c r="K488" s="2"/>
      <c r="L488" s="2"/>
      <c r="M488" s="2"/>
      <c r="N488" s="2"/>
      <c r="O488" s="2" t="s">
        <v>34</v>
      </c>
      <c r="P488" s="2"/>
      <c r="Q488" s="2"/>
      <c r="R488" s="2">
        <v>502</v>
      </c>
      <c r="S488" s="2">
        <v>110.44</v>
      </c>
      <c r="T488" s="13" t="str">
        <f t="shared" si="15"/>
        <v>MQ030</v>
      </c>
      <c r="U488" s="2" t="s">
        <v>1066</v>
      </c>
      <c r="V488" s="2"/>
      <c r="W488" s="2">
        <v>2.46</v>
      </c>
      <c r="X488" s="2">
        <v>8.9</v>
      </c>
      <c r="Y488" s="2">
        <v>1.66</v>
      </c>
      <c r="Z488" s="2">
        <v>0</v>
      </c>
      <c r="AA488" s="2">
        <v>0</v>
      </c>
      <c r="AB488" s="2">
        <v>0.28000000000000003</v>
      </c>
      <c r="AC488" s="3" t="str">
        <f t="shared" si="14"/>
        <v>Loose</v>
      </c>
    </row>
    <row r="489" spans="1:29" x14ac:dyDescent="0.25">
      <c r="A489" s="1" t="s">
        <v>1067</v>
      </c>
      <c r="B489" s="2" t="s">
        <v>29</v>
      </c>
      <c r="C489" s="2"/>
      <c r="D489" s="2"/>
      <c r="E489" s="2" t="s">
        <v>1052</v>
      </c>
      <c r="F489" s="2">
        <v>1</v>
      </c>
      <c r="G489" s="2">
        <v>0.16</v>
      </c>
      <c r="H489" s="2" t="s">
        <v>38</v>
      </c>
      <c r="I489" s="2" t="s">
        <v>151</v>
      </c>
      <c r="J489" s="2" t="s">
        <v>69</v>
      </c>
      <c r="K489" s="2"/>
      <c r="L489" s="2"/>
      <c r="M489" s="2"/>
      <c r="N489" s="2"/>
      <c r="O489" s="2" t="s">
        <v>61</v>
      </c>
      <c r="P489" s="2"/>
      <c r="Q489" s="2"/>
      <c r="R489" s="2">
        <v>502</v>
      </c>
      <c r="S489" s="2">
        <v>80.319999999999993</v>
      </c>
      <c r="T489" s="13" t="str">
        <f t="shared" si="15"/>
        <v>MQ031</v>
      </c>
      <c r="U489" s="2" t="s">
        <v>1068</v>
      </c>
      <c r="V489" s="2"/>
      <c r="W489" s="2">
        <v>2.76</v>
      </c>
      <c r="X489" s="2">
        <v>5.52</v>
      </c>
      <c r="Y489" s="2">
        <v>1.79</v>
      </c>
      <c r="Z489" s="2">
        <v>0</v>
      </c>
      <c r="AA489" s="2">
        <v>0</v>
      </c>
      <c r="AB489" s="2">
        <v>0.5</v>
      </c>
      <c r="AC489" s="3" t="str">
        <f t="shared" si="14"/>
        <v>Loose</v>
      </c>
    </row>
    <row r="490" spans="1:29" x14ac:dyDescent="0.25">
      <c r="A490" s="1" t="s">
        <v>1069</v>
      </c>
      <c r="B490" s="2" t="s">
        <v>29</v>
      </c>
      <c r="C490" s="2"/>
      <c r="D490" s="2"/>
      <c r="E490" s="2" t="s">
        <v>1052</v>
      </c>
      <c r="F490" s="2">
        <v>1</v>
      </c>
      <c r="G490" s="2">
        <v>0.1</v>
      </c>
      <c r="H490" s="2" t="s">
        <v>43</v>
      </c>
      <c r="I490" s="2" t="s">
        <v>68</v>
      </c>
      <c r="J490" s="2" t="s">
        <v>33</v>
      </c>
      <c r="K490" s="2"/>
      <c r="L490" s="2"/>
      <c r="M490" s="2"/>
      <c r="N490" s="2"/>
      <c r="O490" s="2" t="s">
        <v>34</v>
      </c>
      <c r="P490" s="2"/>
      <c r="Q490" s="2"/>
      <c r="R490" s="2">
        <v>700</v>
      </c>
      <c r="S490" s="2">
        <v>70</v>
      </c>
      <c r="T490" s="13" t="str">
        <f t="shared" si="15"/>
        <v>MQ033</v>
      </c>
      <c r="U490" s="2" t="s">
        <v>1070</v>
      </c>
      <c r="V490" s="2"/>
      <c r="W490" s="2">
        <v>2.2200000000000002</v>
      </c>
      <c r="X490" s="2">
        <v>5.24</v>
      </c>
      <c r="Y490" s="2">
        <v>1.56</v>
      </c>
      <c r="Z490" s="2">
        <v>0</v>
      </c>
      <c r="AA490" s="2">
        <v>0</v>
      </c>
      <c r="AB490" s="2">
        <v>0.42</v>
      </c>
      <c r="AC490" s="3" t="str">
        <f t="shared" si="14"/>
        <v>Loose</v>
      </c>
    </row>
    <row r="491" spans="1:29" x14ac:dyDescent="0.25">
      <c r="A491" s="1" t="s">
        <v>1071</v>
      </c>
      <c r="B491" s="2" t="s">
        <v>29</v>
      </c>
      <c r="C491" s="2"/>
      <c r="D491" s="2"/>
      <c r="E491" s="2" t="s">
        <v>1052</v>
      </c>
      <c r="F491" s="2">
        <v>1</v>
      </c>
      <c r="G491" s="2">
        <v>0.12</v>
      </c>
      <c r="H491" s="2" t="s">
        <v>38</v>
      </c>
      <c r="I491" s="2" t="s">
        <v>68</v>
      </c>
      <c r="J491" s="2" t="s">
        <v>33</v>
      </c>
      <c r="K491" s="2"/>
      <c r="L491" s="2"/>
      <c r="M491" s="2"/>
      <c r="N491" s="2"/>
      <c r="O491" s="2" t="s">
        <v>34</v>
      </c>
      <c r="P491" s="2"/>
      <c r="Q491" s="2"/>
      <c r="R491" s="2">
        <v>700</v>
      </c>
      <c r="S491" s="2">
        <v>84</v>
      </c>
      <c r="T491" s="13" t="str">
        <f t="shared" si="15"/>
        <v>MQ034</v>
      </c>
      <c r="U491" s="2" t="s">
        <v>1072</v>
      </c>
      <c r="V491" s="2"/>
      <c r="W491" s="2">
        <v>2.41</v>
      </c>
      <c r="X491" s="2">
        <v>4.6500000000000004</v>
      </c>
      <c r="Y491" s="2">
        <v>1.73</v>
      </c>
      <c r="Z491" s="2">
        <v>0</v>
      </c>
      <c r="AA491" s="2">
        <v>0</v>
      </c>
      <c r="AB491" s="2">
        <v>0.52</v>
      </c>
      <c r="AC491" s="3" t="str">
        <f t="shared" si="14"/>
        <v>Loose</v>
      </c>
    </row>
    <row r="492" spans="1:29" x14ac:dyDescent="0.25">
      <c r="A492" s="1" t="s">
        <v>1073</v>
      </c>
      <c r="B492" s="2" t="s">
        <v>29</v>
      </c>
      <c r="C492" s="2"/>
      <c r="D492" s="2"/>
      <c r="E492" s="2" t="s">
        <v>1052</v>
      </c>
      <c r="F492" s="2">
        <v>1</v>
      </c>
      <c r="G492" s="2">
        <v>0.12</v>
      </c>
      <c r="H492" s="2" t="s">
        <v>38</v>
      </c>
      <c r="I492" s="2" t="s">
        <v>32</v>
      </c>
      <c r="J492" s="2" t="s">
        <v>33</v>
      </c>
      <c r="K492" s="2"/>
      <c r="L492" s="2"/>
      <c r="M492" s="2"/>
      <c r="N492" s="2"/>
      <c r="O492" s="2" t="s">
        <v>58</v>
      </c>
      <c r="P492" s="2"/>
      <c r="Q492" s="2"/>
      <c r="R492" s="2">
        <v>600</v>
      </c>
      <c r="S492" s="2">
        <v>72</v>
      </c>
      <c r="T492" s="13" t="str">
        <f t="shared" si="15"/>
        <v>MQ036</v>
      </c>
      <c r="U492" s="2" t="s">
        <v>1074</v>
      </c>
      <c r="V492" s="2"/>
      <c r="W492" s="2">
        <v>2.65</v>
      </c>
      <c r="X492" s="2">
        <v>5.38</v>
      </c>
      <c r="Y492" s="2">
        <v>1.57</v>
      </c>
      <c r="Z492" s="2">
        <v>0</v>
      </c>
      <c r="AA492" s="2">
        <v>0</v>
      </c>
      <c r="AB492" s="2">
        <v>0.49</v>
      </c>
      <c r="AC492" s="3" t="str">
        <f t="shared" si="14"/>
        <v>Loose</v>
      </c>
    </row>
    <row r="493" spans="1:29" x14ac:dyDescent="0.25">
      <c r="A493" s="1" t="s">
        <v>1075</v>
      </c>
      <c r="B493" s="2" t="s">
        <v>29</v>
      </c>
      <c r="C493" s="2"/>
      <c r="D493" s="2"/>
      <c r="E493" s="2" t="s">
        <v>1052</v>
      </c>
      <c r="F493" s="2">
        <v>1</v>
      </c>
      <c r="G493" s="2">
        <v>0.21</v>
      </c>
      <c r="H493" s="2" t="s">
        <v>73</v>
      </c>
      <c r="I493" s="2" t="s">
        <v>68</v>
      </c>
      <c r="J493" s="2" t="s">
        <v>33</v>
      </c>
      <c r="K493" s="2"/>
      <c r="L493" s="2"/>
      <c r="M493" s="2"/>
      <c r="N493" s="2"/>
      <c r="O493" s="2" t="s">
        <v>34</v>
      </c>
      <c r="P493" s="2"/>
      <c r="Q493" s="2"/>
      <c r="R493" s="2">
        <v>502</v>
      </c>
      <c r="S493" s="2">
        <v>105.42</v>
      </c>
      <c r="T493" s="13" t="str">
        <f t="shared" si="15"/>
        <v>MQ038</v>
      </c>
      <c r="U493" s="2" t="s">
        <v>1076</v>
      </c>
      <c r="V493" s="2"/>
      <c r="W493" s="2">
        <v>3.14</v>
      </c>
      <c r="X493" s="2">
        <v>5.46</v>
      </c>
      <c r="Y493" s="2">
        <v>2.19</v>
      </c>
      <c r="Z493" s="2">
        <v>0</v>
      </c>
      <c r="AA493" s="2">
        <v>0</v>
      </c>
      <c r="AB493" s="2">
        <v>0.57999999999999996</v>
      </c>
      <c r="AC493" s="3" t="str">
        <f t="shared" si="14"/>
        <v>Loose</v>
      </c>
    </row>
    <row r="494" spans="1:29" x14ac:dyDescent="0.25">
      <c r="A494" s="1" t="s">
        <v>1077</v>
      </c>
      <c r="B494" s="2" t="s">
        <v>29</v>
      </c>
      <c r="C494" s="2"/>
      <c r="D494" s="2"/>
      <c r="E494" s="2" t="s">
        <v>1052</v>
      </c>
      <c r="F494" s="2">
        <v>1</v>
      </c>
      <c r="G494" s="2">
        <v>0.18</v>
      </c>
      <c r="H494" s="2" t="s">
        <v>73</v>
      </c>
      <c r="I494" s="2" t="s">
        <v>68</v>
      </c>
      <c r="J494" s="2" t="s">
        <v>33</v>
      </c>
      <c r="K494" s="2"/>
      <c r="L494" s="2"/>
      <c r="M494" s="2"/>
      <c r="N494" s="2"/>
      <c r="O494" s="2" t="s">
        <v>34</v>
      </c>
      <c r="P494" s="2"/>
      <c r="Q494" s="2"/>
      <c r="R494" s="2">
        <v>800</v>
      </c>
      <c r="S494" s="2">
        <v>144</v>
      </c>
      <c r="T494" s="13" t="str">
        <f t="shared" si="15"/>
        <v>MQ040</v>
      </c>
      <c r="U494" s="2" t="s">
        <v>1078</v>
      </c>
      <c r="V494" s="2"/>
      <c r="W494" s="2">
        <v>2.79</v>
      </c>
      <c r="X494" s="2">
        <v>5.82</v>
      </c>
      <c r="Y494" s="2">
        <v>1.93</v>
      </c>
      <c r="Z494" s="2">
        <v>0</v>
      </c>
      <c r="AA494" s="2">
        <v>0</v>
      </c>
      <c r="AB494" s="2">
        <v>0.48</v>
      </c>
      <c r="AC494" s="3" t="str">
        <f t="shared" si="14"/>
        <v>Loose</v>
      </c>
    </row>
    <row r="495" spans="1:29" x14ac:dyDescent="0.25">
      <c r="A495" s="1" t="s">
        <v>1079</v>
      </c>
      <c r="B495" s="2" t="s">
        <v>29</v>
      </c>
      <c r="C495" s="2"/>
      <c r="D495" s="2"/>
      <c r="E495" s="2" t="s">
        <v>1052</v>
      </c>
      <c r="F495" s="2">
        <v>1</v>
      </c>
      <c r="G495" s="2">
        <v>0.13</v>
      </c>
      <c r="H495" s="2" t="s">
        <v>76</v>
      </c>
      <c r="I495" s="2" t="s">
        <v>57</v>
      </c>
      <c r="J495" s="2" t="s">
        <v>33</v>
      </c>
      <c r="K495" s="2"/>
      <c r="L495" s="2"/>
      <c r="M495" s="2"/>
      <c r="N495" s="2"/>
      <c r="O495" s="2" t="s">
        <v>34</v>
      </c>
      <c r="P495" s="2"/>
      <c r="Q495" s="2"/>
      <c r="R495" s="2">
        <v>502</v>
      </c>
      <c r="S495" s="2">
        <v>65.260000000000005</v>
      </c>
      <c r="T495" s="13" t="str">
        <f t="shared" si="15"/>
        <v>MQ041</v>
      </c>
      <c r="U495" s="2" t="s">
        <v>1080</v>
      </c>
      <c r="V495" s="2"/>
      <c r="W495" s="2">
        <v>2.61</v>
      </c>
      <c r="X495" s="2">
        <v>4.53</v>
      </c>
      <c r="Y495" s="2">
        <v>1.85</v>
      </c>
      <c r="Z495" s="2">
        <v>0</v>
      </c>
      <c r="AA495" s="2">
        <v>0</v>
      </c>
      <c r="AB495" s="2">
        <v>0.57999999999999996</v>
      </c>
      <c r="AC495" s="3" t="str">
        <f t="shared" si="14"/>
        <v>Loose</v>
      </c>
    </row>
    <row r="496" spans="1:29" x14ac:dyDescent="0.25">
      <c r="A496" s="1" t="s">
        <v>1081</v>
      </c>
      <c r="B496" s="2" t="s">
        <v>29</v>
      </c>
      <c r="C496" s="2"/>
      <c r="D496" s="2"/>
      <c r="E496" s="2" t="s">
        <v>1052</v>
      </c>
      <c r="F496" s="2">
        <v>1</v>
      </c>
      <c r="G496" s="2">
        <v>0.19</v>
      </c>
      <c r="H496" s="2" t="s">
        <v>73</v>
      </c>
      <c r="I496" s="2" t="s">
        <v>68</v>
      </c>
      <c r="J496" s="2" t="s">
        <v>33</v>
      </c>
      <c r="K496" s="2"/>
      <c r="L496" s="2"/>
      <c r="M496" s="2"/>
      <c r="N496" s="2"/>
      <c r="O496" s="2" t="s">
        <v>34</v>
      </c>
      <c r="P496" s="2"/>
      <c r="Q496" s="2"/>
      <c r="R496" s="2">
        <v>528</v>
      </c>
      <c r="S496" s="2">
        <v>100.32</v>
      </c>
      <c r="T496" s="13" t="str">
        <f t="shared" si="15"/>
        <v>MQ042</v>
      </c>
      <c r="U496" s="2" t="s">
        <v>1082</v>
      </c>
      <c r="V496" s="2"/>
      <c r="W496" s="2">
        <v>3.14</v>
      </c>
      <c r="X496" s="2">
        <v>5.1100000000000003</v>
      </c>
      <c r="Y496" s="2">
        <v>2.2000000000000002</v>
      </c>
      <c r="Z496" s="2">
        <v>0</v>
      </c>
      <c r="AA496" s="2">
        <v>0</v>
      </c>
      <c r="AB496" s="2">
        <v>0.61</v>
      </c>
      <c r="AC496" s="3" t="str">
        <f t="shared" si="14"/>
        <v>Loose</v>
      </c>
    </row>
    <row r="497" spans="1:29" x14ac:dyDescent="0.25">
      <c r="A497" s="1" t="s">
        <v>1083</v>
      </c>
      <c r="B497" s="2" t="s">
        <v>29</v>
      </c>
      <c r="C497" s="2"/>
      <c r="D497" s="2"/>
      <c r="E497" s="2" t="s">
        <v>1052</v>
      </c>
      <c r="F497" s="2">
        <v>1</v>
      </c>
      <c r="G497" s="2">
        <v>0.16</v>
      </c>
      <c r="H497" s="2" t="s">
        <v>43</v>
      </c>
      <c r="I497" s="2" t="s">
        <v>32</v>
      </c>
      <c r="J497" s="2" t="s">
        <v>33</v>
      </c>
      <c r="K497" s="2"/>
      <c r="L497" s="2"/>
      <c r="M497" s="2"/>
      <c r="N497" s="2"/>
      <c r="O497" s="2" t="s">
        <v>34</v>
      </c>
      <c r="P497" s="2"/>
      <c r="Q497" s="2"/>
      <c r="R497" s="2">
        <v>304</v>
      </c>
      <c r="S497" s="2">
        <v>48.64</v>
      </c>
      <c r="T497" s="13" t="str">
        <f t="shared" si="15"/>
        <v>MQ043</v>
      </c>
      <c r="U497" s="2" t="s">
        <v>1084</v>
      </c>
      <c r="V497" s="2"/>
      <c r="W497" s="2">
        <v>5.21</v>
      </c>
      <c r="X497" s="2">
        <v>1.85</v>
      </c>
      <c r="Y497" s="2">
        <v>2.69</v>
      </c>
      <c r="Z497" s="2">
        <v>0</v>
      </c>
      <c r="AA497" s="2">
        <v>0</v>
      </c>
      <c r="AB497" s="2">
        <v>2.82</v>
      </c>
      <c r="AC497" s="3" t="str">
        <f t="shared" si="14"/>
        <v>Loose</v>
      </c>
    </row>
    <row r="498" spans="1:29" x14ac:dyDescent="0.25">
      <c r="A498" s="1" t="s">
        <v>1085</v>
      </c>
      <c r="B498" s="2" t="s">
        <v>29</v>
      </c>
      <c r="C498" s="2"/>
      <c r="D498" s="2"/>
      <c r="E498" s="2" t="s">
        <v>1052</v>
      </c>
      <c r="F498" s="2">
        <v>1</v>
      </c>
      <c r="G498" s="2">
        <v>0.12</v>
      </c>
      <c r="H498" s="2" t="s">
        <v>108</v>
      </c>
      <c r="I498" s="2" t="s">
        <v>53</v>
      </c>
      <c r="J498" s="2" t="s">
        <v>69</v>
      </c>
      <c r="K498" s="2"/>
      <c r="L498" s="2"/>
      <c r="M498" s="2"/>
      <c r="N498" s="2"/>
      <c r="O498" s="2" t="s">
        <v>34</v>
      </c>
      <c r="P498" s="2"/>
      <c r="Q498" s="2"/>
      <c r="R498" s="2">
        <v>350</v>
      </c>
      <c r="S498" s="2">
        <v>42</v>
      </c>
      <c r="T498" s="13" t="str">
        <f t="shared" si="15"/>
        <v>MQ053</v>
      </c>
      <c r="U498" s="2" t="s">
        <v>1086</v>
      </c>
      <c r="V498" s="2"/>
      <c r="W498" s="2">
        <v>2.42</v>
      </c>
      <c r="X498" s="2">
        <v>4.51</v>
      </c>
      <c r="Y498" s="2">
        <v>1.73</v>
      </c>
      <c r="Z498" s="2">
        <v>0</v>
      </c>
      <c r="AA498" s="2">
        <v>0</v>
      </c>
      <c r="AB498" s="2">
        <v>0.54</v>
      </c>
      <c r="AC498" s="3" t="str">
        <f t="shared" si="14"/>
        <v>Loose</v>
      </c>
    </row>
    <row r="499" spans="1:29" x14ac:dyDescent="0.25">
      <c r="A499" s="1" t="s">
        <v>1087</v>
      </c>
      <c r="B499" s="2" t="s">
        <v>29</v>
      </c>
      <c r="C499" s="2"/>
      <c r="D499" s="2"/>
      <c r="E499" s="2" t="s">
        <v>1052</v>
      </c>
      <c r="F499" s="2">
        <v>1</v>
      </c>
      <c r="G499" s="2">
        <v>0.16</v>
      </c>
      <c r="H499" s="2" t="s">
        <v>396</v>
      </c>
      <c r="I499" s="2" t="s">
        <v>53</v>
      </c>
      <c r="J499" s="2" t="s">
        <v>33</v>
      </c>
      <c r="K499" s="2"/>
      <c r="L499" s="2"/>
      <c r="M499" s="2"/>
      <c r="N499" s="2"/>
      <c r="O499" s="2" t="s">
        <v>34</v>
      </c>
      <c r="P499" s="2"/>
      <c r="Q499" s="2"/>
      <c r="R499" s="2">
        <v>600</v>
      </c>
      <c r="S499" s="2">
        <v>96</v>
      </c>
      <c r="T499" s="13" t="str">
        <f t="shared" si="15"/>
        <v>MQ056</v>
      </c>
      <c r="U499" s="2" t="s">
        <v>1088</v>
      </c>
      <c r="V499" s="2"/>
      <c r="W499" s="2">
        <v>2.74</v>
      </c>
      <c r="X499" s="2">
        <v>5.57</v>
      </c>
      <c r="Y499" s="2">
        <v>1.89</v>
      </c>
      <c r="Z499" s="2">
        <v>0</v>
      </c>
      <c r="AA499" s="2">
        <v>0</v>
      </c>
      <c r="AB499" s="2">
        <v>0.49</v>
      </c>
      <c r="AC499" s="3" t="str">
        <f t="shared" si="14"/>
        <v>Loose</v>
      </c>
    </row>
    <row r="500" spans="1:29" x14ac:dyDescent="0.25">
      <c r="A500" s="1" t="s">
        <v>1089</v>
      </c>
      <c r="B500" s="2" t="s">
        <v>29</v>
      </c>
      <c r="C500" s="2"/>
      <c r="D500" s="2"/>
      <c r="E500" s="2" t="s">
        <v>1052</v>
      </c>
      <c r="F500" s="2">
        <v>1</v>
      </c>
      <c r="G500" s="2">
        <v>0.15</v>
      </c>
      <c r="H500" s="2" t="s">
        <v>137</v>
      </c>
      <c r="I500" s="2" t="s">
        <v>32</v>
      </c>
      <c r="J500" s="2" t="s">
        <v>33</v>
      </c>
      <c r="K500" s="2"/>
      <c r="L500" s="2"/>
      <c r="M500" s="2"/>
      <c r="N500" s="2"/>
      <c r="O500" s="2" t="s">
        <v>34</v>
      </c>
      <c r="P500" s="2"/>
      <c r="Q500" s="2"/>
      <c r="R500" s="2">
        <v>600</v>
      </c>
      <c r="S500" s="2">
        <v>90</v>
      </c>
      <c r="T500" s="13" t="str">
        <f t="shared" si="15"/>
        <v>MQ057</v>
      </c>
      <c r="U500" s="2" t="s">
        <v>1090</v>
      </c>
      <c r="V500" s="2"/>
      <c r="W500" s="2">
        <v>2.75</v>
      </c>
      <c r="X500" s="2">
        <v>5.1100000000000003</v>
      </c>
      <c r="Y500" s="2">
        <v>1.83</v>
      </c>
      <c r="Z500" s="2">
        <v>0</v>
      </c>
      <c r="AA500" s="2">
        <v>0</v>
      </c>
      <c r="AB500" s="2">
        <v>0.54</v>
      </c>
      <c r="AC500" s="3" t="str">
        <f t="shared" si="14"/>
        <v>Loose</v>
      </c>
    </row>
    <row r="501" spans="1:29" x14ac:dyDescent="0.25">
      <c r="A501" s="1" t="s">
        <v>1091</v>
      </c>
      <c r="B501" s="2" t="s">
        <v>29</v>
      </c>
      <c r="C501" s="2"/>
      <c r="D501" s="2"/>
      <c r="E501" s="2" t="s">
        <v>1092</v>
      </c>
      <c r="F501" s="2">
        <v>1</v>
      </c>
      <c r="G501" s="2">
        <v>0.46</v>
      </c>
      <c r="H501" s="2" t="s">
        <v>31</v>
      </c>
      <c r="I501" s="2" t="s">
        <v>53</v>
      </c>
      <c r="J501" s="2" t="s">
        <v>33</v>
      </c>
      <c r="K501" s="2"/>
      <c r="L501" s="2"/>
      <c r="M501" s="2"/>
      <c r="N501" s="2"/>
      <c r="O501" s="2" t="s">
        <v>34</v>
      </c>
      <c r="P501" s="2"/>
      <c r="Q501" s="2"/>
      <c r="R501" s="2">
        <v>2000</v>
      </c>
      <c r="S501" s="2">
        <v>920</v>
      </c>
      <c r="T501" s="13" t="str">
        <f t="shared" si="15"/>
        <v>GSSET</v>
      </c>
      <c r="U501" s="2" t="s">
        <v>1093</v>
      </c>
      <c r="V501" s="2"/>
      <c r="W501" s="2">
        <v>9.07</v>
      </c>
      <c r="X501" s="2">
        <v>4.76</v>
      </c>
      <c r="Y501" s="2">
        <v>2.2200000000000002</v>
      </c>
      <c r="Z501" s="2">
        <v>0</v>
      </c>
      <c r="AA501" s="2">
        <v>0</v>
      </c>
      <c r="AB501" s="2">
        <v>1.91</v>
      </c>
      <c r="AC501" s="3" t="str">
        <f t="shared" si="14"/>
        <v>Loose</v>
      </c>
    </row>
    <row r="502" spans="1:29" x14ac:dyDescent="0.25">
      <c r="A502" s="1" t="s">
        <v>1094</v>
      </c>
      <c r="B502" s="2" t="s">
        <v>37</v>
      </c>
      <c r="C502" s="2"/>
      <c r="D502" s="2"/>
      <c r="E502" s="2" t="s">
        <v>1092</v>
      </c>
      <c r="F502" s="2">
        <v>2</v>
      </c>
      <c r="G502" s="2">
        <v>0.57999999999999996</v>
      </c>
      <c r="H502" s="2" t="s">
        <v>73</v>
      </c>
      <c r="I502" s="2" t="s">
        <v>53</v>
      </c>
      <c r="J502" s="2" t="s">
        <v>33</v>
      </c>
      <c r="K502" s="2"/>
      <c r="L502" s="2"/>
      <c r="M502" s="2"/>
      <c r="N502" s="2"/>
      <c r="O502" s="2"/>
      <c r="P502" s="2"/>
      <c r="Q502" s="2"/>
      <c r="R502" s="2">
        <v>1600</v>
      </c>
      <c r="S502" s="2">
        <v>928</v>
      </c>
      <c r="T502" s="13" t="str">
        <f t="shared" si="15"/>
        <v>GSCUT017</v>
      </c>
      <c r="U502" s="2" t="s">
        <v>1095</v>
      </c>
      <c r="V502" s="2"/>
      <c r="W502" s="2">
        <v>6.42</v>
      </c>
      <c r="X502" s="2">
        <v>4.05</v>
      </c>
      <c r="Y502" s="2">
        <v>1.8</v>
      </c>
      <c r="Z502" s="2">
        <v>0</v>
      </c>
      <c r="AA502" s="2">
        <v>0</v>
      </c>
      <c r="AB502" s="2">
        <v>1.59</v>
      </c>
      <c r="AC502" s="3" t="str">
        <f t="shared" si="14"/>
        <v>Pair</v>
      </c>
    </row>
    <row r="503" spans="1:29" x14ac:dyDescent="0.25">
      <c r="A503" s="1" t="s">
        <v>1096</v>
      </c>
      <c r="B503" s="2" t="s">
        <v>29</v>
      </c>
      <c r="C503" s="2"/>
      <c r="D503" s="2"/>
      <c r="E503" s="2" t="s">
        <v>1092</v>
      </c>
      <c r="F503" s="2">
        <v>2</v>
      </c>
      <c r="G503" s="2">
        <v>0.17</v>
      </c>
      <c r="H503" s="2" t="s">
        <v>43</v>
      </c>
      <c r="I503" s="2" t="s">
        <v>53</v>
      </c>
      <c r="J503" s="2" t="s">
        <v>33</v>
      </c>
      <c r="K503" s="2"/>
      <c r="L503" s="2"/>
      <c r="M503" s="2"/>
      <c r="N503" s="2"/>
      <c r="O503" s="2" t="s">
        <v>34</v>
      </c>
      <c r="P503" s="2"/>
      <c r="Q503" s="2"/>
      <c r="R503" s="2">
        <v>1400</v>
      </c>
      <c r="S503" s="2">
        <v>238</v>
      </c>
      <c r="T503" s="13" t="str">
        <f t="shared" si="15"/>
        <v>GSCUT018</v>
      </c>
      <c r="U503" s="2" t="s">
        <v>1097</v>
      </c>
      <c r="V503" s="2"/>
      <c r="W503" s="2">
        <v>2.17</v>
      </c>
      <c r="X503" s="2">
        <v>5.82</v>
      </c>
      <c r="Y503" s="2">
        <v>1.1399999999999999</v>
      </c>
      <c r="Z503" s="2">
        <v>0</v>
      </c>
      <c r="AA503" s="2">
        <v>0</v>
      </c>
      <c r="AB503" s="2">
        <v>0.37</v>
      </c>
      <c r="AC503" s="3" t="str">
        <f t="shared" si="14"/>
        <v>Pair</v>
      </c>
    </row>
    <row r="504" spans="1:29" x14ac:dyDescent="0.25">
      <c r="A504" s="1" t="s">
        <v>1098</v>
      </c>
      <c r="B504" s="2" t="s">
        <v>29</v>
      </c>
      <c r="C504" s="2"/>
      <c r="D504" s="2"/>
      <c r="E504" s="2" t="s">
        <v>1099</v>
      </c>
      <c r="F504" s="2">
        <v>1</v>
      </c>
      <c r="G504" s="2">
        <v>1.03</v>
      </c>
      <c r="H504" s="2" t="s">
        <v>31</v>
      </c>
      <c r="I504" s="2" t="s">
        <v>50</v>
      </c>
      <c r="J504" s="2" t="s">
        <v>33</v>
      </c>
      <c r="K504" s="2"/>
      <c r="L504" s="2" t="s">
        <v>450</v>
      </c>
      <c r="M504" s="2" t="s">
        <v>450</v>
      </c>
      <c r="N504" s="2" t="s">
        <v>421</v>
      </c>
      <c r="O504" s="2" t="s">
        <v>34</v>
      </c>
      <c r="P504" s="2"/>
      <c r="Q504" s="2">
        <v>2225863260</v>
      </c>
      <c r="R504" s="2">
        <v>1700</v>
      </c>
      <c r="S504" s="2">
        <v>1751</v>
      </c>
      <c r="T504" s="13" t="str">
        <f t="shared" si="15"/>
        <v>DAVD01</v>
      </c>
      <c r="U504" s="2" t="s">
        <v>1100</v>
      </c>
      <c r="V504" s="2"/>
      <c r="W504" s="2">
        <v>5.9</v>
      </c>
      <c r="X504" s="2">
        <v>5.88</v>
      </c>
      <c r="Y504" s="2">
        <v>4.12</v>
      </c>
      <c r="Z504" s="2">
        <v>70.099999999999994</v>
      </c>
      <c r="AA504" s="2">
        <v>64</v>
      </c>
      <c r="AB504" s="2">
        <v>1</v>
      </c>
      <c r="AC504" s="3" t="str">
        <f t="shared" si="14"/>
        <v>Loose</v>
      </c>
    </row>
    <row r="505" spans="1:29" x14ac:dyDescent="0.25">
      <c r="A505" s="1" t="s">
        <v>1101</v>
      </c>
      <c r="B505" s="2" t="s">
        <v>29</v>
      </c>
      <c r="C505" s="2"/>
      <c r="D505" s="2"/>
      <c r="E505" s="2" t="s">
        <v>1102</v>
      </c>
      <c r="F505" s="2">
        <v>1</v>
      </c>
      <c r="G505" s="2">
        <v>0.17</v>
      </c>
      <c r="H505" s="2" t="s">
        <v>137</v>
      </c>
      <c r="I505" s="2" t="s">
        <v>32</v>
      </c>
      <c r="J505" s="2" t="s">
        <v>33</v>
      </c>
      <c r="K505" s="2"/>
      <c r="L505" s="2"/>
      <c r="M505" s="2"/>
      <c r="N505" s="2"/>
      <c r="O505" s="2" t="s">
        <v>34</v>
      </c>
      <c r="P505" s="2"/>
      <c r="Q505" s="2"/>
      <c r="R505" s="2">
        <v>2200</v>
      </c>
      <c r="S505" s="2">
        <v>374</v>
      </c>
      <c r="T505" s="13" t="str">
        <f t="shared" si="15"/>
        <v>BRCH199Q</v>
      </c>
      <c r="U505" s="2" t="s">
        <v>1103</v>
      </c>
      <c r="V505" s="2"/>
      <c r="W505" s="2">
        <v>5.37</v>
      </c>
      <c r="X505" s="2">
        <v>2.89</v>
      </c>
      <c r="Y505" s="2">
        <v>0</v>
      </c>
      <c r="Z505" s="2">
        <v>0</v>
      </c>
      <c r="AA505" s="2">
        <v>0</v>
      </c>
      <c r="AB505" s="2">
        <v>1.86</v>
      </c>
      <c r="AC505" s="3" t="str">
        <f t="shared" si="14"/>
        <v>Loose</v>
      </c>
    </row>
    <row r="506" spans="1:29" x14ac:dyDescent="0.25">
      <c r="A506" s="1" t="s">
        <v>1104</v>
      </c>
      <c r="B506" s="2" t="s">
        <v>29</v>
      </c>
      <c r="C506" s="2"/>
      <c r="D506" s="2"/>
      <c r="E506" s="2" t="s">
        <v>1102</v>
      </c>
      <c r="F506" s="2">
        <v>1</v>
      </c>
      <c r="G506" s="2">
        <v>0.13</v>
      </c>
      <c r="H506" s="2" t="s">
        <v>396</v>
      </c>
      <c r="I506" s="2" t="s">
        <v>39</v>
      </c>
      <c r="J506" s="2" t="s">
        <v>33</v>
      </c>
      <c r="K506" s="2"/>
      <c r="L506" s="2"/>
      <c r="M506" s="2"/>
      <c r="N506" s="2"/>
      <c r="O506" s="2" t="s">
        <v>34</v>
      </c>
      <c r="P506" s="2"/>
      <c r="Q506" s="2"/>
      <c r="R506" s="2">
        <v>3426</v>
      </c>
      <c r="S506" s="2">
        <v>445.38</v>
      </c>
      <c r="T506" s="13" t="str">
        <f t="shared" si="15"/>
        <v>PLT152504BBAAA</v>
      </c>
      <c r="U506" s="2" t="s">
        <v>1105</v>
      </c>
      <c r="V506" s="2"/>
      <c r="W506" s="2">
        <v>3.8</v>
      </c>
      <c r="X506" s="2">
        <v>5.22</v>
      </c>
      <c r="Y506" s="2">
        <v>1.5</v>
      </c>
      <c r="Z506" s="2">
        <v>0</v>
      </c>
      <c r="AA506" s="2">
        <v>0</v>
      </c>
      <c r="AB506" s="2">
        <v>0.73</v>
      </c>
      <c r="AC506" s="3" t="str">
        <f t="shared" si="14"/>
        <v>Loose</v>
      </c>
    </row>
    <row r="507" spans="1:29" x14ac:dyDescent="0.25">
      <c r="A507" s="1" t="s">
        <v>1106</v>
      </c>
      <c r="B507" s="2" t="s">
        <v>29</v>
      </c>
      <c r="C507" s="2"/>
      <c r="D507" s="2"/>
      <c r="E507" s="2" t="s">
        <v>1102</v>
      </c>
      <c r="F507" s="2">
        <v>1</v>
      </c>
      <c r="G507" s="2">
        <v>0.5</v>
      </c>
      <c r="H507" s="2" t="s">
        <v>43</v>
      </c>
      <c r="I507" s="2" t="s">
        <v>32</v>
      </c>
      <c r="J507" s="2" t="s">
        <v>33</v>
      </c>
      <c r="K507" s="2"/>
      <c r="L507" s="2"/>
      <c r="M507" s="2"/>
      <c r="N507" s="2"/>
      <c r="O507" s="2" t="s">
        <v>34</v>
      </c>
      <c r="P507" s="2"/>
      <c r="Q507" s="2"/>
      <c r="R507" s="2">
        <v>1800</v>
      </c>
      <c r="S507" s="2">
        <v>900</v>
      </c>
      <c r="T507" s="13" t="str">
        <f t="shared" si="15"/>
        <v>LEV152408AA</v>
      </c>
      <c r="U507" s="2" t="s">
        <v>1107</v>
      </c>
      <c r="V507" s="2"/>
      <c r="W507" s="2">
        <v>5.42</v>
      </c>
      <c r="X507" s="2">
        <v>8.27</v>
      </c>
      <c r="Y507" s="2">
        <v>2.68</v>
      </c>
      <c r="Z507" s="2">
        <v>0</v>
      </c>
      <c r="AA507" s="2">
        <v>0</v>
      </c>
      <c r="AB507" s="2">
        <v>0.66</v>
      </c>
      <c r="AC507" s="3" t="str">
        <f t="shared" si="14"/>
        <v>Loose</v>
      </c>
    </row>
    <row r="508" spans="1:29" x14ac:dyDescent="0.25">
      <c r="A508" s="1" t="s">
        <v>1108</v>
      </c>
      <c r="B508" s="2" t="s">
        <v>37</v>
      </c>
      <c r="C508" s="2"/>
      <c r="D508" s="2"/>
      <c r="E508" s="2" t="s">
        <v>1109</v>
      </c>
      <c r="F508" s="2">
        <v>1</v>
      </c>
      <c r="G508" s="2">
        <v>0.36</v>
      </c>
      <c r="H508" s="2" t="s">
        <v>31</v>
      </c>
      <c r="I508" s="2" t="s">
        <v>105</v>
      </c>
      <c r="J508" s="2" t="s">
        <v>69</v>
      </c>
      <c r="K508" s="2"/>
      <c r="L508" s="2"/>
      <c r="M508" s="2"/>
      <c r="N508" s="2"/>
      <c r="O508" s="2"/>
      <c r="P508" s="2"/>
      <c r="Q508" s="2"/>
      <c r="R508" s="2">
        <v>400</v>
      </c>
      <c r="S508" s="2">
        <v>144</v>
      </c>
      <c r="T508" s="13" t="str">
        <f t="shared" si="15"/>
        <v>OVHP01</v>
      </c>
      <c r="U508" s="2" t="s">
        <v>1110</v>
      </c>
      <c r="V508" s="2"/>
      <c r="W508" s="2">
        <v>3.78</v>
      </c>
      <c r="X508" s="2">
        <v>5.33</v>
      </c>
      <c r="Y508" s="2">
        <v>2.67</v>
      </c>
      <c r="Z508" s="2">
        <v>0</v>
      </c>
      <c r="AA508" s="2">
        <v>0</v>
      </c>
      <c r="AB508" s="2">
        <v>0.71</v>
      </c>
      <c r="AC508" s="3" t="str">
        <f t="shared" si="14"/>
        <v>Loose</v>
      </c>
    </row>
    <row r="509" spans="1:29" x14ac:dyDescent="0.25">
      <c r="A509" s="1" t="s">
        <v>1111</v>
      </c>
      <c r="B509" s="2" t="s">
        <v>29</v>
      </c>
      <c r="C509" s="2"/>
      <c r="D509" s="2"/>
      <c r="E509" s="2" t="s">
        <v>1109</v>
      </c>
      <c r="F509" s="2">
        <v>2</v>
      </c>
      <c r="G509" s="2">
        <v>0.32</v>
      </c>
      <c r="H509" s="2" t="s">
        <v>31</v>
      </c>
      <c r="I509" s="2" t="s">
        <v>32</v>
      </c>
      <c r="J509" s="2" t="s">
        <v>33</v>
      </c>
      <c r="K509" s="2"/>
      <c r="L509" s="2"/>
      <c r="M509" s="2"/>
      <c r="N509" s="2"/>
      <c r="O509" s="2"/>
      <c r="P509" s="2"/>
      <c r="Q509" s="2"/>
      <c r="R509" s="2">
        <v>300</v>
      </c>
      <c r="S509" s="2">
        <v>96</v>
      </c>
      <c r="T509" s="13" t="str">
        <f t="shared" si="15"/>
        <v>OVPAIR02</v>
      </c>
      <c r="U509" s="2"/>
      <c r="V509" s="2"/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3" t="str">
        <f t="shared" si="14"/>
        <v>Pair</v>
      </c>
    </row>
    <row r="510" spans="1:29" x14ac:dyDescent="0.25">
      <c r="A510" s="1" t="s">
        <v>1112</v>
      </c>
      <c r="B510" s="2" t="s">
        <v>29</v>
      </c>
      <c r="C510" s="2"/>
      <c r="D510" s="2"/>
      <c r="E510" s="2" t="s">
        <v>1109</v>
      </c>
      <c r="F510" s="2">
        <v>1</v>
      </c>
      <c r="G510" s="2">
        <v>0.35</v>
      </c>
      <c r="H510" s="2" t="s">
        <v>67</v>
      </c>
      <c r="I510" s="2" t="s">
        <v>39</v>
      </c>
      <c r="J510" s="2" t="s">
        <v>69</v>
      </c>
      <c r="K510" s="2"/>
      <c r="L510" s="2"/>
      <c r="M510" s="2"/>
      <c r="N510" s="2"/>
      <c r="O510" s="2" t="s">
        <v>61</v>
      </c>
      <c r="P510" s="2"/>
      <c r="Q510" s="2"/>
      <c r="R510" s="2">
        <v>600</v>
      </c>
      <c r="S510" s="2">
        <v>210</v>
      </c>
      <c r="T510" s="13" t="str">
        <f t="shared" si="15"/>
        <v>OVVSSI01C</v>
      </c>
      <c r="U510" s="2"/>
      <c r="V510" s="2"/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3" t="str">
        <f t="shared" si="14"/>
        <v>Loose</v>
      </c>
    </row>
    <row r="511" spans="1:29" x14ac:dyDescent="0.25">
      <c r="A511" s="1" t="s">
        <v>1113</v>
      </c>
      <c r="B511" s="2" t="s">
        <v>37</v>
      </c>
      <c r="C511" s="2"/>
      <c r="D511" s="2"/>
      <c r="E511" s="2" t="s">
        <v>1109</v>
      </c>
      <c r="F511" s="2">
        <v>1</v>
      </c>
      <c r="G511" s="2">
        <v>0.35</v>
      </c>
      <c r="H511" s="2" t="s">
        <v>31</v>
      </c>
      <c r="I511" s="2" t="s">
        <v>32</v>
      </c>
      <c r="J511" s="2" t="s">
        <v>33</v>
      </c>
      <c r="K511" s="2"/>
      <c r="L511" s="2"/>
      <c r="M511" s="2"/>
      <c r="N511" s="2"/>
      <c r="O511" s="2" t="s">
        <v>34</v>
      </c>
      <c r="P511" s="2"/>
      <c r="Q511" s="2"/>
      <c r="R511" s="2">
        <v>700</v>
      </c>
      <c r="S511" s="2">
        <v>245</v>
      </c>
      <c r="T511" s="13" t="str">
        <f t="shared" si="15"/>
        <v>OVAL30</v>
      </c>
      <c r="U511" s="2" t="s">
        <v>1114</v>
      </c>
      <c r="V511" s="2"/>
      <c r="W511" s="2">
        <v>5.78</v>
      </c>
      <c r="X511" s="2">
        <v>2.2400000000000002</v>
      </c>
      <c r="Y511" s="2">
        <v>3.82</v>
      </c>
      <c r="Z511" s="2">
        <v>0</v>
      </c>
      <c r="AA511" s="2">
        <v>0</v>
      </c>
      <c r="AB511" s="2">
        <v>2.58</v>
      </c>
      <c r="AC511" s="3" t="str">
        <f t="shared" si="14"/>
        <v>Loose</v>
      </c>
    </row>
    <row r="512" spans="1:29" x14ac:dyDescent="0.25">
      <c r="A512" s="1" t="s">
        <v>1115</v>
      </c>
      <c r="B512" s="2" t="s">
        <v>29</v>
      </c>
      <c r="C512" s="2"/>
      <c r="D512" s="2"/>
      <c r="E512" s="2" t="s">
        <v>1109</v>
      </c>
      <c r="F512" s="2">
        <v>1</v>
      </c>
      <c r="G512" s="2">
        <v>0.11</v>
      </c>
      <c r="H512" s="2" t="s">
        <v>73</v>
      </c>
      <c r="I512" s="2" t="s">
        <v>50</v>
      </c>
      <c r="J512" s="2" t="s">
        <v>33</v>
      </c>
      <c r="K512" s="2"/>
      <c r="L512" s="2"/>
      <c r="M512" s="2"/>
      <c r="N512" s="2"/>
      <c r="O512" s="2" t="s">
        <v>34</v>
      </c>
      <c r="P512" s="2"/>
      <c r="Q512" s="2"/>
      <c r="R512" s="2">
        <v>350</v>
      </c>
      <c r="S512" s="2">
        <v>38.5</v>
      </c>
      <c r="T512" s="13" t="str">
        <f t="shared" si="15"/>
        <v>OV1003</v>
      </c>
      <c r="U512" s="2" t="s">
        <v>1116</v>
      </c>
      <c r="V512" s="2"/>
      <c r="W512" s="2">
        <v>2.86</v>
      </c>
      <c r="X512" s="2">
        <v>3.7</v>
      </c>
      <c r="Y512" s="2">
        <v>1.66</v>
      </c>
      <c r="Z512" s="2">
        <v>0</v>
      </c>
      <c r="AA512" s="2">
        <v>0</v>
      </c>
      <c r="AB512" s="2">
        <v>0.77</v>
      </c>
      <c r="AC512" s="3" t="str">
        <f t="shared" si="14"/>
        <v>Loose</v>
      </c>
    </row>
    <row r="513" spans="1:29" x14ac:dyDescent="0.25">
      <c r="A513" s="1" t="s">
        <v>1117</v>
      </c>
      <c r="B513" s="2" t="s">
        <v>37</v>
      </c>
      <c r="C513" s="2"/>
      <c r="D513" s="2"/>
      <c r="E513" s="2" t="s">
        <v>1109</v>
      </c>
      <c r="F513" s="2">
        <v>1</v>
      </c>
      <c r="G513" s="2">
        <v>0.35</v>
      </c>
      <c r="H513" s="2" t="s">
        <v>137</v>
      </c>
      <c r="I513" s="2" t="s">
        <v>686</v>
      </c>
      <c r="J513" s="2" t="s">
        <v>69</v>
      </c>
      <c r="K513" s="2"/>
      <c r="L513" s="2"/>
      <c r="M513" s="2"/>
      <c r="N513" s="2"/>
      <c r="O513" s="2" t="s">
        <v>70</v>
      </c>
      <c r="P513" s="2"/>
      <c r="Q513" s="2"/>
      <c r="R513" s="2">
        <v>600</v>
      </c>
      <c r="S513" s="2">
        <v>210</v>
      </c>
      <c r="T513" s="13" t="str">
        <f t="shared" si="15"/>
        <v>OV1005</v>
      </c>
      <c r="U513" s="2" t="s">
        <v>1118</v>
      </c>
      <c r="V513" s="2"/>
      <c r="W513" s="2">
        <v>4.13</v>
      </c>
      <c r="X513" s="2">
        <v>6.45</v>
      </c>
      <c r="Y513" s="2">
        <v>2</v>
      </c>
      <c r="Z513" s="2">
        <v>0</v>
      </c>
      <c r="AA513" s="2">
        <v>0</v>
      </c>
      <c r="AB513" s="2">
        <v>0.64</v>
      </c>
      <c r="AC513" s="3" t="str">
        <f t="shared" si="14"/>
        <v>Loose</v>
      </c>
    </row>
    <row r="514" spans="1:29" x14ac:dyDescent="0.25">
      <c r="A514" s="1" t="s">
        <v>1119</v>
      </c>
      <c r="B514" s="2" t="s">
        <v>37</v>
      </c>
      <c r="C514" s="2"/>
      <c r="D514" s="2"/>
      <c r="E514" s="2" t="s">
        <v>1120</v>
      </c>
      <c r="F514" s="2">
        <v>1</v>
      </c>
      <c r="G514" s="2">
        <v>1.04</v>
      </c>
      <c r="H514" s="2" t="s">
        <v>396</v>
      </c>
      <c r="I514" s="2" t="s">
        <v>57</v>
      </c>
      <c r="J514" s="2" t="s">
        <v>397</v>
      </c>
      <c r="K514" s="2"/>
      <c r="L514" s="2" t="s">
        <v>1121</v>
      </c>
      <c r="M514" s="2" t="s">
        <v>1122</v>
      </c>
      <c r="N514" s="2"/>
      <c r="O514" s="2" t="s">
        <v>34</v>
      </c>
      <c r="P514" s="2"/>
      <c r="Q514" s="2">
        <v>1120816524</v>
      </c>
      <c r="R514" s="2">
        <v>1792</v>
      </c>
      <c r="S514" s="2">
        <v>1863.68</v>
      </c>
      <c r="T514" s="13" t="str">
        <f t="shared" si="15"/>
        <v>PLT591001</v>
      </c>
      <c r="U514" s="2" t="s">
        <v>1123</v>
      </c>
      <c r="V514" s="2"/>
      <c r="W514" s="2">
        <v>5.55</v>
      </c>
      <c r="X514" s="2">
        <v>9.01</v>
      </c>
      <c r="Y514" s="2">
        <v>3.28</v>
      </c>
      <c r="Z514" s="2">
        <v>0</v>
      </c>
      <c r="AA514" s="2">
        <v>0</v>
      </c>
      <c r="AB514" s="2">
        <v>0.62</v>
      </c>
      <c r="AC514" s="3" t="str">
        <f t="shared" ref="AC514:AC577" si="16">IF(F514=2,"Pair","Loose")</f>
        <v>Loose</v>
      </c>
    </row>
    <row r="515" spans="1:29" x14ac:dyDescent="0.25">
      <c r="A515" s="1" t="s">
        <v>1124</v>
      </c>
      <c r="B515" s="2" t="s">
        <v>29</v>
      </c>
      <c r="C515" s="2"/>
      <c r="D515" s="2"/>
      <c r="E515" s="2" t="s">
        <v>1125</v>
      </c>
      <c r="F515" s="2">
        <v>2</v>
      </c>
      <c r="G515" s="2">
        <v>0.39</v>
      </c>
      <c r="H515" s="2" t="s">
        <v>38</v>
      </c>
      <c r="I515" s="2" t="s">
        <v>39</v>
      </c>
      <c r="J515" s="2" t="s">
        <v>33</v>
      </c>
      <c r="K515" s="2"/>
      <c r="L515" s="2"/>
      <c r="M515" s="2"/>
      <c r="N515" s="2"/>
      <c r="O515" s="2"/>
      <c r="P515" s="2"/>
      <c r="Q515" s="2"/>
      <c r="R515" s="2">
        <v>2800</v>
      </c>
      <c r="S515" s="2">
        <v>1092</v>
      </c>
      <c r="T515" s="13" t="str">
        <f t="shared" si="15"/>
        <v>PENTAGON08</v>
      </c>
      <c r="U515" s="2" t="s">
        <v>1126</v>
      </c>
      <c r="V515" s="2"/>
      <c r="W515" s="2">
        <v>4.01</v>
      </c>
      <c r="X515" s="2">
        <v>5.13</v>
      </c>
      <c r="Y515" s="2">
        <v>1.67</v>
      </c>
      <c r="Z515" s="2">
        <v>0</v>
      </c>
      <c r="AA515" s="2">
        <v>0</v>
      </c>
      <c r="AB515" s="2">
        <v>0.78</v>
      </c>
      <c r="AC515" s="3" t="str">
        <f t="shared" si="16"/>
        <v>Pair</v>
      </c>
    </row>
    <row r="516" spans="1:29" x14ac:dyDescent="0.25">
      <c r="A516" s="1" t="s">
        <v>1127</v>
      </c>
      <c r="B516" s="2" t="s">
        <v>29</v>
      </c>
      <c r="C516" s="2"/>
      <c r="D516" s="2"/>
      <c r="E516" s="2" t="s">
        <v>1125</v>
      </c>
      <c r="F516" s="2">
        <v>2</v>
      </c>
      <c r="G516" s="2">
        <v>0.67</v>
      </c>
      <c r="H516" s="2" t="s">
        <v>43</v>
      </c>
      <c r="I516" s="2" t="s">
        <v>32</v>
      </c>
      <c r="J516" s="2" t="s">
        <v>397</v>
      </c>
      <c r="K516" s="2"/>
      <c r="L516" s="2"/>
      <c r="M516" s="2"/>
      <c r="N516" s="2"/>
      <c r="O516" s="2"/>
      <c r="P516" s="2"/>
      <c r="Q516" s="2"/>
      <c r="R516" s="2">
        <v>2300</v>
      </c>
      <c r="S516" s="2">
        <v>1541</v>
      </c>
      <c r="T516" s="13" t="str">
        <f t="shared" si="15"/>
        <v>PENTAGON11</v>
      </c>
      <c r="U516" s="2" t="s">
        <v>1128</v>
      </c>
      <c r="V516" s="2"/>
      <c r="W516" s="2">
        <v>5.97</v>
      </c>
      <c r="X516" s="2">
        <v>3.63</v>
      </c>
      <c r="Y516" s="2">
        <v>2.34</v>
      </c>
      <c r="Z516" s="2">
        <v>0</v>
      </c>
      <c r="AA516" s="2">
        <v>0</v>
      </c>
      <c r="AB516" s="2">
        <v>1.64</v>
      </c>
      <c r="AC516" s="3" t="str">
        <f t="shared" si="16"/>
        <v>Pair</v>
      </c>
    </row>
    <row r="517" spans="1:29" x14ac:dyDescent="0.25">
      <c r="A517" s="1" t="s">
        <v>1129</v>
      </c>
      <c r="B517" s="2" t="s">
        <v>29</v>
      </c>
      <c r="C517" s="2"/>
      <c r="D517" s="2"/>
      <c r="E517" s="2" t="s">
        <v>1125</v>
      </c>
      <c r="F517" s="2">
        <v>1</v>
      </c>
      <c r="G517" s="2">
        <v>0.31</v>
      </c>
      <c r="H517" s="2" t="s">
        <v>76</v>
      </c>
      <c r="I517" s="2" t="s">
        <v>32</v>
      </c>
      <c r="J517" s="2" t="s">
        <v>33</v>
      </c>
      <c r="K517" s="2"/>
      <c r="L517" s="2" t="s">
        <v>43</v>
      </c>
      <c r="M517" s="2" t="s">
        <v>43</v>
      </c>
      <c r="N517" s="2" t="s">
        <v>421</v>
      </c>
      <c r="O517" s="2" t="s">
        <v>34</v>
      </c>
      <c r="P517" s="2"/>
      <c r="Q517" s="2">
        <v>2235518673</v>
      </c>
      <c r="R517" s="2">
        <v>2000</v>
      </c>
      <c r="S517" s="2">
        <v>620</v>
      </c>
      <c r="T517" s="13" t="str">
        <f t="shared" si="15"/>
        <v>BLA035AAAAA</v>
      </c>
      <c r="U517" s="2" t="s">
        <v>1130</v>
      </c>
      <c r="V517" s="2"/>
      <c r="W517" s="2">
        <v>6.8</v>
      </c>
      <c r="X517" s="2">
        <v>4.47</v>
      </c>
      <c r="Y517" s="2">
        <v>1.89</v>
      </c>
      <c r="Z517" s="2">
        <v>42.2</v>
      </c>
      <c r="AA517" s="2">
        <v>72</v>
      </c>
      <c r="AB517" s="2">
        <v>1.52</v>
      </c>
      <c r="AC517" s="3" t="str">
        <f t="shared" si="16"/>
        <v>Loose</v>
      </c>
    </row>
    <row r="518" spans="1:29" x14ac:dyDescent="0.25">
      <c r="A518" s="1" t="s">
        <v>1131</v>
      </c>
      <c r="B518" s="2" t="s">
        <v>29</v>
      </c>
      <c r="C518" s="2"/>
      <c r="D518" s="2"/>
      <c r="E518" s="2" t="s">
        <v>1132</v>
      </c>
      <c r="F518" s="2">
        <v>1</v>
      </c>
      <c r="G518" s="2">
        <v>0.28999999999999998</v>
      </c>
      <c r="H518" s="2" t="s">
        <v>73</v>
      </c>
      <c r="I518" s="2" t="s">
        <v>53</v>
      </c>
      <c r="J518" s="2" t="s">
        <v>33</v>
      </c>
      <c r="K518" s="2"/>
      <c r="L518" s="2"/>
      <c r="M518" s="2"/>
      <c r="N518" s="2"/>
      <c r="O518" s="2" t="s">
        <v>34</v>
      </c>
      <c r="P518" s="2"/>
      <c r="Q518" s="2"/>
      <c r="R518" s="2">
        <v>402</v>
      </c>
      <c r="S518" s="2">
        <v>116.58</v>
      </c>
      <c r="T518" s="13" t="str">
        <f t="shared" si="15"/>
        <v>PITZ01</v>
      </c>
      <c r="U518" s="2" t="s">
        <v>1133</v>
      </c>
      <c r="V518" s="2"/>
      <c r="W518" s="2">
        <v>5.44</v>
      </c>
      <c r="X518" s="2">
        <v>4.01</v>
      </c>
      <c r="Y518" s="2">
        <v>2.64</v>
      </c>
      <c r="Z518" s="2">
        <v>0</v>
      </c>
      <c r="AA518" s="2">
        <v>0</v>
      </c>
      <c r="AB518" s="2">
        <v>1.36</v>
      </c>
      <c r="AC518" s="3" t="str">
        <f t="shared" si="16"/>
        <v>Loose</v>
      </c>
    </row>
    <row r="519" spans="1:29" x14ac:dyDescent="0.25">
      <c r="A519" s="1" t="s">
        <v>1134</v>
      </c>
      <c r="B519" s="2" t="s">
        <v>37</v>
      </c>
      <c r="C519" s="2"/>
      <c r="D519" s="2"/>
      <c r="E519" s="2" t="s">
        <v>1135</v>
      </c>
      <c r="F519" s="2">
        <v>1</v>
      </c>
      <c r="G519" s="2">
        <v>1.01</v>
      </c>
      <c r="H519" s="2" t="s">
        <v>73</v>
      </c>
      <c r="I519" s="2" t="s">
        <v>32</v>
      </c>
      <c r="J519" s="2" t="s">
        <v>33</v>
      </c>
      <c r="K519" s="2"/>
      <c r="L519" s="2" t="s">
        <v>450</v>
      </c>
      <c r="M519" s="2" t="s">
        <v>43</v>
      </c>
      <c r="N519" s="2" t="s">
        <v>421</v>
      </c>
      <c r="O519" s="2" t="s">
        <v>70</v>
      </c>
      <c r="P519" s="2"/>
      <c r="Q519" s="2">
        <v>3165022801</v>
      </c>
      <c r="R519" s="2">
        <v>2300</v>
      </c>
      <c r="S519" s="2">
        <v>2323</v>
      </c>
      <c r="T519" s="13" t="str">
        <f t="shared" ref="T519:T582" si="17">IF(OR(TRIM(A519&amp;"")="",TRIM(A519&amp;"")="0"),"",HYPERLINK("https://gs.gsdiamonds.com/StoneDetails.aspx?name=" &amp; _xlfn.ENCODEURL(TRIM(A519&amp;"")), TRIM(A519&amp;"")))</f>
        <v>PLT151</v>
      </c>
      <c r="U519" s="2" t="s">
        <v>1136</v>
      </c>
      <c r="V519" s="2"/>
      <c r="W519" s="2">
        <v>5.72</v>
      </c>
      <c r="X519" s="2">
        <v>5.45</v>
      </c>
      <c r="Y519" s="2">
        <v>3.65</v>
      </c>
      <c r="Z519" s="2">
        <v>67</v>
      </c>
      <c r="AA519" s="2">
        <v>76</v>
      </c>
      <c r="AB519" s="2">
        <v>1.05</v>
      </c>
      <c r="AC519" s="3" t="str">
        <f t="shared" si="16"/>
        <v>Loose</v>
      </c>
    </row>
    <row r="520" spans="1:29" x14ac:dyDescent="0.25">
      <c r="A520" s="1" t="s">
        <v>1137</v>
      </c>
      <c r="B520" s="2" t="s">
        <v>29</v>
      </c>
      <c r="C520" s="2"/>
      <c r="D520" s="2"/>
      <c r="E520" s="2" t="s">
        <v>1135</v>
      </c>
      <c r="F520" s="2">
        <v>1</v>
      </c>
      <c r="G520" s="2">
        <v>0.81</v>
      </c>
      <c r="H520" s="2" t="s">
        <v>396</v>
      </c>
      <c r="I520" s="2" t="s">
        <v>50</v>
      </c>
      <c r="J520" s="2" t="s">
        <v>33</v>
      </c>
      <c r="K520" s="2"/>
      <c r="L520" s="2"/>
      <c r="M520" s="2"/>
      <c r="N520" s="2" t="s">
        <v>1138</v>
      </c>
      <c r="O520" s="2" t="s">
        <v>34</v>
      </c>
      <c r="P520" s="2"/>
      <c r="Q520" s="2" t="s">
        <v>1139</v>
      </c>
      <c r="R520" s="2">
        <v>1412</v>
      </c>
      <c r="S520" s="2">
        <v>1143.72</v>
      </c>
      <c r="T520" s="13" t="str">
        <f t="shared" si="17"/>
        <v>PLT3534015</v>
      </c>
      <c r="U520" s="2" t="s">
        <v>1140</v>
      </c>
      <c r="V520" s="2"/>
      <c r="W520" s="2">
        <v>5.35</v>
      </c>
      <c r="X520" s="2">
        <v>5.27</v>
      </c>
      <c r="Y520" s="2">
        <v>3.48</v>
      </c>
      <c r="Z520" s="2">
        <v>0</v>
      </c>
      <c r="AA520" s="2">
        <v>0</v>
      </c>
      <c r="AB520" s="2">
        <v>1.02</v>
      </c>
      <c r="AC520" s="3" t="str">
        <f t="shared" si="16"/>
        <v>Loose</v>
      </c>
    </row>
    <row r="521" spans="1:29" x14ac:dyDescent="0.25">
      <c r="A521" s="1" t="s">
        <v>1141</v>
      </c>
      <c r="B521" s="2" t="s">
        <v>29</v>
      </c>
      <c r="C521" s="2"/>
      <c r="D521" s="2"/>
      <c r="E521" s="2" t="s">
        <v>1142</v>
      </c>
      <c r="F521" s="2">
        <v>1</v>
      </c>
      <c r="G521" s="2">
        <v>0.56000000000000005</v>
      </c>
      <c r="H521" s="2" t="s">
        <v>76</v>
      </c>
      <c r="I521" s="2" t="s">
        <v>50</v>
      </c>
      <c r="J521" s="2" t="s">
        <v>33</v>
      </c>
      <c r="K521" s="2"/>
      <c r="L521" s="2" t="s">
        <v>43</v>
      </c>
      <c r="M521" s="2" t="s">
        <v>43</v>
      </c>
      <c r="N521" s="2" t="s">
        <v>421</v>
      </c>
      <c r="O521" s="2" t="s">
        <v>34</v>
      </c>
      <c r="P521" s="2"/>
      <c r="Q521" s="2">
        <v>3185874839</v>
      </c>
      <c r="R521" s="2">
        <v>975</v>
      </c>
      <c r="S521" s="2">
        <v>546</v>
      </c>
      <c r="T521" s="13" t="str">
        <f t="shared" si="17"/>
        <v>PER50SI</v>
      </c>
      <c r="U521" s="2" t="s">
        <v>1143</v>
      </c>
      <c r="V521" s="2"/>
      <c r="W521" s="2">
        <v>6.92</v>
      </c>
      <c r="X521" s="2">
        <v>4.3499999999999996</v>
      </c>
      <c r="Y521" s="2">
        <v>3.1</v>
      </c>
      <c r="Z521" s="2">
        <v>71.3</v>
      </c>
      <c r="AA521" s="2">
        <v>60</v>
      </c>
      <c r="AB521" s="2">
        <v>1.59</v>
      </c>
      <c r="AC521" s="3" t="str">
        <f t="shared" si="16"/>
        <v>Loose</v>
      </c>
    </row>
    <row r="522" spans="1:29" x14ac:dyDescent="0.25">
      <c r="A522" s="1" t="s">
        <v>1144</v>
      </c>
      <c r="B522" s="2" t="s">
        <v>29</v>
      </c>
      <c r="C522" s="2"/>
      <c r="D522" s="2"/>
      <c r="E522" s="2" t="s">
        <v>1142</v>
      </c>
      <c r="F522" s="2">
        <v>1</v>
      </c>
      <c r="G522" s="2">
        <v>0.91</v>
      </c>
      <c r="H522" s="2" t="s">
        <v>137</v>
      </c>
      <c r="I522" s="2" t="s">
        <v>50</v>
      </c>
      <c r="J522" s="2" t="s">
        <v>33</v>
      </c>
      <c r="K522" s="2"/>
      <c r="L522" s="2" t="s">
        <v>43</v>
      </c>
      <c r="M522" s="2" t="s">
        <v>43</v>
      </c>
      <c r="N522" s="2" t="s">
        <v>421</v>
      </c>
      <c r="O522" s="2" t="s">
        <v>34</v>
      </c>
      <c r="P522" s="2"/>
      <c r="Q522" s="2">
        <v>3175834705</v>
      </c>
      <c r="R522" s="2">
        <v>1845</v>
      </c>
      <c r="S522" s="2">
        <v>1678.95</v>
      </c>
      <c r="T522" s="13" t="str">
        <f t="shared" si="17"/>
        <v>PLT207501AAAA</v>
      </c>
      <c r="U522" s="2" t="s">
        <v>1145</v>
      </c>
      <c r="V522" s="2"/>
      <c r="W522" s="2">
        <v>9.69</v>
      </c>
      <c r="X522" s="2">
        <v>5.21</v>
      </c>
      <c r="Y522" s="2">
        <v>3.03</v>
      </c>
      <c r="Z522" s="2">
        <v>58</v>
      </c>
      <c r="AA522" s="2">
        <v>59</v>
      </c>
      <c r="AB522" s="2">
        <v>1.86</v>
      </c>
      <c r="AC522" s="3" t="str">
        <f t="shared" si="16"/>
        <v>Loose</v>
      </c>
    </row>
    <row r="523" spans="1:29" x14ac:dyDescent="0.25">
      <c r="A523" s="1" t="s">
        <v>1146</v>
      </c>
      <c r="B523" s="2" t="s">
        <v>29</v>
      </c>
      <c r="C523" s="2"/>
      <c r="D523" s="2"/>
      <c r="E523" s="2" t="s">
        <v>1142</v>
      </c>
      <c r="F523" s="2">
        <v>1</v>
      </c>
      <c r="G523" s="2">
        <v>0.34</v>
      </c>
      <c r="H523" s="2" t="s">
        <v>49</v>
      </c>
      <c r="I523" s="2" t="s">
        <v>32</v>
      </c>
      <c r="J523" s="2" t="s">
        <v>33</v>
      </c>
      <c r="K523" s="2"/>
      <c r="L523" s="2"/>
      <c r="M523" s="2"/>
      <c r="N523" s="2"/>
      <c r="O523" s="2"/>
      <c r="P523" s="2"/>
      <c r="Q523" s="2"/>
      <c r="R523" s="2">
        <v>1100</v>
      </c>
      <c r="S523" s="2">
        <v>374</v>
      </c>
      <c r="T523" s="13" t="str">
        <f t="shared" si="17"/>
        <v>HAYK004A</v>
      </c>
      <c r="U523" s="2" t="s">
        <v>1147</v>
      </c>
      <c r="V523" s="2"/>
      <c r="W523" s="2">
        <v>4.1900000000000004</v>
      </c>
      <c r="X523" s="2">
        <v>6.03</v>
      </c>
      <c r="Y523" s="2">
        <v>2.21</v>
      </c>
      <c r="Z523" s="2">
        <v>0</v>
      </c>
      <c r="AA523" s="2">
        <v>0</v>
      </c>
      <c r="AB523" s="2">
        <v>0.69</v>
      </c>
      <c r="AC523" s="3" t="str">
        <f t="shared" si="16"/>
        <v>Loose</v>
      </c>
    </row>
    <row r="524" spans="1:29" x14ac:dyDescent="0.25">
      <c r="A524" s="1" t="s">
        <v>1148</v>
      </c>
      <c r="B524" s="2" t="s">
        <v>37</v>
      </c>
      <c r="C524" s="2"/>
      <c r="D524" s="2"/>
      <c r="E524" s="2" t="s">
        <v>1142</v>
      </c>
      <c r="F524" s="2">
        <v>1</v>
      </c>
      <c r="G524" s="2">
        <v>0.3</v>
      </c>
      <c r="H524" s="2" t="s">
        <v>100</v>
      </c>
      <c r="I524" s="2" t="s">
        <v>57</v>
      </c>
      <c r="J524" s="2" t="s">
        <v>69</v>
      </c>
      <c r="K524" s="2"/>
      <c r="L524" s="2"/>
      <c r="M524" s="2"/>
      <c r="N524" s="2"/>
      <c r="O524" s="2" t="s">
        <v>77</v>
      </c>
      <c r="P524" s="2"/>
      <c r="Q524" s="2"/>
      <c r="R524" s="2">
        <v>700</v>
      </c>
      <c r="S524" s="2">
        <v>210</v>
      </c>
      <c r="T524" s="13" t="str">
        <f t="shared" si="17"/>
        <v>TCL002A</v>
      </c>
      <c r="U524" s="2" t="s">
        <v>1149</v>
      </c>
      <c r="V524" s="2"/>
      <c r="W524" s="2">
        <v>3.86</v>
      </c>
      <c r="X524" s="2">
        <v>5.89</v>
      </c>
      <c r="Y524" s="2">
        <v>2.2599999999999998</v>
      </c>
      <c r="Z524" s="2">
        <v>0</v>
      </c>
      <c r="AA524" s="2">
        <v>0</v>
      </c>
      <c r="AB524" s="2">
        <v>0.66</v>
      </c>
      <c r="AC524" s="3" t="str">
        <f t="shared" si="16"/>
        <v>Loose</v>
      </c>
    </row>
    <row r="525" spans="1:29" x14ac:dyDescent="0.25">
      <c r="A525" s="1" t="s">
        <v>1150</v>
      </c>
      <c r="B525" s="2" t="s">
        <v>29</v>
      </c>
      <c r="C525" s="2"/>
      <c r="D525" s="2"/>
      <c r="E525" s="2" t="s">
        <v>1142</v>
      </c>
      <c r="F525" s="2">
        <v>1</v>
      </c>
      <c r="G525" s="2">
        <v>0.19</v>
      </c>
      <c r="H525" s="2" t="s">
        <v>38</v>
      </c>
      <c r="I525" s="2" t="s">
        <v>32</v>
      </c>
      <c r="J525" s="2" t="s">
        <v>33</v>
      </c>
      <c r="K525" s="2"/>
      <c r="L525" s="2"/>
      <c r="M525" s="2"/>
      <c r="N525" s="2"/>
      <c r="O525" s="2" t="s">
        <v>61</v>
      </c>
      <c r="P525" s="2"/>
      <c r="Q525" s="2"/>
      <c r="R525" s="2">
        <v>900</v>
      </c>
      <c r="S525" s="2">
        <v>171</v>
      </c>
      <c r="T525" s="13" t="str">
        <f t="shared" si="17"/>
        <v>PS002</v>
      </c>
      <c r="U525" s="2" t="s">
        <v>1151</v>
      </c>
      <c r="V525" s="2"/>
      <c r="W525" s="2">
        <v>3.2</v>
      </c>
      <c r="X525" s="2">
        <v>5.13</v>
      </c>
      <c r="Y525" s="2">
        <v>1.91</v>
      </c>
      <c r="Z525" s="2">
        <v>0</v>
      </c>
      <c r="AA525" s="2">
        <v>0</v>
      </c>
      <c r="AB525" s="2">
        <v>0.62</v>
      </c>
      <c r="AC525" s="3" t="str">
        <f t="shared" si="16"/>
        <v>Loose</v>
      </c>
    </row>
    <row r="526" spans="1:29" x14ac:dyDescent="0.25">
      <c r="A526" s="1" t="s">
        <v>1152</v>
      </c>
      <c r="B526" s="2" t="s">
        <v>29</v>
      </c>
      <c r="C526" s="2"/>
      <c r="D526" s="2"/>
      <c r="E526" s="2" t="s">
        <v>1142</v>
      </c>
      <c r="F526" s="2">
        <v>1</v>
      </c>
      <c r="G526" s="2">
        <v>0.19</v>
      </c>
      <c r="H526" s="2" t="s">
        <v>100</v>
      </c>
      <c r="I526" s="2" t="s">
        <v>53</v>
      </c>
      <c r="J526" s="2" t="s">
        <v>69</v>
      </c>
      <c r="K526" s="2"/>
      <c r="L526" s="2"/>
      <c r="M526" s="2"/>
      <c r="N526" s="2"/>
      <c r="O526" s="2" t="s">
        <v>61</v>
      </c>
      <c r="P526" s="2"/>
      <c r="Q526" s="2"/>
      <c r="R526" s="2">
        <v>400</v>
      </c>
      <c r="S526" s="2">
        <v>76</v>
      </c>
      <c r="T526" s="13" t="str">
        <f t="shared" si="17"/>
        <v>PS008</v>
      </c>
      <c r="U526" s="2" t="s">
        <v>1153</v>
      </c>
      <c r="V526" s="2"/>
      <c r="W526" s="2">
        <v>3.15</v>
      </c>
      <c r="X526" s="2">
        <v>4.22</v>
      </c>
      <c r="Y526" s="2">
        <v>2.31</v>
      </c>
      <c r="Z526" s="2">
        <v>0</v>
      </c>
      <c r="AA526" s="2">
        <v>0</v>
      </c>
      <c r="AB526" s="2">
        <v>0.75</v>
      </c>
      <c r="AC526" s="3" t="str">
        <f t="shared" si="16"/>
        <v>Loose</v>
      </c>
    </row>
    <row r="527" spans="1:29" x14ac:dyDescent="0.25">
      <c r="A527" s="1" t="s">
        <v>1154</v>
      </c>
      <c r="B527" s="2" t="s">
        <v>29</v>
      </c>
      <c r="C527" s="2"/>
      <c r="D527" s="2"/>
      <c r="E527" s="2" t="s">
        <v>1142</v>
      </c>
      <c r="F527" s="2">
        <v>1</v>
      </c>
      <c r="G527" s="2">
        <v>0.17</v>
      </c>
      <c r="H527" s="2" t="s">
        <v>1155</v>
      </c>
      <c r="I527" s="2" t="s">
        <v>32</v>
      </c>
      <c r="J527" s="2" t="s">
        <v>69</v>
      </c>
      <c r="K527" s="2"/>
      <c r="L527" s="2"/>
      <c r="M527" s="2"/>
      <c r="N527" s="2"/>
      <c r="O527" s="2" t="s">
        <v>61</v>
      </c>
      <c r="P527" s="2"/>
      <c r="Q527" s="2"/>
      <c r="R527" s="2">
        <v>400</v>
      </c>
      <c r="S527" s="2">
        <v>68</v>
      </c>
      <c r="T527" s="13" t="str">
        <f t="shared" si="17"/>
        <v>PS009</v>
      </c>
      <c r="U527" s="2" t="s">
        <v>1156</v>
      </c>
      <c r="V527" s="2"/>
      <c r="W527" s="2">
        <v>3.07</v>
      </c>
      <c r="X527" s="2">
        <v>3.97</v>
      </c>
      <c r="Y527" s="2">
        <v>2.27</v>
      </c>
      <c r="Z527" s="2">
        <v>0</v>
      </c>
      <c r="AA527" s="2">
        <v>0</v>
      </c>
      <c r="AB527" s="2">
        <v>0.77</v>
      </c>
      <c r="AC527" s="3" t="str">
        <f t="shared" si="16"/>
        <v>Loose</v>
      </c>
    </row>
    <row r="528" spans="1:29" x14ac:dyDescent="0.25">
      <c r="A528" s="1" t="s">
        <v>1157</v>
      </c>
      <c r="B528" s="2" t="s">
        <v>29</v>
      </c>
      <c r="C528" s="2"/>
      <c r="D528" s="2"/>
      <c r="E528" s="2" t="s">
        <v>1142</v>
      </c>
      <c r="F528" s="2">
        <v>1</v>
      </c>
      <c r="G528" s="2">
        <v>0.27</v>
      </c>
      <c r="H528" s="2" t="s">
        <v>67</v>
      </c>
      <c r="I528" s="2" t="s">
        <v>57</v>
      </c>
      <c r="J528" s="2" t="s">
        <v>69</v>
      </c>
      <c r="K528" s="2"/>
      <c r="L528" s="2"/>
      <c r="M528" s="2"/>
      <c r="N528" s="2"/>
      <c r="O528" s="2" t="s">
        <v>34</v>
      </c>
      <c r="P528" s="2"/>
      <c r="Q528" s="2"/>
      <c r="R528" s="2">
        <v>400</v>
      </c>
      <c r="S528" s="2">
        <v>108</v>
      </c>
      <c r="T528" s="13" t="str">
        <f t="shared" si="17"/>
        <v>PS010</v>
      </c>
      <c r="U528" s="2" t="s">
        <v>1158</v>
      </c>
      <c r="V528" s="2"/>
      <c r="W528" s="2">
        <v>3.52</v>
      </c>
      <c r="X528" s="2">
        <v>5.14</v>
      </c>
      <c r="Y528" s="2">
        <v>2.48</v>
      </c>
      <c r="Z528" s="2">
        <v>0</v>
      </c>
      <c r="AA528" s="2">
        <v>0</v>
      </c>
      <c r="AB528" s="2">
        <v>0.68</v>
      </c>
      <c r="AC528" s="3" t="str">
        <f t="shared" si="16"/>
        <v>Loose</v>
      </c>
    </row>
    <row r="529" spans="1:29" x14ac:dyDescent="0.25">
      <c r="A529" s="1" t="s">
        <v>1159</v>
      </c>
      <c r="B529" s="2" t="s">
        <v>37</v>
      </c>
      <c r="C529" s="2"/>
      <c r="D529" s="2"/>
      <c r="E529" s="2" t="s">
        <v>1142</v>
      </c>
      <c r="F529" s="2">
        <v>1</v>
      </c>
      <c r="G529" s="2">
        <v>2.02</v>
      </c>
      <c r="H529" s="2" t="s">
        <v>396</v>
      </c>
      <c r="I529" s="2" t="s">
        <v>50</v>
      </c>
      <c r="J529" s="2" t="s">
        <v>33</v>
      </c>
      <c r="K529" s="2"/>
      <c r="L529" s="2" t="s">
        <v>43</v>
      </c>
      <c r="M529" s="2" t="s">
        <v>38</v>
      </c>
      <c r="N529" s="2" t="s">
        <v>421</v>
      </c>
      <c r="O529" s="2" t="s">
        <v>58</v>
      </c>
      <c r="P529" s="2"/>
      <c r="Q529" s="2">
        <v>7492351443</v>
      </c>
      <c r="R529" s="2">
        <v>8000</v>
      </c>
      <c r="S529" s="2">
        <v>16160</v>
      </c>
      <c r="T529" s="13" t="str">
        <f t="shared" si="17"/>
        <v>TRBAA</v>
      </c>
      <c r="U529" s="2" t="s">
        <v>1160</v>
      </c>
      <c r="V529" s="2"/>
      <c r="W529" s="2">
        <v>10.82</v>
      </c>
      <c r="X529" s="2">
        <v>7.08</v>
      </c>
      <c r="Y529" s="2">
        <v>4.25</v>
      </c>
      <c r="Z529" s="2">
        <v>60</v>
      </c>
      <c r="AA529" s="2">
        <v>63</v>
      </c>
      <c r="AB529" s="2">
        <v>1.53</v>
      </c>
      <c r="AC529" s="3" t="str">
        <f t="shared" si="16"/>
        <v>Loose</v>
      </c>
    </row>
    <row r="530" spans="1:29" x14ac:dyDescent="0.25">
      <c r="A530" s="1" t="s">
        <v>1161</v>
      </c>
      <c r="B530" s="2" t="s">
        <v>37</v>
      </c>
      <c r="C530" s="2"/>
      <c r="D530" s="2"/>
      <c r="E530" s="2" t="s">
        <v>1142</v>
      </c>
      <c r="F530" s="2">
        <v>1</v>
      </c>
      <c r="G530" s="2">
        <v>0.95</v>
      </c>
      <c r="H530" s="2" t="s">
        <v>396</v>
      </c>
      <c r="I530" s="2" t="s">
        <v>105</v>
      </c>
      <c r="J530" s="2" t="s">
        <v>69</v>
      </c>
      <c r="K530" s="2"/>
      <c r="L530" s="2"/>
      <c r="M530" s="2"/>
      <c r="N530" s="2"/>
      <c r="O530" s="2" t="s">
        <v>58</v>
      </c>
      <c r="P530" s="2"/>
      <c r="Q530" s="2"/>
      <c r="R530" s="2">
        <v>1800</v>
      </c>
      <c r="S530" s="2">
        <v>1710</v>
      </c>
      <c r="T530" s="13" t="str">
        <f t="shared" si="17"/>
        <v>KRNPBAAAA</v>
      </c>
      <c r="U530" s="2" t="s">
        <v>1162</v>
      </c>
      <c r="V530" s="2"/>
      <c r="W530" s="2">
        <v>5.46</v>
      </c>
      <c r="X530" s="2">
        <v>9.0500000000000007</v>
      </c>
      <c r="Y530" s="2">
        <v>3.09</v>
      </c>
      <c r="Z530" s="2">
        <v>0</v>
      </c>
      <c r="AA530" s="2">
        <v>0</v>
      </c>
      <c r="AB530" s="2">
        <v>0.6</v>
      </c>
      <c r="AC530" s="3" t="str">
        <f t="shared" si="16"/>
        <v>Loose</v>
      </c>
    </row>
    <row r="531" spans="1:29" x14ac:dyDescent="0.25">
      <c r="A531" s="1" t="s">
        <v>1163</v>
      </c>
      <c r="B531" s="2" t="s">
        <v>37</v>
      </c>
      <c r="C531" s="2"/>
      <c r="D531" s="2"/>
      <c r="E531" s="2" t="s">
        <v>1164</v>
      </c>
      <c r="F531" s="2">
        <v>2</v>
      </c>
      <c r="G531" s="2">
        <v>0.32</v>
      </c>
      <c r="H531" s="2" t="s">
        <v>43</v>
      </c>
      <c r="I531" s="2" t="s">
        <v>39</v>
      </c>
      <c r="J531" s="2" t="s">
        <v>33</v>
      </c>
      <c r="K531" s="2"/>
      <c r="L531" s="2"/>
      <c r="M531" s="2"/>
      <c r="N531" s="2"/>
      <c r="O531" s="2" t="s">
        <v>909</v>
      </c>
      <c r="P531" s="2"/>
      <c r="Q531" s="2"/>
      <c r="R531" s="2">
        <v>1100</v>
      </c>
      <c r="S531" s="2">
        <v>352</v>
      </c>
      <c r="T531" s="13" t="str">
        <f t="shared" si="17"/>
        <v>RAD018CN</v>
      </c>
      <c r="U531" s="2" t="s">
        <v>1165</v>
      </c>
      <c r="V531" s="2"/>
      <c r="W531" s="2">
        <v>3.21</v>
      </c>
      <c r="X531" s="2">
        <v>3.28</v>
      </c>
      <c r="Y531" s="2">
        <v>2.0299999999999998</v>
      </c>
      <c r="Z531" s="2">
        <v>0</v>
      </c>
      <c r="AA531" s="2">
        <v>0</v>
      </c>
      <c r="AB531" s="2">
        <v>0.98</v>
      </c>
      <c r="AC531" s="3" t="str">
        <f t="shared" si="16"/>
        <v>Pair</v>
      </c>
    </row>
    <row r="532" spans="1:29" x14ac:dyDescent="0.25">
      <c r="A532" s="1" t="s">
        <v>1166</v>
      </c>
      <c r="B532" s="2" t="s">
        <v>29</v>
      </c>
      <c r="C532" s="2"/>
      <c r="D532" s="2"/>
      <c r="E532" s="2" t="s">
        <v>1164</v>
      </c>
      <c r="F532" s="2">
        <v>1</v>
      </c>
      <c r="G532" s="2">
        <v>0.43</v>
      </c>
      <c r="H532" s="2" t="s">
        <v>108</v>
      </c>
      <c r="I532" s="2" t="s">
        <v>53</v>
      </c>
      <c r="J532" s="2" t="s">
        <v>69</v>
      </c>
      <c r="K532" s="2"/>
      <c r="L532" s="2" t="s">
        <v>450</v>
      </c>
      <c r="M532" s="2" t="s">
        <v>450</v>
      </c>
      <c r="N532" s="2" t="s">
        <v>421</v>
      </c>
      <c r="O532" s="2" t="s">
        <v>34</v>
      </c>
      <c r="P532" s="2"/>
      <c r="Q532" s="2">
        <v>1345107434</v>
      </c>
      <c r="R532" s="2">
        <v>650</v>
      </c>
      <c r="S532" s="2">
        <v>279.5</v>
      </c>
      <c r="T532" s="13" t="str">
        <f t="shared" si="17"/>
        <v>RAD043</v>
      </c>
      <c r="U532" s="2" t="s">
        <v>1167</v>
      </c>
      <c r="V532" s="2"/>
      <c r="W532" s="2">
        <v>4.78</v>
      </c>
      <c r="X532" s="2">
        <v>4.08</v>
      </c>
      <c r="Y532" s="2">
        <v>2.54</v>
      </c>
      <c r="Z532" s="2">
        <v>62.1</v>
      </c>
      <c r="AA532" s="2">
        <v>67</v>
      </c>
      <c r="AB532" s="2">
        <v>1.17</v>
      </c>
      <c r="AC532" s="3" t="str">
        <f t="shared" si="16"/>
        <v>Loose</v>
      </c>
    </row>
    <row r="533" spans="1:29" x14ac:dyDescent="0.25">
      <c r="A533" s="1" t="s">
        <v>1168</v>
      </c>
      <c r="B533" s="2" t="s">
        <v>37</v>
      </c>
      <c r="C533" s="2"/>
      <c r="D533" s="2"/>
      <c r="E533" s="2" t="s">
        <v>1164</v>
      </c>
      <c r="F533" s="2">
        <v>1</v>
      </c>
      <c r="G533" s="2">
        <v>0.46</v>
      </c>
      <c r="H533" s="2" t="s">
        <v>137</v>
      </c>
      <c r="I533" s="2" t="s">
        <v>53</v>
      </c>
      <c r="J533" s="2" t="s">
        <v>397</v>
      </c>
      <c r="K533" s="2"/>
      <c r="L533" s="2" t="s">
        <v>450</v>
      </c>
      <c r="M533" s="2" t="s">
        <v>43</v>
      </c>
      <c r="N533" s="2" t="s">
        <v>421</v>
      </c>
      <c r="O533" s="2" t="s">
        <v>34</v>
      </c>
      <c r="P533" s="2"/>
      <c r="Q533" s="2">
        <v>2171616765</v>
      </c>
      <c r="R533" s="2">
        <v>1250</v>
      </c>
      <c r="S533" s="2">
        <v>575</v>
      </c>
      <c r="T533" s="13" t="str">
        <f t="shared" si="17"/>
        <v>JERI46R</v>
      </c>
      <c r="U533" s="2" t="s">
        <v>1169</v>
      </c>
      <c r="V533" s="2"/>
      <c r="W533" s="2">
        <v>4.84</v>
      </c>
      <c r="X533" s="2">
        <v>4.24</v>
      </c>
      <c r="Y533" s="2">
        <v>2.86</v>
      </c>
      <c r="Z533" s="2">
        <v>67.400000000000006</v>
      </c>
      <c r="AA533" s="2">
        <v>67</v>
      </c>
      <c r="AB533" s="2">
        <v>1.1399999999999999</v>
      </c>
      <c r="AC533" s="3" t="str">
        <f t="shared" si="16"/>
        <v>Loose</v>
      </c>
    </row>
    <row r="534" spans="1:29" x14ac:dyDescent="0.25">
      <c r="A534" s="1" t="s">
        <v>1170</v>
      </c>
      <c r="B534" s="2" t="s">
        <v>29</v>
      </c>
      <c r="C534" s="2"/>
      <c r="D534" s="2"/>
      <c r="E534" s="2" t="s">
        <v>1171</v>
      </c>
      <c r="F534" s="2">
        <v>1</v>
      </c>
      <c r="G534" s="2">
        <v>0.42</v>
      </c>
      <c r="H534" s="2" t="s">
        <v>43</v>
      </c>
      <c r="I534" s="2" t="s">
        <v>50</v>
      </c>
      <c r="J534" s="2" t="s">
        <v>33</v>
      </c>
      <c r="K534" s="2" t="s">
        <v>43</v>
      </c>
      <c r="L534" s="2" t="s">
        <v>450</v>
      </c>
      <c r="M534" s="2" t="s">
        <v>43</v>
      </c>
      <c r="N534" s="2" t="s">
        <v>421</v>
      </c>
      <c r="O534" s="2" t="s">
        <v>34</v>
      </c>
      <c r="P534" s="2"/>
      <c r="Q534" s="2">
        <v>3215158035</v>
      </c>
      <c r="R534" s="2">
        <v>1833</v>
      </c>
      <c r="S534" s="2">
        <v>769.86</v>
      </c>
      <c r="T534" s="13" t="str">
        <f t="shared" si="17"/>
        <v>PLT2794010AA</v>
      </c>
      <c r="U534" s="2" t="s">
        <v>1172</v>
      </c>
      <c r="V534" s="2"/>
      <c r="W534" s="2">
        <v>4.79</v>
      </c>
      <c r="X534" s="2">
        <v>4.7300000000000004</v>
      </c>
      <c r="Y534" s="2">
        <v>2.96</v>
      </c>
      <c r="Z534" s="2">
        <v>62.2</v>
      </c>
      <c r="AA534" s="2">
        <v>55</v>
      </c>
      <c r="AB534" s="2">
        <v>1.01</v>
      </c>
      <c r="AC534" s="3" t="str">
        <f t="shared" si="16"/>
        <v>Loose</v>
      </c>
    </row>
    <row r="535" spans="1:29" x14ac:dyDescent="0.25">
      <c r="A535" s="1" t="s">
        <v>1173</v>
      </c>
      <c r="B535" s="2" t="s">
        <v>29</v>
      </c>
      <c r="C535" s="2"/>
      <c r="D535" s="2"/>
      <c r="E535" s="2" t="s">
        <v>1174</v>
      </c>
      <c r="F535" s="2">
        <v>1</v>
      </c>
      <c r="G535" s="2">
        <v>0.32</v>
      </c>
      <c r="H535" s="2" t="s">
        <v>137</v>
      </c>
      <c r="I535" s="2" t="s">
        <v>175</v>
      </c>
      <c r="J535" s="2" t="s">
        <v>69</v>
      </c>
      <c r="K535" s="2"/>
      <c r="L535" s="2"/>
      <c r="M535" s="2"/>
      <c r="N535" s="2"/>
      <c r="O535" s="2" t="s">
        <v>34</v>
      </c>
      <c r="P535" s="2"/>
      <c r="Q535" s="2"/>
      <c r="R535" s="2">
        <v>500</v>
      </c>
      <c r="S535" s="2">
        <v>160</v>
      </c>
      <c r="T535" s="13" t="str">
        <f t="shared" si="17"/>
        <v>GRS010</v>
      </c>
      <c r="U535" s="2" t="s">
        <v>1175</v>
      </c>
      <c r="V535" s="2"/>
      <c r="W535" s="2">
        <v>4.42</v>
      </c>
      <c r="X535" s="2">
        <v>4.53</v>
      </c>
      <c r="Y535" s="2">
        <v>2.67</v>
      </c>
      <c r="Z535" s="2">
        <v>0</v>
      </c>
      <c r="AA535" s="2">
        <v>0</v>
      </c>
      <c r="AB535" s="2">
        <v>0.98</v>
      </c>
      <c r="AC535" s="3" t="str">
        <f t="shared" si="16"/>
        <v>Loose</v>
      </c>
    </row>
    <row r="536" spans="1:29" x14ac:dyDescent="0.25">
      <c r="A536" s="1" t="s">
        <v>1176</v>
      </c>
      <c r="B536" s="2" t="s">
        <v>37</v>
      </c>
      <c r="C536" s="2"/>
      <c r="D536" s="2"/>
      <c r="E536" s="2" t="s">
        <v>1174</v>
      </c>
      <c r="F536" s="2">
        <v>1</v>
      </c>
      <c r="G536" s="2">
        <v>0.62</v>
      </c>
      <c r="H536" s="2" t="s">
        <v>67</v>
      </c>
      <c r="I536" s="2" t="s">
        <v>105</v>
      </c>
      <c r="J536" s="2" t="s">
        <v>33</v>
      </c>
      <c r="K536" s="2"/>
      <c r="L536" s="2"/>
      <c r="M536" s="2"/>
      <c r="N536" s="2"/>
      <c r="O536" s="2" t="s">
        <v>34</v>
      </c>
      <c r="P536" s="2"/>
      <c r="Q536" s="2"/>
      <c r="R536" s="2">
        <v>700</v>
      </c>
      <c r="S536" s="2">
        <v>434</v>
      </c>
      <c r="T536" s="13" t="str">
        <f t="shared" si="17"/>
        <v>PLT316711AA</v>
      </c>
      <c r="U536" s="2" t="s">
        <v>1177</v>
      </c>
      <c r="V536" s="2"/>
      <c r="W536" s="2">
        <v>5.5</v>
      </c>
      <c r="X536" s="2">
        <v>5.58</v>
      </c>
      <c r="Y536" s="2">
        <v>3.29</v>
      </c>
      <c r="Z536" s="2">
        <v>0</v>
      </c>
      <c r="AA536" s="2">
        <v>0</v>
      </c>
      <c r="AB536" s="2">
        <v>0.99</v>
      </c>
      <c r="AC536" s="3" t="str">
        <f t="shared" si="16"/>
        <v>Loose</v>
      </c>
    </row>
    <row r="537" spans="1:29" x14ac:dyDescent="0.25">
      <c r="A537" s="1" t="s">
        <v>1178</v>
      </c>
      <c r="B537" s="2" t="s">
        <v>29</v>
      </c>
      <c r="C537" s="2"/>
      <c r="D537" s="2"/>
      <c r="E537" s="2" t="s">
        <v>1174</v>
      </c>
      <c r="F537" s="2">
        <v>1</v>
      </c>
      <c r="G537" s="2">
        <v>0.4</v>
      </c>
      <c r="H537" s="2" t="s">
        <v>49</v>
      </c>
      <c r="I537" s="2" t="s">
        <v>32</v>
      </c>
      <c r="J537" s="2" t="s">
        <v>33</v>
      </c>
      <c r="K537" s="2"/>
      <c r="L537" s="2"/>
      <c r="M537" s="2"/>
      <c r="N537" s="2"/>
      <c r="O537" s="2" t="s">
        <v>61</v>
      </c>
      <c r="P537" s="2"/>
      <c r="Q537" s="2"/>
      <c r="R537" s="2">
        <v>947</v>
      </c>
      <c r="S537" s="2">
        <v>378.8</v>
      </c>
      <c r="T537" s="13" t="str">
        <f t="shared" si="17"/>
        <v>PLT2794014A</v>
      </c>
      <c r="U537" s="2" t="s">
        <v>1179</v>
      </c>
      <c r="V537" s="2"/>
      <c r="W537" s="2">
        <v>4.6100000000000003</v>
      </c>
      <c r="X537" s="2">
        <v>4.5599999999999996</v>
      </c>
      <c r="Y537" s="2">
        <v>2.99</v>
      </c>
      <c r="Z537" s="2">
        <v>0</v>
      </c>
      <c r="AA537" s="2">
        <v>0</v>
      </c>
      <c r="AB537" s="2">
        <v>1.01</v>
      </c>
      <c r="AC537" s="3" t="str">
        <f t="shared" si="16"/>
        <v>Loose</v>
      </c>
    </row>
    <row r="538" spans="1:29" x14ac:dyDescent="0.25">
      <c r="A538" s="1" t="s">
        <v>1180</v>
      </c>
      <c r="B538" s="2" t="s">
        <v>29</v>
      </c>
      <c r="C538" s="2"/>
      <c r="D538" s="2"/>
      <c r="E538" s="2" t="s">
        <v>1174</v>
      </c>
      <c r="F538" s="2">
        <v>1</v>
      </c>
      <c r="G538" s="2">
        <v>0.21</v>
      </c>
      <c r="H538" s="2" t="s">
        <v>38</v>
      </c>
      <c r="I538" s="2" t="s">
        <v>32</v>
      </c>
      <c r="J538" s="2" t="s">
        <v>33</v>
      </c>
      <c r="K538" s="2"/>
      <c r="L538" s="2"/>
      <c r="M538" s="2"/>
      <c r="N538" s="2"/>
      <c r="O538" s="2" t="s">
        <v>34</v>
      </c>
      <c r="P538" s="2"/>
      <c r="Q538" s="2"/>
      <c r="R538" s="2">
        <v>1000</v>
      </c>
      <c r="S538" s="2">
        <v>210</v>
      </c>
      <c r="T538" s="13" t="str">
        <f t="shared" si="17"/>
        <v>LILK211</v>
      </c>
      <c r="U538" s="2" t="s">
        <v>1181</v>
      </c>
      <c r="V538" s="2"/>
      <c r="W538" s="2">
        <v>3.81</v>
      </c>
      <c r="X538" s="2">
        <v>3.83</v>
      </c>
      <c r="Y538" s="2">
        <v>2.31</v>
      </c>
      <c r="Z538" s="2">
        <v>0</v>
      </c>
      <c r="AA538" s="2">
        <v>0</v>
      </c>
      <c r="AB538" s="2">
        <v>0.99</v>
      </c>
      <c r="AC538" s="3" t="str">
        <f t="shared" si="16"/>
        <v>Loose</v>
      </c>
    </row>
    <row r="539" spans="1:29" x14ac:dyDescent="0.25">
      <c r="A539" s="1" t="s">
        <v>1182</v>
      </c>
      <c r="B539" s="2" t="s">
        <v>29</v>
      </c>
      <c r="C539" s="2"/>
      <c r="D539" s="2"/>
      <c r="E539" s="2" t="s">
        <v>1174</v>
      </c>
      <c r="F539" s="2">
        <v>1</v>
      </c>
      <c r="G539" s="2">
        <v>0.68</v>
      </c>
      <c r="H539" s="2" t="s">
        <v>49</v>
      </c>
      <c r="I539" s="2" t="s">
        <v>1183</v>
      </c>
      <c r="J539" s="2" t="s">
        <v>69</v>
      </c>
      <c r="K539" s="2"/>
      <c r="L539" s="2"/>
      <c r="M539" s="2"/>
      <c r="N539" s="2"/>
      <c r="O539" s="2" t="s">
        <v>34</v>
      </c>
      <c r="P539" s="2"/>
      <c r="Q539" s="2"/>
      <c r="R539" s="2">
        <v>32</v>
      </c>
      <c r="S539" s="2">
        <v>21.76</v>
      </c>
      <c r="T539" s="13" t="str">
        <f t="shared" si="17"/>
        <v>RND068</v>
      </c>
      <c r="U539" s="2" t="s">
        <v>1184</v>
      </c>
      <c r="V539" s="2"/>
      <c r="W539" s="2">
        <v>5.23</v>
      </c>
      <c r="X539" s="2">
        <v>5.3</v>
      </c>
      <c r="Y539" s="2">
        <v>3.66</v>
      </c>
      <c r="Z539" s="2">
        <v>0</v>
      </c>
      <c r="AA539" s="2">
        <v>0</v>
      </c>
      <c r="AB539" s="2">
        <v>0.99</v>
      </c>
      <c r="AC539" s="3" t="str">
        <f t="shared" si="16"/>
        <v>Loose</v>
      </c>
    </row>
    <row r="540" spans="1:29" x14ac:dyDescent="0.25">
      <c r="A540" s="1" t="s">
        <v>1185</v>
      </c>
      <c r="B540" s="2" t="s">
        <v>29</v>
      </c>
      <c r="C540" s="2"/>
      <c r="D540" s="2"/>
      <c r="E540" s="2" t="s">
        <v>1174</v>
      </c>
      <c r="F540" s="2">
        <v>1</v>
      </c>
      <c r="G540" s="2">
        <v>0.21</v>
      </c>
      <c r="H540" s="2" t="s">
        <v>73</v>
      </c>
      <c r="I540" s="2" t="s">
        <v>50</v>
      </c>
      <c r="J540" s="2" t="s">
        <v>33</v>
      </c>
      <c r="K540" s="2"/>
      <c r="L540" s="2"/>
      <c r="M540" s="2"/>
      <c r="N540" s="2"/>
      <c r="O540" s="2" t="s">
        <v>34</v>
      </c>
      <c r="P540" s="2"/>
      <c r="Q540" s="2"/>
      <c r="R540" s="2">
        <v>500</v>
      </c>
      <c r="S540" s="2">
        <v>105</v>
      </c>
      <c r="T540" s="13" t="str">
        <f t="shared" si="17"/>
        <v>RND022</v>
      </c>
      <c r="U540" s="2" t="s">
        <v>1186</v>
      </c>
      <c r="V540" s="2"/>
      <c r="W540" s="2">
        <v>3.84</v>
      </c>
      <c r="X540" s="2">
        <v>2.36</v>
      </c>
      <c r="Y540" s="2">
        <v>3.8</v>
      </c>
      <c r="Z540" s="2">
        <v>0</v>
      </c>
      <c r="AA540" s="2">
        <v>0</v>
      </c>
      <c r="AB540" s="2">
        <v>1.63</v>
      </c>
      <c r="AC540" s="3" t="str">
        <f t="shared" si="16"/>
        <v>Loose</v>
      </c>
    </row>
    <row r="541" spans="1:29" x14ac:dyDescent="0.25">
      <c r="A541" s="1" t="s">
        <v>1187</v>
      </c>
      <c r="B541" s="2" t="s">
        <v>29</v>
      </c>
      <c r="C541" s="2"/>
      <c r="D541" s="2"/>
      <c r="E541" s="2" t="s">
        <v>1174</v>
      </c>
      <c r="F541" s="2">
        <v>1</v>
      </c>
      <c r="G541" s="2">
        <v>0.19</v>
      </c>
      <c r="H541" s="2" t="s">
        <v>31</v>
      </c>
      <c r="I541" s="2" t="s">
        <v>57</v>
      </c>
      <c r="J541" s="2" t="s">
        <v>33</v>
      </c>
      <c r="K541" s="2"/>
      <c r="L541" s="2"/>
      <c r="M541" s="2"/>
      <c r="N541" s="2"/>
      <c r="O541" s="2" t="s">
        <v>34</v>
      </c>
      <c r="P541" s="2"/>
      <c r="Q541" s="2"/>
      <c r="R541" s="2">
        <v>846</v>
      </c>
      <c r="S541" s="2">
        <v>160.74</v>
      </c>
      <c r="T541" s="13" t="str">
        <f t="shared" si="17"/>
        <v>RND1015</v>
      </c>
      <c r="U541" s="2" t="s">
        <v>1188</v>
      </c>
      <c r="V541" s="2"/>
      <c r="W541" s="2">
        <v>3.61</v>
      </c>
      <c r="X541" s="2">
        <v>2.35</v>
      </c>
      <c r="Y541" s="2">
        <v>3.58</v>
      </c>
      <c r="Z541" s="2">
        <v>0</v>
      </c>
      <c r="AA541" s="2">
        <v>0</v>
      </c>
      <c r="AB541" s="2">
        <v>1.54</v>
      </c>
      <c r="AC541" s="3" t="str">
        <f t="shared" si="16"/>
        <v>Loose</v>
      </c>
    </row>
    <row r="542" spans="1:29" x14ac:dyDescent="0.25">
      <c r="A542" s="1" t="s">
        <v>1189</v>
      </c>
      <c r="B542" s="2" t="s">
        <v>29</v>
      </c>
      <c r="C542" s="2"/>
      <c r="D542" s="2"/>
      <c r="E542" s="2" t="s">
        <v>1174</v>
      </c>
      <c r="F542" s="2">
        <v>1</v>
      </c>
      <c r="G542" s="2">
        <v>0.1</v>
      </c>
      <c r="H542" s="2" t="s">
        <v>38</v>
      </c>
      <c r="I542" s="2" t="s">
        <v>57</v>
      </c>
      <c r="J542" s="2" t="s">
        <v>33</v>
      </c>
      <c r="K542" s="2"/>
      <c r="L542" s="2"/>
      <c r="M542" s="2"/>
      <c r="N542" s="2"/>
      <c r="O542" s="2" t="s">
        <v>34</v>
      </c>
      <c r="P542" s="2"/>
      <c r="Q542" s="2"/>
      <c r="R542" s="2">
        <v>600</v>
      </c>
      <c r="S542" s="2">
        <v>60</v>
      </c>
      <c r="T542" s="13" t="str">
        <f t="shared" si="17"/>
        <v>RND1016</v>
      </c>
      <c r="U542" s="2" t="s">
        <v>1190</v>
      </c>
      <c r="V542" s="2"/>
      <c r="W542" s="2">
        <v>2.9</v>
      </c>
      <c r="X542" s="2">
        <v>2.98</v>
      </c>
      <c r="Y542" s="2">
        <v>1.83</v>
      </c>
      <c r="Z542" s="2">
        <v>0</v>
      </c>
      <c r="AA542" s="2">
        <v>0</v>
      </c>
      <c r="AB542" s="2">
        <v>0.97</v>
      </c>
      <c r="AC542" s="3" t="str">
        <f t="shared" si="16"/>
        <v>Loose</v>
      </c>
    </row>
    <row r="543" spans="1:29" x14ac:dyDescent="0.25">
      <c r="A543" s="1" t="s">
        <v>1191</v>
      </c>
      <c r="B543" s="2" t="s">
        <v>29</v>
      </c>
      <c r="C543" s="2"/>
      <c r="D543" s="2"/>
      <c r="E543" s="2" t="s">
        <v>1174</v>
      </c>
      <c r="F543" s="2">
        <v>1</v>
      </c>
      <c r="G543" s="2">
        <v>0.22</v>
      </c>
      <c r="H543" s="2" t="s">
        <v>43</v>
      </c>
      <c r="I543" s="2" t="s">
        <v>151</v>
      </c>
      <c r="J543" s="2" t="s">
        <v>69</v>
      </c>
      <c r="K543" s="2"/>
      <c r="L543" s="2"/>
      <c r="M543" s="2"/>
      <c r="N543" s="2"/>
      <c r="O543" s="2" t="s">
        <v>34</v>
      </c>
      <c r="P543" s="2"/>
      <c r="Q543" s="2"/>
      <c r="R543" s="2">
        <v>804</v>
      </c>
      <c r="S543" s="2">
        <v>176.88</v>
      </c>
      <c r="T543" s="13" t="str">
        <f t="shared" si="17"/>
        <v>RND1018</v>
      </c>
      <c r="U543" s="2" t="s">
        <v>1192</v>
      </c>
      <c r="V543" s="2"/>
      <c r="W543" s="2">
        <v>3.86</v>
      </c>
      <c r="X543" s="2">
        <v>2.23</v>
      </c>
      <c r="Y543" s="2">
        <v>3.83</v>
      </c>
      <c r="Z543" s="2">
        <v>0</v>
      </c>
      <c r="AA543" s="2">
        <v>0</v>
      </c>
      <c r="AB543" s="2">
        <v>1.73</v>
      </c>
      <c r="AC543" s="3" t="str">
        <f t="shared" si="16"/>
        <v>Loose</v>
      </c>
    </row>
    <row r="544" spans="1:29" x14ac:dyDescent="0.25">
      <c r="A544" s="1" t="s">
        <v>1193</v>
      </c>
      <c r="B544" s="2" t="s">
        <v>37</v>
      </c>
      <c r="C544" s="2"/>
      <c r="D544" s="2"/>
      <c r="E544" s="2" t="s">
        <v>1174</v>
      </c>
      <c r="F544" s="2">
        <v>1</v>
      </c>
      <c r="G544" s="2">
        <v>0.14000000000000001</v>
      </c>
      <c r="H544" s="2" t="s">
        <v>49</v>
      </c>
      <c r="I544" s="2" t="s">
        <v>50</v>
      </c>
      <c r="J544" s="2" t="s">
        <v>33</v>
      </c>
      <c r="K544" s="2"/>
      <c r="L544" s="2"/>
      <c r="M544" s="2"/>
      <c r="N544" s="2"/>
      <c r="O544" s="2" t="s">
        <v>34</v>
      </c>
      <c r="P544" s="2"/>
      <c r="Q544" s="2"/>
      <c r="R544" s="2">
        <v>602</v>
      </c>
      <c r="S544" s="2">
        <v>84.28</v>
      </c>
      <c r="T544" s="13" t="str">
        <f t="shared" si="17"/>
        <v>RND0014</v>
      </c>
      <c r="U544" s="2" t="s">
        <v>1194</v>
      </c>
      <c r="V544" s="2"/>
      <c r="W544" s="2">
        <v>3.44</v>
      </c>
      <c r="X544" s="2">
        <v>3.49</v>
      </c>
      <c r="Y544" s="2">
        <v>1.98</v>
      </c>
      <c r="Z544" s="2">
        <v>0</v>
      </c>
      <c r="AA544" s="2">
        <v>0</v>
      </c>
      <c r="AB544" s="2">
        <v>0.99</v>
      </c>
      <c r="AC544" s="3" t="str">
        <f t="shared" si="16"/>
        <v>Loose</v>
      </c>
    </row>
    <row r="545" spans="1:29" x14ac:dyDescent="0.25">
      <c r="A545" s="1" t="s">
        <v>1195</v>
      </c>
      <c r="B545" s="2" t="s">
        <v>29</v>
      </c>
      <c r="C545" s="2"/>
      <c r="D545" s="2"/>
      <c r="E545" s="2" t="s">
        <v>1174</v>
      </c>
      <c r="F545" s="2">
        <v>1</v>
      </c>
      <c r="G545" s="2">
        <v>0.16</v>
      </c>
      <c r="H545" s="2" t="s">
        <v>396</v>
      </c>
      <c r="I545" s="2" t="s">
        <v>50</v>
      </c>
      <c r="J545" s="2" t="s">
        <v>33</v>
      </c>
      <c r="K545" s="2"/>
      <c r="L545" s="2"/>
      <c r="M545" s="2"/>
      <c r="N545" s="2"/>
      <c r="O545" s="2"/>
      <c r="P545" s="2"/>
      <c r="Q545" s="2"/>
      <c r="R545" s="2">
        <v>600</v>
      </c>
      <c r="S545" s="2">
        <v>96</v>
      </c>
      <c r="T545" s="13" t="str">
        <f t="shared" si="17"/>
        <v>RND028</v>
      </c>
      <c r="U545" s="2" t="s">
        <v>1196</v>
      </c>
      <c r="V545" s="2"/>
      <c r="W545" s="2">
        <v>3.57</v>
      </c>
      <c r="X545" s="2">
        <v>3.62</v>
      </c>
      <c r="Y545" s="2">
        <v>1.95</v>
      </c>
      <c r="Z545" s="2">
        <v>0</v>
      </c>
      <c r="AA545" s="2">
        <v>0</v>
      </c>
      <c r="AB545" s="2">
        <v>0.99</v>
      </c>
      <c r="AC545" s="3" t="str">
        <f t="shared" si="16"/>
        <v>Loose</v>
      </c>
    </row>
    <row r="546" spans="1:29" x14ac:dyDescent="0.25">
      <c r="A546" s="1" t="s">
        <v>1197</v>
      </c>
      <c r="B546" s="2" t="s">
        <v>29</v>
      </c>
      <c r="C546" s="2"/>
      <c r="D546" s="2"/>
      <c r="E546" s="2" t="s">
        <v>1174</v>
      </c>
      <c r="F546" s="2">
        <v>1</v>
      </c>
      <c r="G546" s="2">
        <v>0.25</v>
      </c>
      <c r="H546" s="2" t="s">
        <v>43</v>
      </c>
      <c r="I546" s="2" t="s">
        <v>57</v>
      </c>
      <c r="J546" s="2" t="s">
        <v>33</v>
      </c>
      <c r="K546" s="2"/>
      <c r="L546" s="2"/>
      <c r="M546" s="2"/>
      <c r="N546" s="2"/>
      <c r="O546" s="2" t="s">
        <v>34</v>
      </c>
      <c r="P546" s="2"/>
      <c r="Q546" s="2"/>
      <c r="R546" s="2">
        <v>600</v>
      </c>
      <c r="S546" s="2">
        <v>150</v>
      </c>
      <c r="T546" s="13" t="str">
        <f t="shared" si="17"/>
        <v>RND1028</v>
      </c>
      <c r="U546" s="2" t="s">
        <v>1198</v>
      </c>
      <c r="V546" s="2"/>
      <c r="W546" s="2">
        <v>3.9</v>
      </c>
      <c r="X546" s="2">
        <v>4.01</v>
      </c>
      <c r="Y546" s="2">
        <v>2.58</v>
      </c>
      <c r="Z546" s="2">
        <v>0</v>
      </c>
      <c r="AA546" s="2">
        <v>0</v>
      </c>
      <c r="AB546" s="2">
        <v>0.97</v>
      </c>
      <c r="AC546" s="3" t="str">
        <f t="shared" si="16"/>
        <v>Loose</v>
      </c>
    </row>
    <row r="547" spans="1:29" x14ac:dyDescent="0.25">
      <c r="A547" s="1" t="s">
        <v>1199</v>
      </c>
      <c r="B547" s="2" t="s">
        <v>29</v>
      </c>
      <c r="C547" s="2"/>
      <c r="D547" s="2"/>
      <c r="E547" s="2" t="s">
        <v>1174</v>
      </c>
      <c r="F547" s="2">
        <v>1</v>
      </c>
      <c r="G547" s="2">
        <v>0.1</v>
      </c>
      <c r="H547" s="2" t="s">
        <v>38</v>
      </c>
      <c r="I547" s="2" t="s">
        <v>175</v>
      </c>
      <c r="J547" s="2" t="s">
        <v>69</v>
      </c>
      <c r="K547" s="2"/>
      <c r="L547" s="2"/>
      <c r="M547" s="2"/>
      <c r="N547" s="2"/>
      <c r="O547" s="2" t="s">
        <v>34</v>
      </c>
      <c r="P547" s="2"/>
      <c r="Q547" s="2"/>
      <c r="R547" s="2">
        <v>400</v>
      </c>
      <c r="S547" s="2">
        <v>40</v>
      </c>
      <c r="T547" s="13" t="str">
        <f t="shared" si="17"/>
        <v>RND1029</v>
      </c>
      <c r="U547" s="2" t="s">
        <v>1200</v>
      </c>
      <c r="V547" s="2"/>
      <c r="W547" s="2">
        <v>2.98</v>
      </c>
      <c r="X547" s="2">
        <v>3.06</v>
      </c>
      <c r="Y547" s="2">
        <v>1.79</v>
      </c>
      <c r="Z547" s="2">
        <v>0</v>
      </c>
      <c r="AA547" s="2">
        <v>0</v>
      </c>
      <c r="AB547" s="2">
        <v>0.97</v>
      </c>
      <c r="AC547" s="3" t="str">
        <f t="shared" si="16"/>
        <v>Loose</v>
      </c>
    </row>
    <row r="548" spans="1:29" x14ac:dyDescent="0.25">
      <c r="A548" s="1" t="s">
        <v>1201</v>
      </c>
      <c r="B548" s="2" t="s">
        <v>29</v>
      </c>
      <c r="C548" s="2"/>
      <c r="D548" s="2"/>
      <c r="E548" s="2" t="s">
        <v>1174</v>
      </c>
      <c r="F548" s="2">
        <v>1</v>
      </c>
      <c r="G548" s="2">
        <v>0.11</v>
      </c>
      <c r="H548" s="2" t="s">
        <v>396</v>
      </c>
      <c r="I548" s="2" t="s">
        <v>53</v>
      </c>
      <c r="J548" s="2" t="s">
        <v>33</v>
      </c>
      <c r="K548" s="2"/>
      <c r="L548" s="2"/>
      <c r="M548" s="2"/>
      <c r="N548" s="2"/>
      <c r="O548" s="2" t="s">
        <v>34</v>
      </c>
      <c r="P548" s="2"/>
      <c r="Q548" s="2"/>
      <c r="R548" s="2">
        <v>500</v>
      </c>
      <c r="S548" s="2">
        <v>55</v>
      </c>
      <c r="T548" s="13" t="str">
        <f t="shared" si="17"/>
        <v>RND1030</v>
      </c>
      <c r="U548" s="2" t="s">
        <v>1202</v>
      </c>
      <c r="V548" s="2"/>
      <c r="W548" s="2">
        <v>3.07</v>
      </c>
      <c r="X548" s="2">
        <v>3.14</v>
      </c>
      <c r="Y548" s="2">
        <v>1.74</v>
      </c>
      <c r="Z548" s="2">
        <v>0</v>
      </c>
      <c r="AA548" s="2">
        <v>0</v>
      </c>
      <c r="AB548" s="2">
        <v>0.98</v>
      </c>
      <c r="AC548" s="3" t="str">
        <f t="shared" si="16"/>
        <v>Loose</v>
      </c>
    </row>
    <row r="549" spans="1:29" x14ac:dyDescent="0.25">
      <c r="A549" s="1" t="s">
        <v>1203</v>
      </c>
      <c r="B549" s="2" t="s">
        <v>29</v>
      </c>
      <c r="C549" s="2"/>
      <c r="D549" s="2"/>
      <c r="E549" s="2" t="s">
        <v>1204</v>
      </c>
      <c r="F549" s="2">
        <v>1</v>
      </c>
      <c r="G549" s="2">
        <v>0.92</v>
      </c>
      <c r="H549" s="2" t="s">
        <v>396</v>
      </c>
      <c r="I549" s="2" t="s">
        <v>50</v>
      </c>
      <c r="J549" s="2" t="s">
        <v>33</v>
      </c>
      <c r="K549" s="2" t="s">
        <v>1205</v>
      </c>
      <c r="L549" s="2" t="s">
        <v>1122</v>
      </c>
      <c r="M549" s="2" t="s">
        <v>1122</v>
      </c>
      <c r="N549" s="2" t="s">
        <v>421</v>
      </c>
      <c r="O549" s="2" t="s">
        <v>34</v>
      </c>
      <c r="P549" s="2"/>
      <c r="Q549" s="2">
        <v>2141508867</v>
      </c>
      <c r="R549" s="2">
        <v>2240</v>
      </c>
      <c r="S549" s="2">
        <v>2060.8000000000002</v>
      </c>
      <c r="T549" s="13" t="str">
        <f t="shared" si="17"/>
        <v>PLT565BA</v>
      </c>
      <c r="U549" s="2" t="s">
        <v>1206</v>
      </c>
      <c r="V549" s="2"/>
      <c r="W549" s="2">
        <v>6.33</v>
      </c>
      <c r="X549" s="2">
        <v>6.39</v>
      </c>
      <c r="Y549" s="2">
        <v>3.79</v>
      </c>
      <c r="Z549" s="2">
        <v>59.6</v>
      </c>
      <c r="AA549" s="2">
        <v>57</v>
      </c>
      <c r="AB549" s="2">
        <v>0.99</v>
      </c>
      <c r="AC549" s="3" t="str">
        <f t="shared" si="16"/>
        <v>Loose</v>
      </c>
    </row>
    <row r="550" spans="1:29" x14ac:dyDescent="0.25">
      <c r="A550" s="1" t="s">
        <v>1207</v>
      </c>
      <c r="B550" s="2" t="s">
        <v>29</v>
      </c>
      <c r="C550" s="2"/>
      <c r="D550" s="2"/>
      <c r="E550" s="2" t="s">
        <v>1204</v>
      </c>
      <c r="F550" s="2">
        <v>1</v>
      </c>
      <c r="G550" s="2">
        <v>0.34</v>
      </c>
      <c r="H550" s="2" t="s">
        <v>43</v>
      </c>
      <c r="I550" s="2" t="s">
        <v>50</v>
      </c>
      <c r="J550" s="2" t="s">
        <v>33</v>
      </c>
      <c r="K550" s="2" t="s">
        <v>450</v>
      </c>
      <c r="L550" s="2" t="s">
        <v>450</v>
      </c>
      <c r="M550" s="2" t="s">
        <v>450</v>
      </c>
      <c r="N550" s="2" t="s">
        <v>421</v>
      </c>
      <c r="O550" s="2" t="s">
        <v>34</v>
      </c>
      <c r="P550" s="2"/>
      <c r="Q550" s="2">
        <v>6232445756</v>
      </c>
      <c r="R550" s="2">
        <v>1500</v>
      </c>
      <c r="S550" s="2">
        <v>510</v>
      </c>
      <c r="T550" s="13" t="str">
        <f t="shared" si="17"/>
        <v>MRB018AAA</v>
      </c>
      <c r="U550" s="2" t="s">
        <v>1208</v>
      </c>
      <c r="V550" s="2"/>
      <c r="W550" s="2">
        <v>4.51</v>
      </c>
      <c r="X550" s="2">
        <v>4.53</v>
      </c>
      <c r="Y550" s="2">
        <v>2.77</v>
      </c>
      <c r="Z550" s="2">
        <v>61.4</v>
      </c>
      <c r="AA550" s="2">
        <v>56</v>
      </c>
      <c r="AB550" s="2">
        <v>1</v>
      </c>
      <c r="AC550" s="3" t="str">
        <f t="shared" si="16"/>
        <v>Loose</v>
      </c>
    </row>
    <row r="551" spans="1:29" x14ac:dyDescent="0.25">
      <c r="A551" s="1" t="s">
        <v>1209</v>
      </c>
      <c r="B551" s="2" t="s">
        <v>29</v>
      </c>
      <c r="C551" s="2"/>
      <c r="D551" s="2"/>
      <c r="E551" s="2" t="s">
        <v>1204</v>
      </c>
      <c r="F551" s="2">
        <v>1</v>
      </c>
      <c r="G551" s="2">
        <v>0.3</v>
      </c>
      <c r="H551" s="2" t="s">
        <v>38</v>
      </c>
      <c r="I551" s="2" t="s">
        <v>39</v>
      </c>
      <c r="J551" s="2" t="s">
        <v>397</v>
      </c>
      <c r="K551" s="2" t="s">
        <v>450</v>
      </c>
      <c r="L551" s="2" t="s">
        <v>450</v>
      </c>
      <c r="M551" s="2" t="s">
        <v>43</v>
      </c>
      <c r="N551" s="2" t="s">
        <v>421</v>
      </c>
      <c r="O551" s="2" t="s">
        <v>34</v>
      </c>
      <c r="P551" s="2"/>
      <c r="Q551" s="2">
        <v>6252208848</v>
      </c>
      <c r="R551" s="2">
        <v>1260</v>
      </c>
      <c r="S551" s="2">
        <v>378</v>
      </c>
      <c r="T551" s="13" t="str">
        <f t="shared" si="17"/>
        <v>SHAY040BAA</v>
      </c>
      <c r="U551" s="2" t="s">
        <v>1210</v>
      </c>
      <c r="V551" s="2"/>
      <c r="W551" s="2">
        <v>4.32</v>
      </c>
      <c r="X551" s="2">
        <v>4.3899999999999997</v>
      </c>
      <c r="Y551" s="2">
        <v>2.6</v>
      </c>
      <c r="Z551" s="2">
        <v>59.8</v>
      </c>
      <c r="AA551" s="2">
        <v>63</v>
      </c>
      <c r="AB551" s="2">
        <v>0.98</v>
      </c>
      <c r="AC551" s="3" t="str">
        <f t="shared" si="16"/>
        <v>Loose</v>
      </c>
    </row>
    <row r="552" spans="1:29" x14ac:dyDescent="0.25">
      <c r="A552" s="1" t="s">
        <v>1211</v>
      </c>
      <c r="B552" s="2" t="s">
        <v>29</v>
      </c>
      <c r="C552" s="2"/>
      <c r="D552" s="2"/>
      <c r="E552" s="2" t="s">
        <v>1204</v>
      </c>
      <c r="F552" s="2">
        <v>1</v>
      </c>
      <c r="G552" s="2">
        <v>0.32</v>
      </c>
      <c r="H552" s="2" t="s">
        <v>137</v>
      </c>
      <c r="I552" s="2" t="s">
        <v>32</v>
      </c>
      <c r="J552" s="2" t="s">
        <v>397</v>
      </c>
      <c r="K552" s="2" t="s">
        <v>43</v>
      </c>
      <c r="L552" s="2" t="s">
        <v>450</v>
      </c>
      <c r="M552" s="2" t="s">
        <v>43</v>
      </c>
      <c r="N552" s="2" t="s">
        <v>421</v>
      </c>
      <c r="O552" s="2" t="s">
        <v>34</v>
      </c>
      <c r="P552" s="2"/>
      <c r="Q552" s="2">
        <v>1255208943</v>
      </c>
      <c r="R552" s="2">
        <v>910</v>
      </c>
      <c r="S552" s="2">
        <v>291.2</v>
      </c>
      <c r="T552" s="13" t="str">
        <f t="shared" si="17"/>
        <v>PLT1045005AAA</v>
      </c>
      <c r="U552" s="2" t="s">
        <v>1212</v>
      </c>
      <c r="V552" s="2"/>
      <c r="W552" s="2">
        <v>4.32</v>
      </c>
      <c r="X552" s="2">
        <v>4.3899999999999997</v>
      </c>
      <c r="Y552" s="2">
        <v>2.66</v>
      </c>
      <c r="Z552" s="2">
        <v>61.2</v>
      </c>
      <c r="AA552" s="2">
        <v>61</v>
      </c>
      <c r="AB552" s="2">
        <v>0.98</v>
      </c>
      <c r="AC552" s="3" t="str">
        <f t="shared" si="16"/>
        <v>Loose</v>
      </c>
    </row>
    <row r="553" spans="1:29" x14ac:dyDescent="0.25">
      <c r="A553" s="1" t="s">
        <v>1213</v>
      </c>
      <c r="B553" s="2" t="s">
        <v>37</v>
      </c>
      <c r="C553" s="2"/>
      <c r="D553" s="2"/>
      <c r="E553" s="2" t="s">
        <v>1204</v>
      </c>
      <c r="F553" s="2">
        <v>1</v>
      </c>
      <c r="G553" s="2">
        <v>0.42</v>
      </c>
      <c r="H553" s="2" t="s">
        <v>76</v>
      </c>
      <c r="I553" s="2" t="s">
        <v>610</v>
      </c>
      <c r="J553" s="2" t="s">
        <v>69</v>
      </c>
      <c r="K553" s="2" t="s">
        <v>1205</v>
      </c>
      <c r="L553" s="2" t="s">
        <v>450</v>
      </c>
      <c r="M553" s="2" t="s">
        <v>450</v>
      </c>
      <c r="N553" s="2" t="s">
        <v>421</v>
      </c>
      <c r="O553" s="2" t="s">
        <v>34</v>
      </c>
      <c r="P553" s="2"/>
      <c r="Q553" s="2">
        <v>2185036081</v>
      </c>
      <c r="R553" s="2">
        <v>700</v>
      </c>
      <c r="S553" s="2">
        <v>294</v>
      </c>
      <c r="T553" s="13" t="str">
        <f t="shared" si="17"/>
        <v>RND042</v>
      </c>
      <c r="U553" s="2" t="s">
        <v>1214</v>
      </c>
      <c r="V553" s="2"/>
      <c r="W553" s="2">
        <v>4.8099999999999996</v>
      </c>
      <c r="X553" s="2">
        <v>4.8499999999999996</v>
      </c>
      <c r="Y553" s="2">
        <v>2.95</v>
      </c>
      <c r="Z553" s="2">
        <v>61.1</v>
      </c>
      <c r="AA553" s="2">
        <v>59</v>
      </c>
      <c r="AB553" s="2">
        <v>0.99</v>
      </c>
      <c r="AC553" s="3" t="str">
        <f t="shared" si="16"/>
        <v>Loose</v>
      </c>
    </row>
    <row r="554" spans="1:29" x14ac:dyDescent="0.25">
      <c r="A554" s="1" t="s">
        <v>1215</v>
      </c>
      <c r="B554" s="2" t="s">
        <v>29</v>
      </c>
      <c r="C554" s="2"/>
      <c r="D554" s="2"/>
      <c r="E554" s="2" t="s">
        <v>1204</v>
      </c>
      <c r="F554" s="2">
        <v>1</v>
      </c>
      <c r="G554" s="2">
        <v>0.25</v>
      </c>
      <c r="H554" s="2" t="s">
        <v>137</v>
      </c>
      <c r="I554" s="2" t="s">
        <v>39</v>
      </c>
      <c r="J554" s="2" t="s">
        <v>397</v>
      </c>
      <c r="K554" s="2" t="s">
        <v>1205</v>
      </c>
      <c r="L554" s="2" t="s">
        <v>1205</v>
      </c>
      <c r="M554" s="2" t="s">
        <v>1205</v>
      </c>
      <c r="N554" s="2" t="s">
        <v>421</v>
      </c>
      <c r="O554" s="2" t="s">
        <v>34</v>
      </c>
      <c r="P554" s="2"/>
      <c r="Q554" s="2">
        <v>2336921598</v>
      </c>
      <c r="R554" s="2">
        <v>1700</v>
      </c>
      <c r="S554" s="2">
        <v>425</v>
      </c>
      <c r="T554" s="13" t="str">
        <f t="shared" si="17"/>
        <v>LILB029AA</v>
      </c>
      <c r="U554" s="2" t="s">
        <v>1216</v>
      </c>
      <c r="V554" s="2"/>
      <c r="W554" s="2">
        <v>4.03</v>
      </c>
      <c r="X554" s="2">
        <v>4.05</v>
      </c>
      <c r="Y554" s="2">
        <v>2.4900000000000002</v>
      </c>
      <c r="Z554" s="2">
        <v>61.8</v>
      </c>
      <c r="AA554" s="2">
        <v>57</v>
      </c>
      <c r="AB554" s="2">
        <v>1</v>
      </c>
      <c r="AC554" s="3" t="str">
        <f t="shared" si="16"/>
        <v>Loose</v>
      </c>
    </row>
    <row r="555" spans="1:29" x14ac:dyDescent="0.25">
      <c r="A555" s="1" t="s">
        <v>1217</v>
      </c>
      <c r="B555" s="2" t="s">
        <v>37</v>
      </c>
      <c r="C555" s="2"/>
      <c r="D555" s="2"/>
      <c r="E555" s="2" t="s">
        <v>1218</v>
      </c>
      <c r="F555" s="2">
        <v>2</v>
      </c>
      <c r="G555" s="2">
        <v>0.46</v>
      </c>
      <c r="H555" s="2" t="s">
        <v>100</v>
      </c>
      <c r="I555" s="2" t="s">
        <v>50</v>
      </c>
      <c r="J555" s="2" t="s">
        <v>69</v>
      </c>
      <c r="K555" s="2"/>
      <c r="L555" s="2"/>
      <c r="M555" s="2"/>
      <c r="N555" s="2"/>
      <c r="O555" s="2"/>
      <c r="P555" s="2"/>
      <c r="Q555" s="2"/>
      <c r="R555" s="2">
        <v>1100</v>
      </c>
      <c r="S555" s="2">
        <v>506</v>
      </c>
      <c r="T555" s="13" t="str">
        <f t="shared" si="17"/>
        <v>SHLD063Q</v>
      </c>
      <c r="U555" s="2" t="s">
        <v>1219</v>
      </c>
      <c r="V555" s="2"/>
      <c r="W555" s="2">
        <v>5.97</v>
      </c>
      <c r="X555" s="2">
        <v>3.93</v>
      </c>
      <c r="Y555" s="2">
        <v>1.69</v>
      </c>
      <c r="Z555" s="2">
        <v>0</v>
      </c>
      <c r="AA555" s="2">
        <v>0</v>
      </c>
      <c r="AB555" s="2">
        <v>1.52</v>
      </c>
      <c r="AC555" s="3" t="str">
        <f t="shared" si="16"/>
        <v>Pair</v>
      </c>
    </row>
    <row r="556" spans="1:29" x14ac:dyDescent="0.25">
      <c r="A556" s="1" t="s">
        <v>1220</v>
      </c>
      <c r="B556" s="2" t="s">
        <v>29</v>
      </c>
      <c r="C556" s="2"/>
      <c r="D556" s="2"/>
      <c r="E556" s="2" t="s">
        <v>1218</v>
      </c>
      <c r="F556" s="2">
        <v>2</v>
      </c>
      <c r="G556" s="2">
        <v>0.24</v>
      </c>
      <c r="H556" s="2" t="s">
        <v>73</v>
      </c>
      <c r="I556" s="2" t="s">
        <v>53</v>
      </c>
      <c r="J556" s="2" t="s">
        <v>33</v>
      </c>
      <c r="K556" s="2"/>
      <c r="L556" s="2"/>
      <c r="M556" s="2"/>
      <c r="N556" s="2"/>
      <c r="O556" s="2"/>
      <c r="P556" s="2"/>
      <c r="Q556" s="2"/>
      <c r="R556" s="2">
        <v>1100</v>
      </c>
      <c r="S556" s="2">
        <v>264</v>
      </c>
      <c r="T556" s="13" t="str">
        <f t="shared" si="17"/>
        <v>SHLD232</v>
      </c>
      <c r="U556" s="2" t="s">
        <v>1221</v>
      </c>
      <c r="V556" s="2"/>
      <c r="W556" s="2">
        <v>4.1900000000000004</v>
      </c>
      <c r="X556" s="2">
        <v>2.77</v>
      </c>
      <c r="Y556" s="2">
        <v>1.77</v>
      </c>
      <c r="Z556" s="2">
        <v>0</v>
      </c>
      <c r="AA556" s="2">
        <v>0</v>
      </c>
      <c r="AB556" s="2">
        <v>1.51</v>
      </c>
      <c r="AC556" s="3" t="str">
        <f t="shared" si="16"/>
        <v>Pair</v>
      </c>
    </row>
    <row r="557" spans="1:29" x14ac:dyDescent="0.25">
      <c r="A557" s="1" t="s">
        <v>1222</v>
      </c>
      <c r="B557" s="2" t="s">
        <v>29</v>
      </c>
      <c r="C557" s="2"/>
      <c r="D557" s="2"/>
      <c r="E557" s="2" t="s">
        <v>1218</v>
      </c>
      <c r="F557" s="2">
        <v>2</v>
      </c>
      <c r="G557" s="2">
        <v>0.71</v>
      </c>
      <c r="H557" s="2" t="s">
        <v>67</v>
      </c>
      <c r="I557" s="2" t="s">
        <v>32</v>
      </c>
      <c r="J557" s="2" t="s">
        <v>69</v>
      </c>
      <c r="K557" s="2"/>
      <c r="L557" s="2"/>
      <c r="M557" s="2"/>
      <c r="N557" s="2"/>
      <c r="O557" s="2"/>
      <c r="P557" s="2"/>
      <c r="Q557" s="2"/>
      <c r="R557" s="2">
        <v>1100</v>
      </c>
      <c r="S557" s="2">
        <v>781</v>
      </c>
      <c r="T557" s="13" t="str">
        <f t="shared" si="17"/>
        <v>SHLD261N</v>
      </c>
      <c r="U557" s="2" t="s">
        <v>1223</v>
      </c>
      <c r="V557" s="2"/>
      <c r="W557" s="2">
        <v>5.83</v>
      </c>
      <c r="X557" s="2">
        <v>4.75</v>
      </c>
      <c r="Y557" s="2">
        <v>2.31</v>
      </c>
      <c r="Z557" s="2">
        <v>0</v>
      </c>
      <c r="AA557" s="2">
        <v>0</v>
      </c>
      <c r="AB557" s="2">
        <v>1.23</v>
      </c>
      <c r="AC557" s="3" t="str">
        <f t="shared" si="16"/>
        <v>Pair</v>
      </c>
    </row>
    <row r="558" spans="1:29" x14ac:dyDescent="0.25">
      <c r="A558" s="1" t="s">
        <v>1224</v>
      </c>
      <c r="B558" s="2" t="s">
        <v>37</v>
      </c>
      <c r="C558" s="2"/>
      <c r="D558" s="2"/>
      <c r="E558" s="2" t="s">
        <v>1218</v>
      </c>
      <c r="F558" s="2">
        <v>2</v>
      </c>
      <c r="G558" s="2">
        <v>0.62</v>
      </c>
      <c r="H558" s="2" t="s">
        <v>31</v>
      </c>
      <c r="I558" s="2" t="s">
        <v>50</v>
      </c>
      <c r="J558" s="2" t="s">
        <v>33</v>
      </c>
      <c r="K558" s="2"/>
      <c r="L558" s="2"/>
      <c r="M558" s="2"/>
      <c r="N558" s="2"/>
      <c r="O558" s="2" t="s">
        <v>70</v>
      </c>
      <c r="P558" s="2"/>
      <c r="Q558" s="2"/>
      <c r="R558" s="2">
        <v>1160</v>
      </c>
      <c r="S558" s="2">
        <v>719.2</v>
      </c>
      <c r="T558" s="13" t="str">
        <f t="shared" si="17"/>
        <v>SHLD418</v>
      </c>
      <c r="U558" s="2" t="s">
        <v>1225</v>
      </c>
      <c r="V558" s="2"/>
      <c r="W558" s="2">
        <v>4.32</v>
      </c>
      <c r="X558" s="2">
        <v>5.28</v>
      </c>
      <c r="Y558" s="2">
        <v>2.2000000000000002</v>
      </c>
      <c r="Z558" s="2">
        <v>0</v>
      </c>
      <c r="AA558" s="2">
        <v>0</v>
      </c>
      <c r="AB558" s="2">
        <v>0.82</v>
      </c>
      <c r="AC558" s="3" t="str">
        <f t="shared" si="16"/>
        <v>Pair</v>
      </c>
    </row>
    <row r="559" spans="1:29" x14ac:dyDescent="0.25">
      <c r="A559" s="1" t="s">
        <v>1226</v>
      </c>
      <c r="B559" s="2" t="s">
        <v>37</v>
      </c>
      <c r="C559" s="2"/>
      <c r="D559" s="2"/>
      <c r="E559" s="2" t="s">
        <v>1218</v>
      </c>
      <c r="F559" s="2">
        <v>1</v>
      </c>
      <c r="G559" s="2">
        <v>0.51</v>
      </c>
      <c r="H559" s="2" t="s">
        <v>49</v>
      </c>
      <c r="I559" s="2" t="s">
        <v>175</v>
      </c>
      <c r="J559" s="2" t="s">
        <v>69</v>
      </c>
      <c r="K559" s="2"/>
      <c r="L559" s="2"/>
      <c r="M559" s="2"/>
      <c r="N559" s="2"/>
      <c r="O559" s="2" t="s">
        <v>34</v>
      </c>
      <c r="P559" s="2"/>
      <c r="Q559" s="2"/>
      <c r="R559" s="2">
        <v>800</v>
      </c>
      <c r="S559" s="2">
        <v>408</v>
      </c>
      <c r="T559" s="13" t="str">
        <f t="shared" si="17"/>
        <v>SHM076</v>
      </c>
      <c r="U559" s="2" t="s">
        <v>1227</v>
      </c>
      <c r="V559" s="2"/>
      <c r="W559" s="2">
        <v>6.99</v>
      </c>
      <c r="X559" s="2">
        <v>6.44</v>
      </c>
      <c r="Y559" s="2">
        <v>2.0299999999999998</v>
      </c>
      <c r="Z559" s="2">
        <v>0</v>
      </c>
      <c r="AA559" s="2">
        <v>0</v>
      </c>
      <c r="AB559" s="2">
        <v>1.0900000000000001</v>
      </c>
      <c r="AC559" s="3" t="str">
        <f t="shared" si="16"/>
        <v>Loose</v>
      </c>
    </row>
    <row r="560" spans="1:29" x14ac:dyDescent="0.25">
      <c r="A560" s="1" t="s">
        <v>1228</v>
      </c>
      <c r="B560" s="2" t="s">
        <v>37</v>
      </c>
      <c r="C560" s="2"/>
      <c r="D560" s="2"/>
      <c r="E560" s="2" t="s">
        <v>1218</v>
      </c>
      <c r="F560" s="2">
        <v>1</v>
      </c>
      <c r="G560" s="2">
        <v>0.28999999999999998</v>
      </c>
      <c r="H560" s="2" t="s">
        <v>76</v>
      </c>
      <c r="I560" s="2" t="s">
        <v>32</v>
      </c>
      <c r="J560" s="2" t="s">
        <v>33</v>
      </c>
      <c r="K560" s="2"/>
      <c r="L560" s="2"/>
      <c r="M560" s="2"/>
      <c r="N560" s="2"/>
      <c r="O560" s="2" t="s">
        <v>70</v>
      </c>
      <c r="P560" s="2"/>
      <c r="Q560" s="2"/>
      <c r="R560" s="2">
        <v>1000</v>
      </c>
      <c r="S560" s="2">
        <v>290</v>
      </c>
      <c r="T560" s="13" t="str">
        <f t="shared" si="17"/>
        <v>MTH8114</v>
      </c>
      <c r="U560" s="2" t="s">
        <v>1229</v>
      </c>
      <c r="V560" s="2"/>
      <c r="W560" s="2">
        <v>4.95</v>
      </c>
      <c r="X560" s="2">
        <v>4.01</v>
      </c>
      <c r="Y560" s="2">
        <v>2.5</v>
      </c>
      <c r="Z560" s="2">
        <v>0</v>
      </c>
      <c r="AA560" s="2">
        <v>0</v>
      </c>
      <c r="AB560" s="2">
        <v>1.23</v>
      </c>
      <c r="AC560" s="3" t="str">
        <f t="shared" si="16"/>
        <v>Loose</v>
      </c>
    </row>
    <row r="561" spans="1:29" x14ac:dyDescent="0.25">
      <c r="A561" s="1" t="s">
        <v>1230</v>
      </c>
      <c r="B561" s="2" t="s">
        <v>37</v>
      </c>
      <c r="C561" s="2"/>
      <c r="D561" s="2"/>
      <c r="E561" s="2" t="s">
        <v>1218</v>
      </c>
      <c r="F561" s="2">
        <v>1</v>
      </c>
      <c r="G561" s="2">
        <v>0.28999999999999998</v>
      </c>
      <c r="H561" s="2" t="s">
        <v>73</v>
      </c>
      <c r="I561" s="2" t="s">
        <v>175</v>
      </c>
      <c r="J561" s="2" t="s">
        <v>69</v>
      </c>
      <c r="K561" s="2"/>
      <c r="L561" s="2"/>
      <c r="M561" s="2"/>
      <c r="N561" s="2"/>
      <c r="O561" s="2" t="s">
        <v>61</v>
      </c>
      <c r="P561" s="2"/>
      <c r="Q561" s="2"/>
      <c r="R561" s="2">
        <v>800</v>
      </c>
      <c r="S561" s="2">
        <v>232</v>
      </c>
      <c r="T561" s="13" t="str">
        <f t="shared" si="17"/>
        <v>MTH8152</v>
      </c>
      <c r="U561" s="2" t="s">
        <v>1231</v>
      </c>
      <c r="V561" s="2"/>
      <c r="W561" s="2">
        <v>5.12</v>
      </c>
      <c r="X561" s="2">
        <v>3.55</v>
      </c>
      <c r="Y561" s="2">
        <v>2.56</v>
      </c>
      <c r="Z561" s="2">
        <v>0</v>
      </c>
      <c r="AA561" s="2">
        <v>0</v>
      </c>
      <c r="AB561" s="2">
        <v>1.44</v>
      </c>
      <c r="AC561" s="3" t="str">
        <f t="shared" si="16"/>
        <v>Loose</v>
      </c>
    </row>
    <row r="562" spans="1:29" x14ac:dyDescent="0.25">
      <c r="A562" s="1" t="s">
        <v>1232</v>
      </c>
      <c r="B562" s="2" t="s">
        <v>29</v>
      </c>
      <c r="C562" s="2"/>
      <c r="D562" s="2"/>
      <c r="E562" s="2" t="s">
        <v>1218</v>
      </c>
      <c r="F562" s="2">
        <v>1</v>
      </c>
      <c r="G562" s="2">
        <v>0.35</v>
      </c>
      <c r="H562" s="2" t="s">
        <v>38</v>
      </c>
      <c r="I562" s="2" t="s">
        <v>151</v>
      </c>
      <c r="J562" s="2" t="s">
        <v>69</v>
      </c>
      <c r="K562" s="2"/>
      <c r="L562" s="2"/>
      <c r="M562" s="2"/>
      <c r="N562" s="2"/>
      <c r="O562" s="2" t="s">
        <v>34</v>
      </c>
      <c r="P562" s="2"/>
      <c r="Q562" s="2"/>
      <c r="R562" s="2">
        <v>900</v>
      </c>
      <c r="S562" s="2">
        <v>315</v>
      </c>
      <c r="T562" s="13" t="str">
        <f t="shared" si="17"/>
        <v>MTH8174</v>
      </c>
      <c r="U562" s="2" t="s">
        <v>1233</v>
      </c>
      <c r="V562" s="2"/>
      <c r="W562" s="2">
        <v>4.51</v>
      </c>
      <c r="X562" s="2">
        <v>5.94</v>
      </c>
      <c r="Y562" s="2">
        <v>2.2400000000000002</v>
      </c>
      <c r="Z562" s="2">
        <v>0</v>
      </c>
      <c r="AA562" s="2">
        <v>0</v>
      </c>
      <c r="AB562" s="2">
        <v>0.76</v>
      </c>
      <c r="AC562" s="3" t="str">
        <f t="shared" si="16"/>
        <v>Loose</v>
      </c>
    </row>
    <row r="563" spans="1:29" x14ac:dyDescent="0.25">
      <c r="A563" s="1" t="s">
        <v>1234</v>
      </c>
      <c r="B563" s="2" t="s">
        <v>29</v>
      </c>
      <c r="C563" s="2"/>
      <c r="D563" s="2"/>
      <c r="E563" s="2" t="s">
        <v>1218</v>
      </c>
      <c r="F563" s="2">
        <v>1</v>
      </c>
      <c r="G563" s="2">
        <v>0.61</v>
      </c>
      <c r="H563" s="2" t="s">
        <v>38</v>
      </c>
      <c r="I563" s="2" t="s">
        <v>50</v>
      </c>
      <c r="J563" s="2" t="s">
        <v>33</v>
      </c>
      <c r="K563" s="2"/>
      <c r="L563" s="2"/>
      <c r="M563" s="2"/>
      <c r="N563" s="2"/>
      <c r="O563" s="2" t="s">
        <v>34</v>
      </c>
      <c r="P563" s="2"/>
      <c r="Q563" s="2"/>
      <c r="R563" s="2">
        <v>2500</v>
      </c>
      <c r="S563" s="2">
        <v>1525</v>
      </c>
      <c r="T563" s="13" t="str">
        <f t="shared" si="17"/>
        <v>ELR015</v>
      </c>
      <c r="U563" s="2" t="s">
        <v>1235</v>
      </c>
      <c r="V563" s="2"/>
      <c r="W563" s="2">
        <v>5.79</v>
      </c>
      <c r="X563" s="2">
        <v>8.18</v>
      </c>
      <c r="Y563" s="2">
        <v>2.25</v>
      </c>
      <c r="Z563" s="2">
        <v>0</v>
      </c>
      <c r="AA563" s="2">
        <v>0</v>
      </c>
      <c r="AB563" s="2">
        <v>0.71</v>
      </c>
      <c r="AC563" s="3" t="str">
        <f t="shared" si="16"/>
        <v>Loose</v>
      </c>
    </row>
    <row r="564" spans="1:29" x14ac:dyDescent="0.25">
      <c r="A564" s="1" t="s">
        <v>1236</v>
      </c>
      <c r="B564" s="2" t="s">
        <v>37</v>
      </c>
      <c r="C564" s="2"/>
      <c r="D564" s="2"/>
      <c r="E564" s="2" t="s">
        <v>1218</v>
      </c>
      <c r="F564" s="2">
        <v>1</v>
      </c>
      <c r="G564" s="2">
        <v>0.39</v>
      </c>
      <c r="H564" s="2" t="s">
        <v>49</v>
      </c>
      <c r="I564" s="2" t="s">
        <v>105</v>
      </c>
      <c r="J564" s="2" t="s">
        <v>69</v>
      </c>
      <c r="K564" s="2"/>
      <c r="L564" s="2"/>
      <c r="M564" s="2"/>
      <c r="N564" s="2"/>
      <c r="O564" s="2" t="s">
        <v>34</v>
      </c>
      <c r="P564" s="2"/>
      <c r="Q564" s="2"/>
      <c r="R564" s="2">
        <v>700</v>
      </c>
      <c r="S564" s="2">
        <v>273</v>
      </c>
      <c r="T564" s="13" t="str">
        <f t="shared" si="17"/>
        <v>ADI015</v>
      </c>
      <c r="U564" s="2" t="s">
        <v>1237</v>
      </c>
      <c r="V564" s="2"/>
      <c r="W564" s="2">
        <v>6.17</v>
      </c>
      <c r="X564" s="2">
        <v>5.36</v>
      </c>
      <c r="Y564" s="2">
        <v>1.84</v>
      </c>
      <c r="Z564" s="2">
        <v>0</v>
      </c>
      <c r="AA564" s="2">
        <v>0</v>
      </c>
      <c r="AB564" s="2">
        <v>1.1499999999999999</v>
      </c>
      <c r="AC564" s="3" t="str">
        <f t="shared" si="16"/>
        <v>Loose</v>
      </c>
    </row>
    <row r="565" spans="1:29" x14ac:dyDescent="0.25">
      <c r="A565" s="1" t="s">
        <v>1238</v>
      </c>
      <c r="B565" s="2" t="s">
        <v>37</v>
      </c>
      <c r="C565" s="2"/>
      <c r="D565" s="2"/>
      <c r="E565" s="2" t="s">
        <v>1239</v>
      </c>
      <c r="F565" s="2">
        <v>2</v>
      </c>
      <c r="G565" s="2">
        <v>1.04</v>
      </c>
      <c r="H565" s="2" t="s">
        <v>76</v>
      </c>
      <c r="I565" s="2" t="s">
        <v>50</v>
      </c>
      <c r="J565" s="2" t="s">
        <v>33</v>
      </c>
      <c r="K565" s="2"/>
      <c r="L565" s="2"/>
      <c r="M565" s="2"/>
      <c r="N565" s="2"/>
      <c r="O565" s="2"/>
      <c r="P565" s="2"/>
      <c r="Q565" s="2"/>
      <c r="R565" s="2">
        <v>1600</v>
      </c>
      <c r="S565" s="2">
        <v>1664</v>
      </c>
      <c r="T565" s="13" t="str">
        <f t="shared" si="17"/>
        <v>SHLDY103</v>
      </c>
      <c r="U565" s="2" t="s">
        <v>1240</v>
      </c>
      <c r="V565" s="2"/>
      <c r="W565" s="2">
        <v>5.29</v>
      </c>
      <c r="X565" s="2">
        <v>5.38</v>
      </c>
      <c r="Y565" s="2">
        <v>2.64</v>
      </c>
      <c r="Z565" s="2">
        <v>0</v>
      </c>
      <c r="AA565" s="2">
        <v>0</v>
      </c>
      <c r="AB565" s="2">
        <v>0.98</v>
      </c>
      <c r="AC565" s="3" t="str">
        <f t="shared" si="16"/>
        <v>Pair</v>
      </c>
    </row>
    <row r="566" spans="1:29" x14ac:dyDescent="0.25">
      <c r="A566" s="1" t="s">
        <v>1241</v>
      </c>
      <c r="B566" s="2" t="s">
        <v>37</v>
      </c>
      <c r="C566" s="2"/>
      <c r="D566" s="2"/>
      <c r="E566" s="2" t="s">
        <v>1239</v>
      </c>
      <c r="F566" s="2">
        <v>2</v>
      </c>
      <c r="G566" s="2">
        <v>1.05</v>
      </c>
      <c r="H566" s="2" t="s">
        <v>67</v>
      </c>
      <c r="I566" s="2" t="s">
        <v>57</v>
      </c>
      <c r="J566" s="2" t="s">
        <v>69</v>
      </c>
      <c r="K566" s="2"/>
      <c r="L566" s="2"/>
      <c r="M566" s="2"/>
      <c r="N566" s="2"/>
      <c r="O566" s="2" t="s">
        <v>70</v>
      </c>
      <c r="P566" s="2"/>
      <c r="Q566" s="2"/>
      <c r="R566" s="2">
        <v>1800</v>
      </c>
      <c r="S566" s="2">
        <v>1890</v>
      </c>
      <c r="T566" s="13" t="str">
        <f t="shared" si="17"/>
        <v>SHLDY104</v>
      </c>
      <c r="U566" s="2" t="s">
        <v>1242</v>
      </c>
      <c r="V566" s="2"/>
      <c r="W566" s="2">
        <v>5.81</v>
      </c>
      <c r="X566" s="2">
        <v>5.69</v>
      </c>
      <c r="Y566" s="2">
        <v>2.74</v>
      </c>
      <c r="Z566" s="2">
        <v>0</v>
      </c>
      <c r="AA566" s="2">
        <v>0</v>
      </c>
      <c r="AB566" s="2">
        <v>1.02</v>
      </c>
      <c r="AC566" s="3" t="str">
        <f t="shared" si="16"/>
        <v>Pair</v>
      </c>
    </row>
    <row r="567" spans="1:29" x14ac:dyDescent="0.25">
      <c r="A567" s="1" t="s">
        <v>1243</v>
      </c>
      <c r="B567" s="2" t="s">
        <v>29</v>
      </c>
      <c r="C567" s="2"/>
      <c r="D567" s="2"/>
      <c r="E567" s="2" t="s">
        <v>1218</v>
      </c>
      <c r="F567" s="2">
        <v>1</v>
      </c>
      <c r="G567" s="2">
        <v>0.46</v>
      </c>
      <c r="H567" s="2" t="s">
        <v>73</v>
      </c>
      <c r="I567" s="2" t="s">
        <v>32</v>
      </c>
      <c r="J567" s="2" t="s">
        <v>33</v>
      </c>
      <c r="K567" s="2"/>
      <c r="L567" s="2"/>
      <c r="M567" s="2"/>
      <c r="N567" s="2"/>
      <c r="O567" s="2" t="s">
        <v>34</v>
      </c>
      <c r="P567" s="2"/>
      <c r="Q567" s="2"/>
      <c r="R567" s="2">
        <v>1700</v>
      </c>
      <c r="S567" s="2">
        <v>782</v>
      </c>
      <c r="T567" s="13" t="str">
        <f t="shared" si="17"/>
        <v>SHAY103</v>
      </c>
      <c r="U567" s="2" t="s">
        <v>1244</v>
      </c>
      <c r="V567" s="2"/>
      <c r="W567" s="2">
        <v>6.26</v>
      </c>
      <c r="X567" s="2">
        <v>5.62</v>
      </c>
      <c r="Y567" s="2">
        <v>2.04</v>
      </c>
      <c r="Z567" s="2">
        <v>0</v>
      </c>
      <c r="AA567" s="2">
        <v>0</v>
      </c>
      <c r="AB567" s="2">
        <v>1.1100000000000001</v>
      </c>
      <c r="AC567" s="3" t="str">
        <f t="shared" si="16"/>
        <v>Loose</v>
      </c>
    </row>
    <row r="568" spans="1:29" x14ac:dyDescent="0.25">
      <c r="A568" s="1" t="s">
        <v>1245</v>
      </c>
      <c r="B568" s="2" t="s">
        <v>37</v>
      </c>
      <c r="C568" s="2"/>
      <c r="D568" s="2"/>
      <c r="E568" s="2" t="s">
        <v>1218</v>
      </c>
      <c r="F568" s="2">
        <v>1</v>
      </c>
      <c r="G568" s="2">
        <v>0.31</v>
      </c>
      <c r="H568" s="2" t="s">
        <v>108</v>
      </c>
      <c r="I568" s="2" t="s">
        <v>68</v>
      </c>
      <c r="J568" s="2" t="s">
        <v>69</v>
      </c>
      <c r="K568" s="2"/>
      <c r="L568" s="2"/>
      <c r="M568" s="2"/>
      <c r="N568" s="2"/>
      <c r="O568" s="2" t="s">
        <v>34</v>
      </c>
      <c r="P568" s="2"/>
      <c r="Q568" s="2"/>
      <c r="R568" s="2">
        <v>1500</v>
      </c>
      <c r="S568" s="2">
        <v>465</v>
      </c>
      <c r="T568" s="13" t="str">
        <f t="shared" si="17"/>
        <v>PLT79106</v>
      </c>
      <c r="U568" s="2" t="s">
        <v>1246</v>
      </c>
      <c r="V568" s="2"/>
      <c r="W568" s="2">
        <v>5.89</v>
      </c>
      <c r="X568" s="2">
        <v>5.22</v>
      </c>
      <c r="Y568" s="2">
        <v>1.68</v>
      </c>
      <c r="Z568" s="2">
        <v>0</v>
      </c>
      <c r="AA568" s="2">
        <v>0</v>
      </c>
      <c r="AB568" s="2">
        <v>1.1299999999999999</v>
      </c>
      <c r="AC568" s="3" t="str">
        <f t="shared" si="16"/>
        <v>Loose</v>
      </c>
    </row>
    <row r="569" spans="1:29" x14ac:dyDescent="0.25">
      <c r="A569" s="1" t="s">
        <v>1247</v>
      </c>
      <c r="B569" s="2" t="s">
        <v>37</v>
      </c>
      <c r="C569" s="2"/>
      <c r="D569" s="2"/>
      <c r="E569" s="2" t="s">
        <v>1218</v>
      </c>
      <c r="F569" s="2">
        <v>1</v>
      </c>
      <c r="G569" s="2">
        <v>0.33</v>
      </c>
      <c r="H569" s="2" t="s">
        <v>49</v>
      </c>
      <c r="I569" s="2" t="s">
        <v>175</v>
      </c>
      <c r="J569" s="2" t="s">
        <v>69</v>
      </c>
      <c r="K569" s="2"/>
      <c r="L569" s="2"/>
      <c r="M569" s="2"/>
      <c r="N569" s="2"/>
      <c r="O569" s="2" t="s">
        <v>1248</v>
      </c>
      <c r="P569" s="2"/>
      <c r="Q569" s="2"/>
      <c r="R569" s="2">
        <v>800</v>
      </c>
      <c r="S569" s="2">
        <v>264</v>
      </c>
      <c r="T569" s="13" t="str">
        <f t="shared" si="17"/>
        <v>SHLD412</v>
      </c>
      <c r="U569" s="2" t="s">
        <v>1249</v>
      </c>
      <c r="V569" s="2"/>
      <c r="W569" s="2">
        <v>3.74</v>
      </c>
      <c r="X569" s="2">
        <v>5.67</v>
      </c>
      <c r="Y569" s="2">
        <v>2.68</v>
      </c>
      <c r="Z569" s="2">
        <v>0</v>
      </c>
      <c r="AA569" s="2">
        <v>0</v>
      </c>
      <c r="AB569" s="2">
        <v>0.66</v>
      </c>
      <c r="AC569" s="3" t="str">
        <f t="shared" si="16"/>
        <v>Loose</v>
      </c>
    </row>
    <row r="570" spans="1:29" x14ac:dyDescent="0.25">
      <c r="A570" s="1" t="s">
        <v>1250</v>
      </c>
      <c r="B570" s="2" t="s">
        <v>37</v>
      </c>
      <c r="C570" s="2"/>
      <c r="D570" s="2"/>
      <c r="E570" s="2" t="s">
        <v>1218</v>
      </c>
      <c r="F570" s="2">
        <v>2</v>
      </c>
      <c r="G570" s="2">
        <v>0.38</v>
      </c>
      <c r="H570" s="2" t="s">
        <v>43</v>
      </c>
      <c r="I570" s="2" t="s">
        <v>57</v>
      </c>
      <c r="J570" s="2" t="s">
        <v>33</v>
      </c>
      <c r="K570" s="2"/>
      <c r="L570" s="2"/>
      <c r="M570" s="2"/>
      <c r="N570" s="2"/>
      <c r="O570" s="2" t="s">
        <v>34</v>
      </c>
      <c r="P570" s="2"/>
      <c r="Q570" s="2"/>
      <c r="R570" s="2">
        <v>1500</v>
      </c>
      <c r="S570" s="2">
        <v>570</v>
      </c>
      <c r="T570" s="13" t="str">
        <f t="shared" si="17"/>
        <v>SHLD420</v>
      </c>
      <c r="U570" s="2" t="s">
        <v>1251</v>
      </c>
      <c r="V570" s="2"/>
      <c r="W570" s="2">
        <v>3.88</v>
      </c>
      <c r="X570" s="2">
        <v>4.97</v>
      </c>
      <c r="Y570" s="2">
        <v>1.99</v>
      </c>
      <c r="Z570" s="2">
        <v>0</v>
      </c>
      <c r="AA570" s="2">
        <v>0</v>
      </c>
      <c r="AB570" s="2">
        <v>0.78</v>
      </c>
      <c r="AC570" s="3" t="str">
        <f t="shared" si="16"/>
        <v>Pair</v>
      </c>
    </row>
    <row r="571" spans="1:29" x14ac:dyDescent="0.25">
      <c r="A571" s="1" t="s">
        <v>1252</v>
      </c>
      <c r="B571" s="2" t="s">
        <v>37</v>
      </c>
      <c r="C571" s="2"/>
      <c r="D571" s="2"/>
      <c r="E571" s="2" t="s">
        <v>1218</v>
      </c>
      <c r="F571" s="2">
        <v>2</v>
      </c>
      <c r="G571" s="2">
        <v>0.38</v>
      </c>
      <c r="H571" s="2" t="s">
        <v>31</v>
      </c>
      <c r="I571" s="2" t="s">
        <v>32</v>
      </c>
      <c r="J571" s="2" t="s">
        <v>33</v>
      </c>
      <c r="K571" s="2"/>
      <c r="L571" s="2"/>
      <c r="M571" s="2"/>
      <c r="N571" s="2"/>
      <c r="O571" s="2" t="s">
        <v>34</v>
      </c>
      <c r="P571" s="2"/>
      <c r="Q571" s="2"/>
      <c r="R571" s="2">
        <v>1400</v>
      </c>
      <c r="S571" s="2">
        <v>532</v>
      </c>
      <c r="T571" s="13" t="str">
        <f t="shared" si="17"/>
        <v>SHLDY109</v>
      </c>
      <c r="U571" s="2" t="s">
        <v>1253</v>
      </c>
      <c r="V571" s="2"/>
      <c r="W571" s="2">
        <v>4.05</v>
      </c>
      <c r="X571" s="2">
        <v>4.84</v>
      </c>
      <c r="Y571" s="2">
        <v>1.81</v>
      </c>
      <c r="Z571" s="2">
        <v>0</v>
      </c>
      <c r="AA571" s="2">
        <v>0</v>
      </c>
      <c r="AB571" s="2">
        <v>0.84</v>
      </c>
      <c r="AC571" s="3" t="str">
        <f t="shared" si="16"/>
        <v>Pair</v>
      </c>
    </row>
    <row r="572" spans="1:29" x14ac:dyDescent="0.25">
      <c r="A572" s="1" t="s">
        <v>1254</v>
      </c>
      <c r="B572" s="2" t="s">
        <v>29</v>
      </c>
      <c r="C572" s="2"/>
      <c r="D572" s="2"/>
      <c r="E572" s="2" t="s">
        <v>1218</v>
      </c>
      <c r="F572" s="2">
        <v>1</v>
      </c>
      <c r="G572" s="2">
        <v>0.4</v>
      </c>
      <c r="H572" s="2" t="s">
        <v>31</v>
      </c>
      <c r="I572" s="2" t="s">
        <v>151</v>
      </c>
      <c r="J572" s="2" t="s">
        <v>69</v>
      </c>
      <c r="K572" s="2"/>
      <c r="L572" s="2"/>
      <c r="M572" s="2"/>
      <c r="N572" s="2"/>
      <c r="O572" s="2" t="s">
        <v>34</v>
      </c>
      <c r="P572" s="2"/>
      <c r="Q572" s="2"/>
      <c r="R572" s="2">
        <v>1200</v>
      </c>
      <c r="S572" s="2">
        <v>480</v>
      </c>
      <c r="T572" s="13" t="str">
        <f t="shared" si="17"/>
        <v>ALNRD07A</v>
      </c>
      <c r="U572" s="2" t="s">
        <v>1255</v>
      </c>
      <c r="V572" s="2"/>
      <c r="W572" s="2">
        <v>6.99</v>
      </c>
      <c r="X572" s="2">
        <v>6.83</v>
      </c>
      <c r="Y572" s="2">
        <v>1.57</v>
      </c>
      <c r="Z572" s="2">
        <v>0</v>
      </c>
      <c r="AA572" s="2">
        <v>0</v>
      </c>
      <c r="AB572" s="2">
        <v>1.02</v>
      </c>
      <c r="AC572" s="3" t="str">
        <f t="shared" si="16"/>
        <v>Loose</v>
      </c>
    </row>
    <row r="573" spans="1:29" x14ac:dyDescent="0.25">
      <c r="A573" s="1" t="s">
        <v>1256</v>
      </c>
      <c r="B573" s="2" t="s">
        <v>29</v>
      </c>
      <c r="C573" s="2"/>
      <c r="D573" s="2"/>
      <c r="E573" s="2" t="s">
        <v>1218</v>
      </c>
      <c r="F573" s="2">
        <v>2</v>
      </c>
      <c r="G573" s="2">
        <v>0.11</v>
      </c>
      <c r="H573" s="2" t="s">
        <v>43</v>
      </c>
      <c r="I573" s="2" t="s">
        <v>32</v>
      </c>
      <c r="J573" s="2" t="s">
        <v>33</v>
      </c>
      <c r="K573" s="2"/>
      <c r="L573" s="2"/>
      <c r="M573" s="2"/>
      <c r="N573" s="2"/>
      <c r="O573" s="2" t="s">
        <v>40</v>
      </c>
      <c r="P573" s="2"/>
      <c r="Q573" s="2"/>
      <c r="R573" s="2">
        <v>1300</v>
      </c>
      <c r="S573" s="2">
        <v>143</v>
      </c>
      <c r="T573" s="13" t="str">
        <f t="shared" si="17"/>
        <v>SHLD437C</v>
      </c>
      <c r="U573" s="2" t="s">
        <v>1257</v>
      </c>
      <c r="V573" s="2"/>
      <c r="W573" s="2">
        <v>2.09</v>
      </c>
      <c r="X573" s="2">
        <v>3.19</v>
      </c>
      <c r="Y573" s="2">
        <v>1.38</v>
      </c>
      <c r="Z573" s="2">
        <v>0</v>
      </c>
      <c r="AA573" s="2">
        <v>0</v>
      </c>
      <c r="AB573" s="2">
        <v>0.66</v>
      </c>
      <c r="AC573" s="3" t="str">
        <f t="shared" si="16"/>
        <v>Pair</v>
      </c>
    </row>
    <row r="574" spans="1:29" x14ac:dyDescent="0.25">
      <c r="A574" s="1" t="s">
        <v>1258</v>
      </c>
      <c r="B574" s="2" t="s">
        <v>29</v>
      </c>
      <c r="C574" s="2"/>
      <c r="D574" s="2"/>
      <c r="E574" s="2" t="s">
        <v>1218</v>
      </c>
      <c r="F574" s="2">
        <v>2</v>
      </c>
      <c r="G574" s="2">
        <v>0.82</v>
      </c>
      <c r="H574" s="2" t="s">
        <v>31</v>
      </c>
      <c r="I574" s="2" t="s">
        <v>68</v>
      </c>
      <c r="J574" s="2" t="s">
        <v>33</v>
      </c>
      <c r="K574" s="2"/>
      <c r="L574" s="2"/>
      <c r="M574" s="2"/>
      <c r="N574" s="2"/>
      <c r="O574" s="2" t="s">
        <v>61</v>
      </c>
      <c r="P574" s="2"/>
      <c r="Q574" s="2"/>
      <c r="R574" s="2">
        <v>2000</v>
      </c>
      <c r="S574" s="2">
        <v>1640</v>
      </c>
      <c r="T574" s="13" t="str">
        <f t="shared" si="17"/>
        <v>SHLDS573Q</v>
      </c>
      <c r="U574" s="2" t="s">
        <v>1259</v>
      </c>
      <c r="V574" s="2"/>
      <c r="W574" s="2">
        <v>4.58</v>
      </c>
      <c r="X574" s="2">
        <v>5.79</v>
      </c>
      <c r="Y574" s="2">
        <v>2.52</v>
      </c>
      <c r="Z574" s="2">
        <v>0</v>
      </c>
      <c r="AA574" s="2">
        <v>0</v>
      </c>
      <c r="AB574" s="2">
        <v>0.79</v>
      </c>
      <c r="AC574" s="3" t="str">
        <f t="shared" si="16"/>
        <v>Pair</v>
      </c>
    </row>
    <row r="575" spans="1:29" x14ac:dyDescent="0.25">
      <c r="A575" s="1" t="s">
        <v>1260</v>
      </c>
      <c r="B575" s="2" t="s">
        <v>37</v>
      </c>
      <c r="C575" s="2"/>
      <c r="D575" s="2"/>
      <c r="E575" s="2" t="s">
        <v>1218</v>
      </c>
      <c r="F575" s="2">
        <v>1</v>
      </c>
      <c r="G575" s="2">
        <v>2.19</v>
      </c>
      <c r="H575" s="2" t="s">
        <v>31</v>
      </c>
      <c r="I575" s="2" t="s">
        <v>57</v>
      </c>
      <c r="J575" s="2" t="s">
        <v>397</v>
      </c>
      <c r="K575" s="2"/>
      <c r="L575" s="2" t="s">
        <v>43</v>
      </c>
      <c r="M575" s="2" t="s">
        <v>43</v>
      </c>
      <c r="N575" s="2" t="s">
        <v>421</v>
      </c>
      <c r="O575" s="2" t="s">
        <v>34</v>
      </c>
      <c r="P575" s="2"/>
      <c r="Q575" s="2">
        <v>6341093593</v>
      </c>
      <c r="R575" s="2">
        <v>7000</v>
      </c>
      <c r="S575" s="2">
        <v>15330</v>
      </c>
      <c r="T575" s="13" t="str">
        <f t="shared" si="17"/>
        <v>LPTS469</v>
      </c>
      <c r="U575" s="2" t="s">
        <v>1261</v>
      </c>
      <c r="V575" s="2"/>
      <c r="W575" s="2">
        <v>12.99</v>
      </c>
      <c r="X575" s="2">
        <v>7.2</v>
      </c>
      <c r="Y575" s="2">
        <v>3.19</v>
      </c>
      <c r="Z575" s="2">
        <v>44.3</v>
      </c>
      <c r="AA575" s="2">
        <v>73</v>
      </c>
      <c r="AB575" s="2">
        <v>1.8</v>
      </c>
      <c r="AC575" s="3" t="str">
        <f t="shared" si="16"/>
        <v>Loose</v>
      </c>
    </row>
    <row r="576" spans="1:29" x14ac:dyDescent="0.25">
      <c r="A576" s="1" t="s">
        <v>1262</v>
      </c>
      <c r="B576" s="2" t="s">
        <v>29</v>
      </c>
      <c r="C576" s="2"/>
      <c r="D576" s="2"/>
      <c r="E576" s="2" t="s">
        <v>1218</v>
      </c>
      <c r="F576" s="2">
        <v>1</v>
      </c>
      <c r="G576" s="2">
        <v>1.08</v>
      </c>
      <c r="H576" s="2" t="s">
        <v>396</v>
      </c>
      <c r="I576" s="2" t="s">
        <v>32</v>
      </c>
      <c r="J576" s="2" t="s">
        <v>397</v>
      </c>
      <c r="K576" s="2"/>
      <c r="L576" s="2" t="s">
        <v>43</v>
      </c>
      <c r="M576" s="2" t="s">
        <v>450</v>
      </c>
      <c r="N576" s="2" t="s">
        <v>421</v>
      </c>
      <c r="O576" s="2" t="s">
        <v>34</v>
      </c>
      <c r="P576" s="2"/>
      <c r="Q576" s="2">
        <v>5172895010</v>
      </c>
      <c r="R576" s="2">
        <v>6000</v>
      </c>
      <c r="S576" s="2">
        <v>6480</v>
      </c>
      <c r="T576" s="13" t="str">
        <f t="shared" si="17"/>
        <v>PLT388AAAAA</v>
      </c>
      <c r="U576" s="2" t="s">
        <v>1263</v>
      </c>
      <c r="V576" s="2"/>
      <c r="W576" s="2">
        <v>5.89</v>
      </c>
      <c r="X576" s="2">
        <v>11.94</v>
      </c>
      <c r="Y576" s="2">
        <v>2.46</v>
      </c>
      <c r="Z576" s="2">
        <v>20.6</v>
      </c>
      <c r="AA576" s="2">
        <v>79</v>
      </c>
      <c r="AB576" s="2">
        <v>0.49</v>
      </c>
      <c r="AC576" s="3" t="str">
        <f t="shared" si="16"/>
        <v>Loose</v>
      </c>
    </row>
    <row r="577" spans="1:29" x14ac:dyDescent="0.25">
      <c r="A577" s="1" t="s">
        <v>1264</v>
      </c>
      <c r="B577" s="2" t="s">
        <v>29</v>
      </c>
      <c r="C577" s="2"/>
      <c r="D577" s="2"/>
      <c r="E577" s="2" t="s">
        <v>1218</v>
      </c>
      <c r="F577" s="2">
        <v>2</v>
      </c>
      <c r="G577" s="2">
        <v>1.55</v>
      </c>
      <c r="H577" s="2" t="s">
        <v>73</v>
      </c>
      <c r="I577" s="2" t="s">
        <v>57</v>
      </c>
      <c r="J577" s="2" t="s">
        <v>33</v>
      </c>
      <c r="K577" s="2"/>
      <c r="L577" s="2"/>
      <c r="M577" s="2"/>
      <c r="N577" s="2"/>
      <c r="O577" s="2"/>
      <c r="P577" s="2"/>
      <c r="Q577" s="2"/>
      <c r="R577" s="2">
        <v>2500</v>
      </c>
      <c r="S577" s="2">
        <v>3875</v>
      </c>
      <c r="T577" s="13" t="str">
        <f t="shared" si="17"/>
        <v>SHLDS586</v>
      </c>
      <c r="U577" s="2" t="s">
        <v>1265</v>
      </c>
      <c r="V577" s="2"/>
      <c r="W577" s="2">
        <v>5.8</v>
      </c>
      <c r="X577" s="2">
        <v>7.64</v>
      </c>
      <c r="Y577" s="2">
        <v>2.52</v>
      </c>
      <c r="Z577" s="2">
        <v>0</v>
      </c>
      <c r="AA577" s="2">
        <v>0</v>
      </c>
      <c r="AB577" s="2">
        <v>0.76</v>
      </c>
      <c r="AC577" s="3" t="str">
        <f t="shared" si="16"/>
        <v>Pair</v>
      </c>
    </row>
    <row r="578" spans="1:29" x14ac:dyDescent="0.25">
      <c r="A578" s="1" t="s">
        <v>1266</v>
      </c>
      <c r="B578" s="2" t="s">
        <v>29</v>
      </c>
      <c r="C578" s="2"/>
      <c r="D578" s="2"/>
      <c r="E578" s="2" t="s">
        <v>1218</v>
      </c>
      <c r="F578" s="2">
        <v>2</v>
      </c>
      <c r="G578" s="2">
        <v>1.61</v>
      </c>
      <c r="H578" s="2" t="s">
        <v>43</v>
      </c>
      <c r="I578" s="2" t="s">
        <v>32</v>
      </c>
      <c r="J578" s="2" t="s">
        <v>33</v>
      </c>
      <c r="K578" s="2"/>
      <c r="L578" s="2"/>
      <c r="M578" s="2"/>
      <c r="N578" s="2"/>
      <c r="O578" s="2" t="s">
        <v>40</v>
      </c>
      <c r="P578" s="2"/>
      <c r="Q578" s="2"/>
      <c r="R578" s="2">
        <v>2800</v>
      </c>
      <c r="S578" s="2">
        <v>4508</v>
      </c>
      <c r="T578" s="13" t="str">
        <f t="shared" si="17"/>
        <v>SHLDY112Q</v>
      </c>
      <c r="U578" s="2" t="s">
        <v>1267</v>
      </c>
      <c r="V578" s="2"/>
      <c r="W578" s="2">
        <v>6.35</v>
      </c>
      <c r="X578" s="2">
        <v>6.66</v>
      </c>
      <c r="Y578" s="2">
        <v>2.93</v>
      </c>
      <c r="Z578" s="2">
        <v>0</v>
      </c>
      <c r="AA578" s="2">
        <v>0</v>
      </c>
      <c r="AB578" s="2">
        <v>0.95</v>
      </c>
      <c r="AC578" s="3" t="str">
        <f t="shared" ref="AC578:AC641" si="18">IF(F578=2,"Pair","Loose")</f>
        <v>Pair</v>
      </c>
    </row>
    <row r="579" spans="1:29" x14ac:dyDescent="0.25">
      <c r="A579" s="1" t="s">
        <v>1268</v>
      </c>
      <c r="B579" s="2" t="s">
        <v>37</v>
      </c>
      <c r="C579" s="2"/>
      <c r="D579" s="2"/>
      <c r="E579" s="2" t="s">
        <v>1218</v>
      </c>
      <c r="F579" s="2">
        <v>2</v>
      </c>
      <c r="G579" s="2">
        <v>1.76</v>
      </c>
      <c r="H579" s="2" t="s">
        <v>38</v>
      </c>
      <c r="I579" s="2" t="s">
        <v>32</v>
      </c>
      <c r="J579" s="2" t="s">
        <v>397</v>
      </c>
      <c r="K579" s="2"/>
      <c r="L579" s="2"/>
      <c r="M579" s="2"/>
      <c r="N579" s="2"/>
      <c r="O579" s="2" t="s">
        <v>34</v>
      </c>
      <c r="P579" s="2"/>
      <c r="Q579" s="2"/>
      <c r="R579" s="2">
        <v>4900</v>
      </c>
      <c r="S579" s="2">
        <v>8624</v>
      </c>
      <c r="T579" s="13" t="str">
        <f t="shared" si="17"/>
        <v>SHLD445</v>
      </c>
      <c r="U579" s="2" t="s">
        <v>1269</v>
      </c>
      <c r="V579" s="2"/>
      <c r="W579" s="2">
        <v>6.08</v>
      </c>
      <c r="X579" s="2">
        <v>9.31</v>
      </c>
      <c r="Y579" s="2">
        <v>2.4500000000000002</v>
      </c>
      <c r="Z579" s="2">
        <v>0</v>
      </c>
      <c r="AA579" s="2">
        <v>0</v>
      </c>
      <c r="AB579" s="2">
        <v>0.65</v>
      </c>
      <c r="AC579" s="3" t="str">
        <f t="shared" si="18"/>
        <v>Pair</v>
      </c>
    </row>
    <row r="580" spans="1:29" x14ac:dyDescent="0.25">
      <c r="A580" s="1" t="s">
        <v>1270</v>
      </c>
      <c r="B580" s="2" t="s">
        <v>29</v>
      </c>
      <c r="C580" s="2"/>
      <c r="D580" s="2"/>
      <c r="E580" s="2" t="s">
        <v>1218</v>
      </c>
      <c r="F580" s="2">
        <v>1</v>
      </c>
      <c r="G580" s="2">
        <v>0.56000000000000005</v>
      </c>
      <c r="H580" s="2" t="s">
        <v>67</v>
      </c>
      <c r="I580" s="2" t="s">
        <v>53</v>
      </c>
      <c r="J580" s="2" t="s">
        <v>69</v>
      </c>
      <c r="K580" s="2"/>
      <c r="L580" s="2" t="s">
        <v>43</v>
      </c>
      <c r="M580" s="2" t="s">
        <v>450</v>
      </c>
      <c r="N580" s="2" t="s">
        <v>421</v>
      </c>
      <c r="O580" s="2" t="s">
        <v>34</v>
      </c>
      <c r="P580" s="2"/>
      <c r="Q580" s="2">
        <v>2354362706</v>
      </c>
      <c r="R580" s="2">
        <v>2500</v>
      </c>
      <c r="S580" s="2">
        <v>1400</v>
      </c>
      <c r="T580" s="13" t="str">
        <f t="shared" si="17"/>
        <v>PLT521328BAAA</v>
      </c>
      <c r="U580" s="2" t="s">
        <v>1271</v>
      </c>
      <c r="V580" s="2"/>
      <c r="W580" s="2">
        <v>3.95</v>
      </c>
      <c r="X580" s="2">
        <v>10.33</v>
      </c>
      <c r="Y580" s="2">
        <v>2.21</v>
      </c>
      <c r="Z580" s="2">
        <v>21.4</v>
      </c>
      <c r="AA580" s="2">
        <v>81</v>
      </c>
      <c r="AB580" s="2">
        <v>0.38</v>
      </c>
      <c r="AC580" s="3" t="str">
        <f t="shared" si="18"/>
        <v>Loose</v>
      </c>
    </row>
    <row r="581" spans="1:29" x14ac:dyDescent="0.25">
      <c r="A581" s="1" t="s">
        <v>1272</v>
      </c>
      <c r="B581" s="2" t="s">
        <v>37</v>
      </c>
      <c r="C581" s="2"/>
      <c r="D581" s="2"/>
      <c r="E581" s="2" t="s">
        <v>1239</v>
      </c>
      <c r="F581" s="2">
        <v>2</v>
      </c>
      <c r="G581" s="2">
        <v>0.79</v>
      </c>
      <c r="H581" s="2" t="s">
        <v>43</v>
      </c>
      <c r="I581" s="2" t="s">
        <v>57</v>
      </c>
      <c r="J581" s="2" t="s">
        <v>33</v>
      </c>
      <c r="K581" s="2"/>
      <c r="L581" s="2"/>
      <c r="M581" s="2"/>
      <c r="N581" s="2"/>
      <c r="O581" s="2"/>
      <c r="P581" s="2"/>
      <c r="Q581" s="2"/>
      <c r="R581" s="2">
        <v>2500</v>
      </c>
      <c r="S581" s="2">
        <v>1975</v>
      </c>
      <c r="T581" s="13" t="str">
        <f t="shared" si="17"/>
        <v>SHLDYS047</v>
      </c>
      <c r="U581" s="2" t="s">
        <v>1273</v>
      </c>
      <c r="V581" s="2"/>
      <c r="W581" s="2">
        <v>5.53</v>
      </c>
      <c r="X581" s="2">
        <v>4.71</v>
      </c>
      <c r="Y581" s="2">
        <v>2.25</v>
      </c>
      <c r="Z581" s="2">
        <v>0</v>
      </c>
      <c r="AA581" s="2">
        <v>0</v>
      </c>
      <c r="AB581" s="2">
        <v>1.17</v>
      </c>
      <c r="AC581" s="3" t="str">
        <f t="shared" si="18"/>
        <v>Pair</v>
      </c>
    </row>
    <row r="582" spans="1:29" x14ac:dyDescent="0.25">
      <c r="A582" s="1" t="s">
        <v>1274</v>
      </c>
      <c r="B582" s="2" t="s">
        <v>37</v>
      </c>
      <c r="C582" s="2"/>
      <c r="D582" s="2"/>
      <c r="E582" s="2" t="s">
        <v>1218</v>
      </c>
      <c r="F582" s="2">
        <v>2</v>
      </c>
      <c r="G582" s="2">
        <v>0.24</v>
      </c>
      <c r="H582" s="2" t="s">
        <v>73</v>
      </c>
      <c r="I582" s="2" t="s">
        <v>50</v>
      </c>
      <c r="J582" s="2" t="s">
        <v>33</v>
      </c>
      <c r="K582" s="2"/>
      <c r="L582" s="2"/>
      <c r="M582" s="2"/>
      <c r="N582" s="2"/>
      <c r="O582" s="2"/>
      <c r="P582" s="2"/>
      <c r="Q582" s="2"/>
      <c r="R582" s="2">
        <v>1000</v>
      </c>
      <c r="S582" s="2">
        <v>240</v>
      </c>
      <c r="T582" s="13" t="str">
        <f t="shared" si="17"/>
        <v>SHLD229A</v>
      </c>
      <c r="U582" s="2" t="s">
        <v>1275</v>
      </c>
      <c r="V582" s="2"/>
      <c r="W582" s="2">
        <v>2.81</v>
      </c>
      <c r="X582" s="2">
        <v>3.68</v>
      </c>
      <c r="Y582" s="2">
        <v>1.9</v>
      </c>
      <c r="Z582" s="2">
        <v>0</v>
      </c>
      <c r="AA582" s="2">
        <v>0</v>
      </c>
      <c r="AB582" s="2">
        <v>0.76</v>
      </c>
      <c r="AC582" s="3" t="str">
        <f t="shared" si="18"/>
        <v>Pair</v>
      </c>
    </row>
    <row r="583" spans="1:29" x14ac:dyDescent="0.25">
      <c r="A583" s="1" t="s">
        <v>1276</v>
      </c>
      <c r="B583" s="2" t="s">
        <v>29</v>
      </c>
      <c r="C583" s="2"/>
      <c r="D583" s="2"/>
      <c r="E583" s="2" t="s">
        <v>1218</v>
      </c>
      <c r="F583" s="2">
        <v>2</v>
      </c>
      <c r="G583" s="2">
        <v>0.42</v>
      </c>
      <c r="H583" s="2" t="s">
        <v>43</v>
      </c>
      <c r="I583" s="2" t="s">
        <v>50</v>
      </c>
      <c r="J583" s="2" t="s">
        <v>33</v>
      </c>
      <c r="K583" s="2"/>
      <c r="L583" s="2"/>
      <c r="M583" s="2"/>
      <c r="N583" s="2"/>
      <c r="O583" s="2"/>
      <c r="P583" s="2"/>
      <c r="Q583" s="2"/>
      <c r="R583" s="2">
        <v>1600</v>
      </c>
      <c r="S583" s="2">
        <v>672</v>
      </c>
      <c r="T583" s="13" t="str">
        <f t="shared" ref="T583:T646" si="19">IF(OR(TRIM(A583&amp;"")="",TRIM(A583&amp;"")="0"),"",HYPERLINK("https://gs.gsdiamonds.com/StoneDetails.aspx?name=" &amp; _xlfn.ENCODEURL(TRIM(A583&amp;"")), TRIM(A583&amp;"")))</f>
        <v>SHLD448</v>
      </c>
      <c r="U583" s="2" t="s">
        <v>1277</v>
      </c>
      <c r="V583" s="2"/>
      <c r="W583" s="2">
        <v>3.31</v>
      </c>
      <c r="X583" s="2">
        <v>5.94</v>
      </c>
      <c r="Y583" s="2">
        <v>1.97</v>
      </c>
      <c r="Z583" s="2">
        <v>0</v>
      </c>
      <c r="AA583" s="2">
        <v>0</v>
      </c>
      <c r="AB583" s="2">
        <v>0.56000000000000005</v>
      </c>
      <c r="AC583" s="3" t="str">
        <f t="shared" si="18"/>
        <v>Pair</v>
      </c>
    </row>
    <row r="584" spans="1:29" x14ac:dyDescent="0.25">
      <c r="A584" s="1" t="s">
        <v>1278</v>
      </c>
      <c r="B584" s="2" t="s">
        <v>29</v>
      </c>
      <c r="C584" s="2"/>
      <c r="D584" s="2"/>
      <c r="E584" s="2" t="s">
        <v>1218</v>
      </c>
      <c r="F584" s="2">
        <v>2</v>
      </c>
      <c r="G584" s="2">
        <v>0.06</v>
      </c>
      <c r="H584" s="2" t="s">
        <v>396</v>
      </c>
      <c r="I584" s="2" t="s">
        <v>57</v>
      </c>
      <c r="J584" s="2" t="s">
        <v>33</v>
      </c>
      <c r="K584" s="2"/>
      <c r="L584" s="2"/>
      <c r="M584" s="2"/>
      <c r="N584" s="2"/>
      <c r="O584" s="2"/>
      <c r="P584" s="2"/>
      <c r="Q584" s="2"/>
      <c r="R584" s="2">
        <v>800</v>
      </c>
      <c r="S584" s="2">
        <v>48</v>
      </c>
      <c r="T584" s="13" t="str">
        <f t="shared" si="19"/>
        <v>SHLDS603</v>
      </c>
      <c r="U584" s="2" t="s">
        <v>1279</v>
      </c>
      <c r="V584" s="2"/>
      <c r="W584" s="2">
        <v>1.93</v>
      </c>
      <c r="X584" s="2">
        <v>2.1</v>
      </c>
      <c r="Y584" s="2">
        <v>1.1000000000000001</v>
      </c>
      <c r="Z584" s="2">
        <v>0</v>
      </c>
      <c r="AA584" s="2">
        <v>0</v>
      </c>
      <c r="AB584" s="2">
        <v>0.92</v>
      </c>
      <c r="AC584" s="3" t="str">
        <f t="shared" si="18"/>
        <v>Pair</v>
      </c>
    </row>
    <row r="585" spans="1:29" x14ac:dyDescent="0.25">
      <c r="A585" s="1" t="s">
        <v>1280</v>
      </c>
      <c r="B585" s="2" t="s">
        <v>37</v>
      </c>
      <c r="C585" s="2"/>
      <c r="D585" s="2"/>
      <c r="E585" s="2" t="s">
        <v>1239</v>
      </c>
      <c r="F585" s="2">
        <v>2</v>
      </c>
      <c r="G585" s="2">
        <v>1.62</v>
      </c>
      <c r="H585" s="2" t="s">
        <v>73</v>
      </c>
      <c r="I585" s="2" t="s">
        <v>57</v>
      </c>
      <c r="J585" s="2" t="s">
        <v>33</v>
      </c>
      <c r="K585" s="2"/>
      <c r="L585" s="2"/>
      <c r="M585" s="2"/>
      <c r="N585" s="2"/>
      <c r="O585" s="2" t="s">
        <v>34</v>
      </c>
      <c r="P585" s="2"/>
      <c r="Q585" s="2"/>
      <c r="R585" s="2">
        <v>2800</v>
      </c>
      <c r="S585" s="2">
        <v>4536</v>
      </c>
      <c r="T585" s="13" t="str">
        <f t="shared" si="19"/>
        <v>SHLDYS050C</v>
      </c>
      <c r="U585" s="2" t="s">
        <v>1281</v>
      </c>
      <c r="V585" s="2"/>
      <c r="W585" s="2">
        <v>7.61</v>
      </c>
      <c r="X585" s="2">
        <v>6.8</v>
      </c>
      <c r="Y585" s="2">
        <v>2.39</v>
      </c>
      <c r="Z585" s="2">
        <v>0</v>
      </c>
      <c r="AA585" s="2">
        <v>0</v>
      </c>
      <c r="AB585" s="2">
        <v>1.1200000000000001</v>
      </c>
      <c r="AC585" s="3" t="str">
        <f t="shared" si="18"/>
        <v>Pair</v>
      </c>
    </row>
    <row r="586" spans="1:29" x14ac:dyDescent="0.25">
      <c r="A586" s="1" t="s">
        <v>1282</v>
      </c>
      <c r="B586" s="2" t="s">
        <v>29</v>
      </c>
      <c r="C586" s="2"/>
      <c r="D586" s="2"/>
      <c r="E586" s="2" t="s">
        <v>1218</v>
      </c>
      <c r="F586" s="2">
        <v>2</v>
      </c>
      <c r="G586" s="2">
        <v>0.19</v>
      </c>
      <c r="H586" s="2" t="s">
        <v>137</v>
      </c>
      <c r="I586" s="2" t="s">
        <v>57</v>
      </c>
      <c r="J586" s="2" t="s">
        <v>33</v>
      </c>
      <c r="K586" s="2"/>
      <c r="L586" s="2"/>
      <c r="M586" s="2"/>
      <c r="N586" s="2"/>
      <c r="O586" s="2"/>
      <c r="P586" s="2"/>
      <c r="Q586" s="2"/>
      <c r="R586" s="2">
        <v>1600</v>
      </c>
      <c r="S586" s="2">
        <v>304</v>
      </c>
      <c r="T586" s="13" t="str">
        <f t="shared" si="19"/>
        <v>SHLDS605</v>
      </c>
      <c r="U586" s="2" t="s">
        <v>1283</v>
      </c>
      <c r="V586" s="2"/>
      <c r="W586" s="2">
        <v>3.42</v>
      </c>
      <c r="X586" s="2">
        <v>4.07</v>
      </c>
      <c r="Y586" s="2">
        <v>1.1499999999999999</v>
      </c>
      <c r="Z586" s="2">
        <v>0</v>
      </c>
      <c r="AA586" s="2">
        <v>0</v>
      </c>
      <c r="AB586" s="2">
        <v>0.84</v>
      </c>
      <c r="AC586" s="3" t="str">
        <f t="shared" si="18"/>
        <v>Pair</v>
      </c>
    </row>
    <row r="587" spans="1:29" x14ac:dyDescent="0.25">
      <c r="A587" s="1" t="s">
        <v>1284</v>
      </c>
      <c r="B587" s="2" t="s">
        <v>29</v>
      </c>
      <c r="C587" s="2"/>
      <c r="D587" s="2"/>
      <c r="E587" s="2" t="s">
        <v>1218</v>
      </c>
      <c r="F587" s="2">
        <v>1</v>
      </c>
      <c r="G587" s="2">
        <v>0.25</v>
      </c>
      <c r="H587" s="2" t="s">
        <v>67</v>
      </c>
      <c r="I587" s="2" t="s">
        <v>57</v>
      </c>
      <c r="J587" s="2" t="s">
        <v>69</v>
      </c>
      <c r="K587" s="2"/>
      <c r="L587" s="2"/>
      <c r="M587" s="2"/>
      <c r="N587" s="2"/>
      <c r="O587" s="2" t="s">
        <v>34</v>
      </c>
      <c r="P587" s="2"/>
      <c r="Q587" s="2"/>
      <c r="R587" s="2">
        <v>600</v>
      </c>
      <c r="S587" s="2">
        <v>150</v>
      </c>
      <c r="T587" s="13" t="str">
        <f t="shared" si="19"/>
        <v>SHLD453</v>
      </c>
      <c r="U587" s="2" t="s">
        <v>1285</v>
      </c>
      <c r="V587" s="2"/>
      <c r="W587" s="2">
        <v>3.47</v>
      </c>
      <c r="X587" s="2">
        <v>4.93</v>
      </c>
      <c r="Y587" s="2">
        <v>2.46</v>
      </c>
      <c r="Z587" s="2">
        <v>0</v>
      </c>
      <c r="AA587" s="2">
        <v>0</v>
      </c>
      <c r="AB587" s="2">
        <v>0.7</v>
      </c>
      <c r="AC587" s="3" t="str">
        <f t="shared" si="18"/>
        <v>Loose</v>
      </c>
    </row>
    <row r="588" spans="1:29" x14ac:dyDescent="0.25">
      <c r="A588" s="1" t="s">
        <v>1286</v>
      </c>
      <c r="B588" s="2" t="s">
        <v>29</v>
      </c>
      <c r="C588" s="2"/>
      <c r="D588" s="2"/>
      <c r="E588" s="2" t="s">
        <v>1218</v>
      </c>
      <c r="F588" s="2">
        <v>2</v>
      </c>
      <c r="G588" s="2">
        <v>0.16</v>
      </c>
      <c r="H588" s="2" t="s">
        <v>137</v>
      </c>
      <c r="I588" s="2" t="s">
        <v>50</v>
      </c>
      <c r="J588" s="2" t="s">
        <v>33</v>
      </c>
      <c r="K588" s="2"/>
      <c r="L588" s="2"/>
      <c r="M588" s="2"/>
      <c r="N588" s="2"/>
      <c r="O588" s="2"/>
      <c r="P588" s="2"/>
      <c r="Q588" s="2"/>
      <c r="R588" s="2">
        <v>1200</v>
      </c>
      <c r="S588" s="2">
        <v>192</v>
      </c>
      <c r="T588" s="13" t="str">
        <f t="shared" si="19"/>
        <v>SHLDS297</v>
      </c>
      <c r="U588" s="2" t="s">
        <v>1287</v>
      </c>
      <c r="V588" s="2"/>
      <c r="W588" s="2">
        <v>3.29</v>
      </c>
      <c r="X588" s="2">
        <v>3.16</v>
      </c>
      <c r="Y588" s="2">
        <v>1.25</v>
      </c>
      <c r="Z588" s="2">
        <v>0</v>
      </c>
      <c r="AA588" s="2">
        <v>0</v>
      </c>
      <c r="AB588" s="2">
        <v>1.04</v>
      </c>
      <c r="AC588" s="3" t="str">
        <f t="shared" si="18"/>
        <v>Pair</v>
      </c>
    </row>
    <row r="589" spans="1:29" x14ac:dyDescent="0.25">
      <c r="A589" s="1" t="s">
        <v>1288</v>
      </c>
      <c r="B589" s="2" t="s">
        <v>29</v>
      </c>
      <c r="C589" s="2"/>
      <c r="D589" s="2"/>
      <c r="E589" s="2" t="s">
        <v>1218</v>
      </c>
      <c r="F589" s="2">
        <v>2</v>
      </c>
      <c r="G589" s="2">
        <v>0.22</v>
      </c>
      <c r="H589" s="2" t="s">
        <v>43</v>
      </c>
      <c r="I589" s="2" t="s">
        <v>50</v>
      </c>
      <c r="J589" s="2" t="s">
        <v>33</v>
      </c>
      <c r="K589" s="2"/>
      <c r="L589" s="2"/>
      <c r="M589" s="2"/>
      <c r="N589" s="2"/>
      <c r="O589" s="2" t="s">
        <v>34</v>
      </c>
      <c r="P589" s="2"/>
      <c r="Q589" s="2"/>
      <c r="R589" s="2">
        <v>1100</v>
      </c>
      <c r="S589" s="2">
        <v>242</v>
      </c>
      <c r="T589" s="13" t="str">
        <f t="shared" si="19"/>
        <v>SHLDS607Q</v>
      </c>
      <c r="U589" s="2" t="s">
        <v>1289</v>
      </c>
      <c r="V589" s="2"/>
      <c r="W589" s="2">
        <v>4.0599999999999996</v>
      </c>
      <c r="X589" s="2">
        <v>3.43</v>
      </c>
      <c r="Y589" s="2">
        <v>1.3</v>
      </c>
      <c r="Z589" s="2">
        <v>0</v>
      </c>
      <c r="AA589" s="2">
        <v>0</v>
      </c>
      <c r="AB589" s="2">
        <v>1.18</v>
      </c>
      <c r="AC589" s="3" t="str">
        <f t="shared" si="18"/>
        <v>Pair</v>
      </c>
    </row>
    <row r="590" spans="1:29" x14ac:dyDescent="0.25">
      <c r="A590" s="1" t="s">
        <v>1290</v>
      </c>
      <c r="B590" s="2" t="s">
        <v>29</v>
      </c>
      <c r="C590" s="2"/>
      <c r="D590" s="2"/>
      <c r="E590" s="2" t="s">
        <v>1218</v>
      </c>
      <c r="F590" s="2">
        <v>2</v>
      </c>
      <c r="G590" s="2">
        <v>0.27</v>
      </c>
      <c r="H590" s="2" t="s">
        <v>38</v>
      </c>
      <c r="I590" s="2" t="s">
        <v>57</v>
      </c>
      <c r="J590" s="2" t="s">
        <v>33</v>
      </c>
      <c r="K590" s="2"/>
      <c r="L590" s="2"/>
      <c r="M590" s="2"/>
      <c r="N590" s="2"/>
      <c r="O590" s="2"/>
      <c r="P590" s="2"/>
      <c r="Q590" s="2"/>
      <c r="R590" s="2">
        <v>1600</v>
      </c>
      <c r="S590" s="2">
        <v>432</v>
      </c>
      <c r="T590" s="13" t="str">
        <f t="shared" si="19"/>
        <v>SHLDS612Q</v>
      </c>
      <c r="U590" s="2" t="s">
        <v>1291</v>
      </c>
      <c r="V590" s="2"/>
      <c r="W590" s="2">
        <v>3.41</v>
      </c>
      <c r="X590" s="2">
        <v>4.24</v>
      </c>
      <c r="Y590" s="2">
        <v>1.66</v>
      </c>
      <c r="Z590" s="2">
        <v>0</v>
      </c>
      <c r="AA590" s="2">
        <v>0</v>
      </c>
      <c r="AB590" s="2">
        <v>0.8</v>
      </c>
      <c r="AC590" s="3" t="str">
        <f t="shared" si="18"/>
        <v>Pair</v>
      </c>
    </row>
    <row r="591" spans="1:29" x14ac:dyDescent="0.25">
      <c r="A591" s="1" t="s">
        <v>1292</v>
      </c>
      <c r="B591" s="2" t="s">
        <v>29</v>
      </c>
      <c r="C591" s="2"/>
      <c r="D591" s="2"/>
      <c r="E591" s="2" t="s">
        <v>1218</v>
      </c>
      <c r="F591" s="2">
        <v>2</v>
      </c>
      <c r="G591" s="2">
        <v>0.47</v>
      </c>
      <c r="H591" s="2" t="s">
        <v>43</v>
      </c>
      <c r="I591" s="2" t="s">
        <v>50</v>
      </c>
      <c r="J591" s="2" t="s">
        <v>33</v>
      </c>
      <c r="K591" s="2"/>
      <c r="L591" s="2"/>
      <c r="M591" s="2"/>
      <c r="N591" s="2"/>
      <c r="O591" s="2" t="s">
        <v>58</v>
      </c>
      <c r="P591" s="2"/>
      <c r="Q591" s="2"/>
      <c r="R591" s="2">
        <v>1700</v>
      </c>
      <c r="S591" s="2">
        <v>799</v>
      </c>
      <c r="T591" s="13" t="str">
        <f t="shared" si="19"/>
        <v>SHLD454</v>
      </c>
      <c r="U591" s="2" t="s">
        <v>1293</v>
      </c>
      <c r="V591" s="2"/>
      <c r="W591" s="2">
        <v>4.88</v>
      </c>
      <c r="X591" s="2">
        <v>5.09</v>
      </c>
      <c r="Y591" s="2">
        <v>1.55</v>
      </c>
      <c r="Z591" s="2">
        <v>0</v>
      </c>
      <c r="AA591" s="2">
        <v>0</v>
      </c>
      <c r="AB591" s="2">
        <v>0.96</v>
      </c>
      <c r="AC591" s="3" t="str">
        <f t="shared" si="18"/>
        <v>Pair</v>
      </c>
    </row>
    <row r="592" spans="1:29" x14ac:dyDescent="0.25">
      <c r="A592" s="1" t="s">
        <v>1294</v>
      </c>
      <c r="B592" s="2" t="s">
        <v>29</v>
      </c>
      <c r="C592" s="2"/>
      <c r="D592" s="2"/>
      <c r="E592" s="2" t="s">
        <v>1218</v>
      </c>
      <c r="F592" s="2">
        <v>1</v>
      </c>
      <c r="G592" s="2">
        <v>0.71</v>
      </c>
      <c r="H592" s="2" t="s">
        <v>38</v>
      </c>
      <c r="I592" s="2" t="s">
        <v>151</v>
      </c>
      <c r="J592" s="2" t="s">
        <v>69</v>
      </c>
      <c r="K592" s="2"/>
      <c r="L592" s="2"/>
      <c r="M592" s="2"/>
      <c r="N592" s="2"/>
      <c r="O592" s="2" t="s">
        <v>34</v>
      </c>
      <c r="P592" s="2"/>
      <c r="Q592" s="2"/>
      <c r="R592" s="2">
        <v>1051</v>
      </c>
      <c r="S592" s="2">
        <v>746.21</v>
      </c>
      <c r="T592" s="13" t="str">
        <f t="shared" si="19"/>
        <v>AUR12AAA</v>
      </c>
      <c r="U592" s="2" t="s">
        <v>1295</v>
      </c>
      <c r="V592" s="2"/>
      <c r="W592" s="2">
        <v>5.81</v>
      </c>
      <c r="X592" s="2">
        <v>7.93</v>
      </c>
      <c r="Y592" s="2">
        <v>2.61</v>
      </c>
      <c r="Z592" s="2">
        <v>0</v>
      </c>
      <c r="AA592" s="2">
        <v>0</v>
      </c>
      <c r="AB592" s="2">
        <v>0.73</v>
      </c>
      <c r="AC592" s="3" t="str">
        <f t="shared" si="18"/>
        <v>Loose</v>
      </c>
    </row>
    <row r="593" spans="1:29" x14ac:dyDescent="0.25">
      <c r="A593" s="1" t="s">
        <v>1296</v>
      </c>
      <c r="B593" s="2" t="s">
        <v>29</v>
      </c>
      <c r="C593" s="2"/>
      <c r="D593" s="2"/>
      <c r="E593" s="2" t="s">
        <v>1218</v>
      </c>
      <c r="F593" s="2">
        <v>2</v>
      </c>
      <c r="G593" s="2">
        <v>0.2</v>
      </c>
      <c r="H593" s="2" t="s">
        <v>396</v>
      </c>
      <c r="I593" s="2" t="s">
        <v>57</v>
      </c>
      <c r="J593" s="2" t="s">
        <v>33</v>
      </c>
      <c r="K593" s="2"/>
      <c r="L593" s="2"/>
      <c r="M593" s="2"/>
      <c r="N593" s="2"/>
      <c r="O593" s="2"/>
      <c r="P593" s="2"/>
      <c r="Q593" s="2"/>
      <c r="R593" s="2">
        <v>1800</v>
      </c>
      <c r="S593" s="2">
        <v>360</v>
      </c>
      <c r="T593" s="13" t="str">
        <f t="shared" si="19"/>
        <v>SHLDS614</v>
      </c>
      <c r="U593" s="2" t="s">
        <v>1297</v>
      </c>
      <c r="V593" s="2"/>
      <c r="W593" s="2">
        <v>3.18</v>
      </c>
      <c r="X593" s="2">
        <v>4.1900000000000004</v>
      </c>
      <c r="Y593" s="2">
        <v>1.38</v>
      </c>
      <c r="Z593" s="2">
        <v>0</v>
      </c>
      <c r="AA593" s="2">
        <v>0</v>
      </c>
      <c r="AB593" s="2">
        <v>0.76</v>
      </c>
      <c r="AC593" s="3" t="str">
        <f t="shared" si="18"/>
        <v>Pair</v>
      </c>
    </row>
    <row r="594" spans="1:29" x14ac:dyDescent="0.25">
      <c r="A594" s="1" t="s">
        <v>1298</v>
      </c>
      <c r="B594" s="2" t="s">
        <v>37</v>
      </c>
      <c r="C594" s="2"/>
      <c r="D594" s="2"/>
      <c r="E594" s="2" t="s">
        <v>1239</v>
      </c>
      <c r="F594" s="2">
        <v>2</v>
      </c>
      <c r="G594" s="2">
        <v>0.21</v>
      </c>
      <c r="H594" s="2" t="s">
        <v>137</v>
      </c>
      <c r="I594" s="2" t="s">
        <v>68</v>
      </c>
      <c r="J594" s="2" t="s">
        <v>33</v>
      </c>
      <c r="K594" s="2"/>
      <c r="L594" s="2"/>
      <c r="M594" s="2"/>
      <c r="N594" s="2"/>
      <c r="O594" s="2" t="s">
        <v>40</v>
      </c>
      <c r="P594" s="2"/>
      <c r="Q594" s="2"/>
      <c r="R594" s="2">
        <v>1300</v>
      </c>
      <c r="S594" s="2">
        <v>273</v>
      </c>
      <c r="T594" s="13" t="str">
        <f t="shared" si="19"/>
        <v>SHLDYS052</v>
      </c>
      <c r="U594" s="2" t="s">
        <v>1299</v>
      </c>
      <c r="V594" s="2"/>
      <c r="W594" s="2">
        <v>3.69</v>
      </c>
      <c r="X594" s="2">
        <v>3.29</v>
      </c>
      <c r="Y594" s="2">
        <v>1.47</v>
      </c>
      <c r="Z594" s="2">
        <v>0</v>
      </c>
      <c r="AA594" s="2">
        <v>0</v>
      </c>
      <c r="AB594" s="2">
        <v>1.1200000000000001</v>
      </c>
      <c r="AC594" s="3" t="str">
        <f t="shared" si="18"/>
        <v>Pair</v>
      </c>
    </row>
    <row r="595" spans="1:29" x14ac:dyDescent="0.25">
      <c r="A595" s="1" t="s">
        <v>1300</v>
      </c>
      <c r="B595" s="2" t="s">
        <v>29</v>
      </c>
      <c r="C595" s="2"/>
      <c r="D595" s="2"/>
      <c r="E595" s="2" t="s">
        <v>1301</v>
      </c>
      <c r="F595" s="2">
        <v>2</v>
      </c>
      <c r="G595" s="2">
        <v>0.48</v>
      </c>
      <c r="H595" s="2" t="s">
        <v>76</v>
      </c>
      <c r="I595" s="2" t="s">
        <v>57</v>
      </c>
      <c r="J595" s="2" t="s">
        <v>33</v>
      </c>
      <c r="K595" s="2"/>
      <c r="L595" s="2"/>
      <c r="M595" s="2"/>
      <c r="N595" s="2"/>
      <c r="O595" s="2"/>
      <c r="P595" s="2"/>
      <c r="Q595" s="2"/>
      <c r="R595" s="2">
        <v>900</v>
      </c>
      <c r="S595" s="2">
        <v>432</v>
      </c>
      <c r="T595" s="13" t="str">
        <f t="shared" si="19"/>
        <v>DIAM67</v>
      </c>
      <c r="U595" s="2" t="s">
        <v>1302</v>
      </c>
      <c r="V595" s="2"/>
      <c r="W595" s="2">
        <v>4.2</v>
      </c>
      <c r="X595" s="2">
        <v>5.0999999999999996</v>
      </c>
      <c r="Y595" s="2">
        <v>2.12</v>
      </c>
      <c r="Z595" s="2">
        <v>0</v>
      </c>
      <c r="AA595" s="2">
        <v>0</v>
      </c>
      <c r="AB595" s="2">
        <v>0.82</v>
      </c>
      <c r="AC595" s="3" t="str">
        <f t="shared" si="18"/>
        <v>Pair</v>
      </c>
    </row>
    <row r="596" spans="1:29" x14ac:dyDescent="0.25">
      <c r="A596" s="1" t="s">
        <v>1303</v>
      </c>
      <c r="B596" s="2" t="s">
        <v>37</v>
      </c>
      <c r="C596" s="2"/>
      <c r="D596" s="2"/>
      <c r="E596" s="2" t="s">
        <v>1301</v>
      </c>
      <c r="F596" s="2">
        <v>1</v>
      </c>
      <c r="G596" s="2">
        <v>0.35</v>
      </c>
      <c r="H596" s="2"/>
      <c r="I596" s="2" t="s">
        <v>57</v>
      </c>
      <c r="J596" s="2" t="s">
        <v>69</v>
      </c>
      <c r="K596" s="2"/>
      <c r="L596" s="2"/>
      <c r="M596" s="2"/>
      <c r="N596" s="2"/>
      <c r="O596" s="2" t="s">
        <v>77</v>
      </c>
      <c r="P596" s="2"/>
      <c r="Q596" s="2"/>
      <c r="R596" s="2">
        <v>1400</v>
      </c>
      <c r="S596" s="2">
        <v>490</v>
      </c>
      <c r="T596" s="13" t="str">
        <f t="shared" si="19"/>
        <v>MTH8080</v>
      </c>
      <c r="U596" s="2" t="s">
        <v>1304</v>
      </c>
      <c r="V596" s="2"/>
      <c r="W596" s="2">
        <v>4.96</v>
      </c>
      <c r="X596" s="2">
        <v>5.57</v>
      </c>
      <c r="Y596" s="2">
        <v>2.2400000000000002</v>
      </c>
      <c r="Z596" s="2">
        <v>0</v>
      </c>
      <c r="AA596" s="2">
        <v>0</v>
      </c>
      <c r="AB596" s="2">
        <v>0.89</v>
      </c>
      <c r="AC596" s="3" t="str">
        <f t="shared" si="18"/>
        <v>Loose</v>
      </c>
    </row>
    <row r="597" spans="1:29" x14ac:dyDescent="0.25">
      <c r="A597" s="1" t="s">
        <v>1305</v>
      </c>
      <c r="B597" s="2" t="s">
        <v>37</v>
      </c>
      <c r="C597" s="2"/>
      <c r="D597" s="2"/>
      <c r="E597" s="2" t="s">
        <v>1301</v>
      </c>
      <c r="F597" s="2">
        <v>2</v>
      </c>
      <c r="G597" s="2">
        <v>1.1100000000000001</v>
      </c>
      <c r="H597" s="2" t="s">
        <v>49</v>
      </c>
      <c r="I597" s="2" t="s">
        <v>32</v>
      </c>
      <c r="J597" s="2" t="s">
        <v>33</v>
      </c>
      <c r="K597" s="2"/>
      <c r="L597" s="2"/>
      <c r="M597" s="2"/>
      <c r="N597" s="2"/>
      <c r="O597" s="2" t="s">
        <v>40</v>
      </c>
      <c r="P597" s="2"/>
      <c r="Q597" s="2"/>
      <c r="R597" s="2">
        <v>1900</v>
      </c>
      <c r="S597" s="2">
        <v>2109</v>
      </c>
      <c r="T597" s="13" t="str">
        <f t="shared" si="19"/>
        <v>DIAM134C</v>
      </c>
      <c r="U597" s="2" t="s">
        <v>1306</v>
      </c>
      <c r="V597" s="2"/>
      <c r="W597" s="2">
        <v>6.6</v>
      </c>
      <c r="X597" s="2">
        <v>5.94</v>
      </c>
      <c r="Y597" s="2">
        <v>2.54</v>
      </c>
      <c r="Z597" s="2">
        <v>0</v>
      </c>
      <c r="AA597" s="2">
        <v>0</v>
      </c>
      <c r="AB597" s="2">
        <v>1.1100000000000001</v>
      </c>
      <c r="AC597" s="3" t="str">
        <f t="shared" si="18"/>
        <v>Pair</v>
      </c>
    </row>
    <row r="598" spans="1:29" x14ac:dyDescent="0.25">
      <c r="A598" s="1" t="s">
        <v>1307</v>
      </c>
      <c r="B598" s="2" t="s">
        <v>29</v>
      </c>
      <c r="C598" s="2"/>
      <c r="D598" s="2"/>
      <c r="E598" s="2" t="s">
        <v>1301</v>
      </c>
      <c r="F598" s="2">
        <v>2</v>
      </c>
      <c r="G598" s="2">
        <v>0.14000000000000001</v>
      </c>
      <c r="H598" s="2" t="s">
        <v>137</v>
      </c>
      <c r="I598" s="2" t="s">
        <v>53</v>
      </c>
      <c r="J598" s="2" t="s">
        <v>33</v>
      </c>
      <c r="K598" s="2"/>
      <c r="L598" s="2"/>
      <c r="M598" s="2"/>
      <c r="N598" s="2"/>
      <c r="O598" s="2" t="s">
        <v>70</v>
      </c>
      <c r="P598" s="2"/>
      <c r="Q598" s="2"/>
      <c r="R598" s="2">
        <v>1500</v>
      </c>
      <c r="S598" s="2">
        <v>210</v>
      </c>
      <c r="T598" s="13" t="str">
        <f t="shared" si="19"/>
        <v>DIAML004</v>
      </c>
      <c r="U598" s="2" t="s">
        <v>1308</v>
      </c>
      <c r="V598" s="2"/>
      <c r="W598" s="2">
        <v>2.35</v>
      </c>
      <c r="X598" s="2">
        <v>4.5</v>
      </c>
      <c r="Y598" s="2">
        <v>1.23</v>
      </c>
      <c r="Z598" s="2">
        <v>0</v>
      </c>
      <c r="AA598" s="2">
        <v>0</v>
      </c>
      <c r="AB598" s="2">
        <v>0.52</v>
      </c>
      <c r="AC598" s="3" t="str">
        <f t="shared" si="18"/>
        <v>Pair</v>
      </c>
    </row>
    <row r="599" spans="1:29" x14ac:dyDescent="0.25">
      <c r="A599" s="1" t="s">
        <v>1309</v>
      </c>
      <c r="B599" s="2" t="s">
        <v>29</v>
      </c>
      <c r="C599" s="2"/>
      <c r="D599" s="2"/>
      <c r="E599" s="2" t="s">
        <v>1301</v>
      </c>
      <c r="F599" s="2">
        <v>1</v>
      </c>
      <c r="G599" s="2">
        <v>0.72</v>
      </c>
      <c r="H599" s="2" t="s">
        <v>49</v>
      </c>
      <c r="I599" s="2" t="s">
        <v>50</v>
      </c>
      <c r="J599" s="2" t="s">
        <v>33</v>
      </c>
      <c r="K599" s="2"/>
      <c r="L599" s="2" t="s">
        <v>450</v>
      </c>
      <c r="M599" s="2" t="s">
        <v>43</v>
      </c>
      <c r="N599" s="2" t="s">
        <v>421</v>
      </c>
      <c r="O599" s="2" t="s">
        <v>34</v>
      </c>
      <c r="P599" s="2"/>
      <c r="Q599" s="2">
        <v>1419319414</v>
      </c>
      <c r="R599" s="2">
        <v>2800</v>
      </c>
      <c r="S599" s="2">
        <v>2016</v>
      </c>
      <c r="T599" s="13" t="str">
        <f t="shared" si="19"/>
        <v>SHM5048AA</v>
      </c>
      <c r="U599" s="2" t="s">
        <v>1310</v>
      </c>
      <c r="V599" s="2"/>
      <c r="W599" s="2">
        <v>6.17</v>
      </c>
      <c r="X599" s="2">
        <v>7.45</v>
      </c>
      <c r="Y599" s="2">
        <v>2.79</v>
      </c>
      <c r="Z599" s="2">
        <v>37.5</v>
      </c>
      <c r="AA599" s="2">
        <v>72</v>
      </c>
      <c r="AB599" s="2">
        <v>0.83</v>
      </c>
      <c r="AC599" s="3" t="str">
        <f t="shared" si="18"/>
        <v>Loose</v>
      </c>
    </row>
    <row r="600" spans="1:29" x14ac:dyDescent="0.25">
      <c r="A600" s="1" t="s">
        <v>1311</v>
      </c>
      <c r="B600" s="2" t="s">
        <v>29</v>
      </c>
      <c r="C600" s="2"/>
      <c r="D600" s="2"/>
      <c r="E600" s="2" t="s">
        <v>1301</v>
      </c>
      <c r="F600" s="2">
        <v>2</v>
      </c>
      <c r="G600" s="2">
        <v>0.17</v>
      </c>
      <c r="H600" s="2" t="s">
        <v>396</v>
      </c>
      <c r="I600" s="2" t="s">
        <v>39</v>
      </c>
      <c r="J600" s="2" t="s">
        <v>33</v>
      </c>
      <c r="K600" s="2"/>
      <c r="L600" s="2"/>
      <c r="M600" s="2"/>
      <c r="N600" s="2"/>
      <c r="O600" s="2"/>
      <c r="P600" s="2"/>
      <c r="Q600" s="2"/>
      <c r="R600" s="2">
        <v>1300</v>
      </c>
      <c r="S600" s="2">
        <v>221</v>
      </c>
      <c r="T600" s="13" t="str">
        <f t="shared" si="19"/>
        <v>DIAM149</v>
      </c>
      <c r="U600" s="2" t="s">
        <v>1312</v>
      </c>
      <c r="V600" s="2"/>
      <c r="W600" s="2">
        <v>2.99</v>
      </c>
      <c r="X600" s="2">
        <v>3.91</v>
      </c>
      <c r="Y600" s="2">
        <v>1.41</v>
      </c>
      <c r="Z600" s="2">
        <v>0</v>
      </c>
      <c r="AA600" s="2">
        <v>0</v>
      </c>
      <c r="AB600" s="2">
        <v>0.76</v>
      </c>
      <c r="AC600" s="3" t="str">
        <f t="shared" si="18"/>
        <v>Pair</v>
      </c>
    </row>
    <row r="601" spans="1:29" x14ac:dyDescent="0.25">
      <c r="A601" s="1" t="s">
        <v>1313</v>
      </c>
      <c r="B601" s="2" t="s">
        <v>29</v>
      </c>
      <c r="C601" s="2"/>
      <c r="D601" s="2"/>
      <c r="E601" s="2" t="s">
        <v>1301</v>
      </c>
      <c r="F601" s="2">
        <v>1</v>
      </c>
      <c r="G601" s="2">
        <v>0.55000000000000004</v>
      </c>
      <c r="H601" s="2" t="s">
        <v>49</v>
      </c>
      <c r="I601" s="2" t="s">
        <v>32</v>
      </c>
      <c r="J601" s="2" t="s">
        <v>33</v>
      </c>
      <c r="K601" s="2"/>
      <c r="L601" s="2" t="s">
        <v>43</v>
      </c>
      <c r="M601" s="2" t="s">
        <v>43</v>
      </c>
      <c r="N601" s="2" t="s">
        <v>421</v>
      </c>
      <c r="O601" s="2" t="s">
        <v>46</v>
      </c>
      <c r="P601" s="2"/>
      <c r="Q601" s="2">
        <v>2477353659</v>
      </c>
      <c r="R601" s="2">
        <v>2800</v>
      </c>
      <c r="S601" s="2">
        <v>1540</v>
      </c>
      <c r="T601" s="13" t="str">
        <f t="shared" si="19"/>
        <v>AUR13AAA</v>
      </c>
      <c r="U601" s="2" t="s">
        <v>1314</v>
      </c>
      <c r="V601" s="2"/>
      <c r="W601" s="2">
        <v>5.58</v>
      </c>
      <c r="X601" s="2">
        <v>6.99</v>
      </c>
      <c r="Y601" s="2">
        <v>2.6</v>
      </c>
      <c r="Z601" s="2">
        <v>37.200000000000003</v>
      </c>
      <c r="AA601" s="2">
        <v>72</v>
      </c>
      <c r="AB601" s="2">
        <v>0.8</v>
      </c>
      <c r="AC601" s="3" t="str">
        <f t="shared" si="18"/>
        <v>Loose</v>
      </c>
    </row>
    <row r="602" spans="1:29" x14ac:dyDescent="0.25">
      <c r="A602" s="1" t="s">
        <v>1315</v>
      </c>
      <c r="B602" s="2" t="s">
        <v>29</v>
      </c>
      <c r="C602" s="2"/>
      <c r="D602" s="2"/>
      <c r="E602" s="2" t="s">
        <v>1301</v>
      </c>
      <c r="F602" s="2">
        <v>2</v>
      </c>
      <c r="G602" s="2">
        <v>0.31</v>
      </c>
      <c r="H602" s="2" t="s">
        <v>38</v>
      </c>
      <c r="I602" s="2" t="s">
        <v>57</v>
      </c>
      <c r="J602" s="2" t="s">
        <v>33</v>
      </c>
      <c r="K602" s="2"/>
      <c r="L602" s="2"/>
      <c r="M602" s="2"/>
      <c r="N602" s="2"/>
      <c r="O602" s="2"/>
      <c r="P602" s="2"/>
      <c r="Q602" s="2"/>
      <c r="R602" s="2">
        <v>2500</v>
      </c>
      <c r="S602" s="2">
        <v>775</v>
      </c>
      <c r="T602" s="13" t="str">
        <f t="shared" si="19"/>
        <v>DIAM158C</v>
      </c>
      <c r="U602" s="2" t="s">
        <v>1316</v>
      </c>
      <c r="V602" s="2"/>
      <c r="W602" s="2">
        <v>4.1900000000000004</v>
      </c>
      <c r="X602" s="2">
        <v>5.25</v>
      </c>
      <c r="Y602" s="2">
        <v>1.41</v>
      </c>
      <c r="Z602" s="2">
        <v>0</v>
      </c>
      <c r="AA602" s="2">
        <v>0</v>
      </c>
      <c r="AB602" s="2">
        <v>0.8</v>
      </c>
      <c r="AC602" s="3" t="str">
        <f t="shared" si="18"/>
        <v>Pair</v>
      </c>
    </row>
    <row r="603" spans="1:29" x14ac:dyDescent="0.25">
      <c r="A603" s="1" t="s">
        <v>1317</v>
      </c>
      <c r="B603" s="2" t="s">
        <v>29</v>
      </c>
      <c r="C603" s="2"/>
      <c r="D603" s="2"/>
      <c r="E603" s="2" t="s">
        <v>1318</v>
      </c>
      <c r="F603" s="2">
        <v>1</v>
      </c>
      <c r="G603" s="2">
        <v>0.26</v>
      </c>
      <c r="H603" s="2" t="s">
        <v>31</v>
      </c>
      <c r="I603" s="2" t="s">
        <v>151</v>
      </c>
      <c r="J603" s="2" t="s">
        <v>69</v>
      </c>
      <c r="K603" s="2"/>
      <c r="L603" s="2"/>
      <c r="M603" s="2"/>
      <c r="N603" s="2"/>
      <c r="O603" s="2" t="s">
        <v>34</v>
      </c>
      <c r="P603" s="2"/>
      <c r="Q603" s="2"/>
      <c r="R603" s="2">
        <v>1000</v>
      </c>
      <c r="S603" s="2">
        <v>260</v>
      </c>
      <c r="T603" s="13" t="str">
        <f t="shared" si="19"/>
        <v>MTH8049</v>
      </c>
      <c r="U603" s="2" t="s">
        <v>1319</v>
      </c>
      <c r="V603" s="2"/>
      <c r="W603" s="2">
        <v>5.0599999999999996</v>
      </c>
      <c r="X603" s="2">
        <v>5.73</v>
      </c>
      <c r="Y603" s="2">
        <v>1.59</v>
      </c>
      <c r="Z603" s="2">
        <v>0</v>
      </c>
      <c r="AA603" s="2">
        <v>0</v>
      </c>
      <c r="AB603" s="2">
        <v>0.88</v>
      </c>
      <c r="AC603" s="3" t="str">
        <f t="shared" si="18"/>
        <v>Loose</v>
      </c>
    </row>
    <row r="604" spans="1:29" x14ac:dyDescent="0.25">
      <c r="A604" s="1" t="s">
        <v>1320</v>
      </c>
      <c r="B604" s="2" t="s">
        <v>37</v>
      </c>
      <c r="C604" s="2"/>
      <c r="D604" s="2"/>
      <c r="E604" s="2" t="s">
        <v>1318</v>
      </c>
      <c r="F604" s="2">
        <v>2</v>
      </c>
      <c r="G604" s="2">
        <v>2.0299999999999998</v>
      </c>
      <c r="H604" s="2" t="s">
        <v>137</v>
      </c>
      <c r="I604" s="2" t="s">
        <v>50</v>
      </c>
      <c r="J604" s="2" t="s">
        <v>33</v>
      </c>
      <c r="K604" s="2"/>
      <c r="L604" s="2"/>
      <c r="M604" s="2"/>
      <c r="N604" s="2"/>
      <c r="O604" s="2"/>
      <c r="P604" s="2"/>
      <c r="Q604" s="2"/>
      <c r="R604" s="2">
        <v>4400</v>
      </c>
      <c r="S604" s="2">
        <v>8932</v>
      </c>
      <c r="T604" s="13" t="str">
        <f t="shared" si="19"/>
        <v>DIAMS045</v>
      </c>
      <c r="U604" s="2" t="s">
        <v>1321</v>
      </c>
      <c r="V604" s="2"/>
      <c r="W604" s="2">
        <v>9.7899999999999991</v>
      </c>
      <c r="X604" s="2">
        <v>6.77</v>
      </c>
      <c r="Y604" s="2">
        <v>2.73</v>
      </c>
      <c r="Z604" s="2">
        <v>0</v>
      </c>
      <c r="AA604" s="2">
        <v>0</v>
      </c>
      <c r="AB604" s="2">
        <v>1.45</v>
      </c>
      <c r="AC604" s="3" t="str">
        <f t="shared" si="18"/>
        <v>Pair</v>
      </c>
    </row>
    <row r="605" spans="1:29" x14ac:dyDescent="0.25">
      <c r="A605" s="1" t="s">
        <v>1322</v>
      </c>
      <c r="B605" s="2" t="s">
        <v>29</v>
      </c>
      <c r="C605" s="2"/>
      <c r="D605" s="2"/>
      <c r="E605" s="2" t="s">
        <v>1323</v>
      </c>
      <c r="F605" s="2">
        <v>1</v>
      </c>
      <c r="G605" s="2">
        <v>0.51</v>
      </c>
      <c r="H605" s="2" t="s">
        <v>76</v>
      </c>
      <c r="I605" s="2" t="s">
        <v>57</v>
      </c>
      <c r="J605" s="2" t="s">
        <v>33</v>
      </c>
      <c r="K605" s="2"/>
      <c r="L605" s="2"/>
      <c r="M605" s="2"/>
      <c r="N605" s="2"/>
      <c r="O605" s="2" t="s">
        <v>34</v>
      </c>
      <c r="P605" s="2"/>
      <c r="Q605" s="2"/>
      <c r="R605" s="2">
        <v>1200</v>
      </c>
      <c r="S605" s="2">
        <v>612</v>
      </c>
      <c r="T605" s="13" t="str">
        <f t="shared" si="19"/>
        <v>PRN5050SIB</v>
      </c>
      <c r="U605" s="2" t="s">
        <v>1324</v>
      </c>
      <c r="V605" s="2"/>
      <c r="W605" s="2">
        <v>4.22</v>
      </c>
      <c r="X605" s="2">
        <v>4.13</v>
      </c>
      <c r="Y605" s="2">
        <v>3.36</v>
      </c>
      <c r="Z605" s="2">
        <v>0</v>
      </c>
      <c r="AA605" s="2">
        <v>0</v>
      </c>
      <c r="AB605" s="2">
        <v>1.02</v>
      </c>
      <c r="AC605" s="3" t="str">
        <f t="shared" si="18"/>
        <v>Loose</v>
      </c>
    </row>
    <row r="606" spans="1:29" x14ac:dyDescent="0.25">
      <c r="A606" s="1" t="s">
        <v>1325</v>
      </c>
      <c r="B606" s="2" t="s">
        <v>29</v>
      </c>
      <c r="C606" s="2"/>
      <c r="D606" s="2"/>
      <c r="E606" s="2" t="s">
        <v>1323</v>
      </c>
      <c r="F606" s="2">
        <v>1</v>
      </c>
      <c r="G606" s="2">
        <v>0.28999999999999998</v>
      </c>
      <c r="H606" s="2" t="s">
        <v>137</v>
      </c>
      <c r="I606" s="2" t="s">
        <v>39</v>
      </c>
      <c r="J606" s="2" t="s">
        <v>33</v>
      </c>
      <c r="K606" s="2"/>
      <c r="L606" s="2"/>
      <c r="M606" s="2"/>
      <c r="N606" s="2"/>
      <c r="O606" s="2" t="s">
        <v>77</v>
      </c>
      <c r="P606" s="2"/>
      <c r="Q606" s="2"/>
      <c r="R606" s="2">
        <v>1100</v>
      </c>
      <c r="S606" s="2">
        <v>319</v>
      </c>
      <c r="T606" s="13" t="str">
        <f t="shared" si="19"/>
        <v>MTH1390</v>
      </c>
      <c r="U606" s="2" t="s">
        <v>1326</v>
      </c>
      <c r="V606" s="2"/>
      <c r="W606" s="2">
        <v>3.74</v>
      </c>
      <c r="X606" s="2">
        <v>3.93</v>
      </c>
      <c r="Y606" s="2">
        <v>2.25</v>
      </c>
      <c r="Z606" s="2">
        <v>0</v>
      </c>
      <c r="AA606" s="2">
        <v>0</v>
      </c>
      <c r="AB606" s="2">
        <v>0.95</v>
      </c>
      <c r="AC606" s="3" t="str">
        <f t="shared" si="18"/>
        <v>Loose</v>
      </c>
    </row>
    <row r="607" spans="1:29" x14ac:dyDescent="0.25">
      <c r="A607" s="1" t="s">
        <v>1327</v>
      </c>
      <c r="B607" s="2" t="s">
        <v>29</v>
      </c>
      <c r="C607" s="2"/>
      <c r="D607" s="2"/>
      <c r="E607" s="2" t="s">
        <v>1323</v>
      </c>
      <c r="F607" s="2">
        <v>1</v>
      </c>
      <c r="G607" s="2">
        <v>0.42</v>
      </c>
      <c r="H607" s="2" t="s">
        <v>49</v>
      </c>
      <c r="I607" s="2" t="s">
        <v>32</v>
      </c>
      <c r="J607" s="2" t="s">
        <v>33</v>
      </c>
      <c r="K607" s="2"/>
      <c r="L607" s="2"/>
      <c r="M607" s="2"/>
      <c r="N607" s="2"/>
      <c r="O607" s="2" t="s">
        <v>34</v>
      </c>
      <c r="P607" s="2"/>
      <c r="Q607" s="2"/>
      <c r="R607" s="2">
        <v>900</v>
      </c>
      <c r="S607" s="2">
        <v>378</v>
      </c>
      <c r="T607" s="13" t="str">
        <f t="shared" si="19"/>
        <v>PLT10323A</v>
      </c>
      <c r="U607" s="2" t="s">
        <v>1328</v>
      </c>
      <c r="V607" s="2"/>
      <c r="W607" s="2">
        <v>4.1500000000000004</v>
      </c>
      <c r="X607" s="2">
        <v>4.32</v>
      </c>
      <c r="Y607" s="2">
        <v>2.83</v>
      </c>
      <c r="Z607" s="2">
        <v>0</v>
      </c>
      <c r="AA607" s="2">
        <v>0</v>
      </c>
      <c r="AB607" s="2">
        <v>0.96</v>
      </c>
      <c r="AC607" s="3" t="str">
        <f t="shared" si="18"/>
        <v>Loose</v>
      </c>
    </row>
    <row r="608" spans="1:29" x14ac:dyDescent="0.25">
      <c r="A608" s="1" t="s">
        <v>1329</v>
      </c>
      <c r="B608" s="2" t="s">
        <v>37</v>
      </c>
      <c r="C608" s="2"/>
      <c r="D608" s="2"/>
      <c r="E608" s="2" t="s">
        <v>1323</v>
      </c>
      <c r="F608" s="2">
        <v>1</v>
      </c>
      <c r="G608" s="2">
        <v>1.03</v>
      </c>
      <c r="H608" s="2" t="s">
        <v>137</v>
      </c>
      <c r="I608" s="2" t="s">
        <v>610</v>
      </c>
      <c r="J608" s="2" t="s">
        <v>69</v>
      </c>
      <c r="K608" s="2"/>
      <c r="L608" s="2"/>
      <c r="M608" s="2"/>
      <c r="N608" s="2"/>
      <c r="O608" s="2" t="s">
        <v>34</v>
      </c>
      <c r="P608" s="2"/>
      <c r="Q608" s="2"/>
      <c r="R608" s="2">
        <v>900</v>
      </c>
      <c r="S608" s="2">
        <v>927</v>
      </c>
      <c r="T608" s="13" t="str">
        <f t="shared" si="19"/>
        <v>PLT5802</v>
      </c>
      <c r="U608" s="2" t="s">
        <v>1330</v>
      </c>
      <c r="V608" s="2"/>
      <c r="W608" s="2">
        <v>5.57</v>
      </c>
      <c r="X608" s="2">
        <v>5.68</v>
      </c>
      <c r="Y608" s="2">
        <v>3.82</v>
      </c>
      <c r="Z608" s="2">
        <v>0</v>
      </c>
      <c r="AA608" s="2">
        <v>0</v>
      </c>
      <c r="AB608" s="2">
        <v>0.98</v>
      </c>
      <c r="AC608" s="3" t="str">
        <f t="shared" si="18"/>
        <v>Loose</v>
      </c>
    </row>
    <row r="609" spans="1:29" x14ac:dyDescent="0.25">
      <c r="A609" s="1" t="s">
        <v>1331</v>
      </c>
      <c r="B609" s="2" t="s">
        <v>29</v>
      </c>
      <c r="C609" s="2"/>
      <c r="D609" s="2"/>
      <c r="E609" s="2" t="s">
        <v>1323</v>
      </c>
      <c r="F609" s="2">
        <v>1</v>
      </c>
      <c r="G609" s="2">
        <v>0.38</v>
      </c>
      <c r="H609" s="2" t="s">
        <v>31</v>
      </c>
      <c r="I609" s="2" t="s">
        <v>57</v>
      </c>
      <c r="J609" s="2" t="s">
        <v>33</v>
      </c>
      <c r="K609" s="2"/>
      <c r="L609" s="2"/>
      <c r="M609" s="2"/>
      <c r="N609" s="2"/>
      <c r="O609" s="2" t="s">
        <v>34</v>
      </c>
      <c r="P609" s="2"/>
      <c r="Q609" s="2"/>
      <c r="R609" s="2">
        <v>1000</v>
      </c>
      <c r="S609" s="2">
        <v>380</v>
      </c>
      <c r="T609" s="13" t="str">
        <f t="shared" si="19"/>
        <v>PRN3740VS2A</v>
      </c>
      <c r="U609" s="2" t="s">
        <v>1332</v>
      </c>
      <c r="V609" s="2"/>
      <c r="W609" s="2">
        <v>3.63</v>
      </c>
      <c r="X609" s="2">
        <v>3.82</v>
      </c>
      <c r="Y609" s="2">
        <v>2.94</v>
      </c>
      <c r="Z609" s="2">
        <v>0</v>
      </c>
      <c r="AA609" s="2">
        <v>0</v>
      </c>
      <c r="AB609" s="2">
        <v>0.95</v>
      </c>
      <c r="AC609" s="3" t="str">
        <f t="shared" si="18"/>
        <v>Loose</v>
      </c>
    </row>
    <row r="610" spans="1:29" x14ac:dyDescent="0.25">
      <c r="A610" s="1" t="s">
        <v>1333</v>
      </c>
      <c r="B610" s="2" t="s">
        <v>29</v>
      </c>
      <c r="C610" s="2"/>
      <c r="D610" s="2"/>
      <c r="E610" s="2" t="s">
        <v>1323</v>
      </c>
      <c r="F610" s="2">
        <v>1</v>
      </c>
      <c r="G610" s="2">
        <v>0.4</v>
      </c>
      <c r="H610" s="2" t="s">
        <v>43</v>
      </c>
      <c r="I610" s="2" t="s">
        <v>57</v>
      </c>
      <c r="J610" s="2" t="s">
        <v>33</v>
      </c>
      <c r="K610" s="2"/>
      <c r="L610" s="2"/>
      <c r="M610" s="2"/>
      <c r="N610" s="2"/>
      <c r="O610" s="2"/>
      <c r="P610" s="2"/>
      <c r="Q610" s="2"/>
      <c r="R610" s="2">
        <v>1100</v>
      </c>
      <c r="S610" s="2">
        <v>440</v>
      </c>
      <c r="T610" s="13" t="str">
        <f t="shared" si="19"/>
        <v>PRN3740VS2B</v>
      </c>
      <c r="U610" s="2" t="s">
        <v>1334</v>
      </c>
      <c r="V610" s="2"/>
      <c r="W610" s="2">
        <v>4.1100000000000003</v>
      </c>
      <c r="X610" s="2">
        <v>3.89</v>
      </c>
      <c r="Y610" s="2">
        <v>2.92</v>
      </c>
      <c r="Z610" s="2">
        <v>0</v>
      </c>
      <c r="AA610" s="2">
        <v>0</v>
      </c>
      <c r="AB610" s="2">
        <v>1.06</v>
      </c>
      <c r="AC610" s="3" t="str">
        <f t="shared" si="18"/>
        <v>Loose</v>
      </c>
    </row>
    <row r="611" spans="1:29" x14ac:dyDescent="0.25">
      <c r="A611" s="1" t="s">
        <v>1335</v>
      </c>
      <c r="B611" s="2" t="s">
        <v>29</v>
      </c>
      <c r="C611" s="2"/>
      <c r="D611" s="2"/>
      <c r="E611" s="2" t="s">
        <v>1323</v>
      </c>
      <c r="F611" s="2">
        <v>1</v>
      </c>
      <c r="G611" s="2">
        <v>0.39</v>
      </c>
      <c r="H611" s="2" t="s">
        <v>43</v>
      </c>
      <c r="I611" s="2" t="s">
        <v>57</v>
      </c>
      <c r="J611" s="2" t="s">
        <v>33</v>
      </c>
      <c r="K611" s="2"/>
      <c r="L611" s="2"/>
      <c r="M611" s="2"/>
      <c r="N611" s="2"/>
      <c r="O611" s="2"/>
      <c r="P611" s="2"/>
      <c r="Q611" s="2"/>
      <c r="R611" s="2">
        <v>1100</v>
      </c>
      <c r="S611" s="2">
        <v>429</v>
      </c>
      <c r="T611" s="13" t="str">
        <f t="shared" si="19"/>
        <v>PRN3740VS2C</v>
      </c>
      <c r="U611" s="2" t="s">
        <v>1336</v>
      </c>
      <c r="V611" s="2"/>
      <c r="W611" s="2">
        <v>3.81</v>
      </c>
      <c r="X611" s="2">
        <v>3.77</v>
      </c>
      <c r="Y611" s="2">
        <v>3.03</v>
      </c>
      <c r="Z611" s="2">
        <v>0</v>
      </c>
      <c r="AA611" s="2">
        <v>0</v>
      </c>
      <c r="AB611" s="2">
        <v>1.01</v>
      </c>
      <c r="AC611" s="3" t="str">
        <f t="shared" si="18"/>
        <v>Loose</v>
      </c>
    </row>
    <row r="612" spans="1:29" x14ac:dyDescent="0.25">
      <c r="A612" s="1" t="s">
        <v>1337</v>
      </c>
      <c r="B612" s="2" t="s">
        <v>29</v>
      </c>
      <c r="C612" s="2"/>
      <c r="D612" s="2"/>
      <c r="E612" s="2" t="s">
        <v>1323</v>
      </c>
      <c r="F612" s="2">
        <v>1</v>
      </c>
      <c r="G612" s="2">
        <v>0.19</v>
      </c>
      <c r="H612" s="2" t="s">
        <v>73</v>
      </c>
      <c r="I612" s="2" t="s">
        <v>105</v>
      </c>
      <c r="J612" s="2" t="s">
        <v>69</v>
      </c>
      <c r="K612" s="2"/>
      <c r="L612" s="2"/>
      <c r="M612" s="2"/>
      <c r="N612" s="2"/>
      <c r="O612" s="2"/>
      <c r="P612" s="2"/>
      <c r="Q612" s="2"/>
      <c r="R612" s="2">
        <v>500</v>
      </c>
      <c r="S612" s="2">
        <v>95</v>
      </c>
      <c r="T612" s="13" t="str">
        <f t="shared" si="19"/>
        <v>PRN019</v>
      </c>
      <c r="U612" s="2" t="s">
        <v>1338</v>
      </c>
      <c r="V612" s="2"/>
      <c r="W612" s="2">
        <v>3.2</v>
      </c>
      <c r="X612" s="2">
        <v>3.23</v>
      </c>
      <c r="Y612" s="2">
        <v>2.21</v>
      </c>
      <c r="Z612" s="2">
        <v>0</v>
      </c>
      <c r="AA612" s="2">
        <v>0</v>
      </c>
      <c r="AB612" s="2">
        <v>0.99</v>
      </c>
      <c r="AC612" s="3" t="str">
        <f t="shared" si="18"/>
        <v>Loose</v>
      </c>
    </row>
    <row r="613" spans="1:29" x14ac:dyDescent="0.25">
      <c r="A613" s="1" t="s">
        <v>1339</v>
      </c>
      <c r="B613" s="2" t="s">
        <v>29</v>
      </c>
      <c r="C613" s="2"/>
      <c r="D613" s="2"/>
      <c r="E613" s="2" t="s">
        <v>1323</v>
      </c>
      <c r="F613" s="2">
        <v>1</v>
      </c>
      <c r="G613" s="2">
        <v>0.24</v>
      </c>
      <c r="H613" s="2" t="s">
        <v>73</v>
      </c>
      <c r="I613" s="2" t="s">
        <v>39</v>
      </c>
      <c r="J613" s="2" t="s">
        <v>33</v>
      </c>
      <c r="K613" s="2"/>
      <c r="L613" s="2"/>
      <c r="M613" s="2"/>
      <c r="N613" s="2"/>
      <c r="O613" s="2"/>
      <c r="P613" s="2"/>
      <c r="Q613" s="2"/>
      <c r="R613" s="2">
        <v>418</v>
      </c>
      <c r="S613" s="2">
        <v>100.32</v>
      </c>
      <c r="T613" s="13" t="str">
        <f t="shared" si="19"/>
        <v>PRN025</v>
      </c>
      <c r="U613" s="2" t="s">
        <v>1340</v>
      </c>
      <c r="V613" s="2"/>
      <c r="W613" s="2">
        <v>3.51</v>
      </c>
      <c r="X613" s="2">
        <v>3.51</v>
      </c>
      <c r="Y613" s="2">
        <v>2.31</v>
      </c>
      <c r="Z613" s="2">
        <v>0</v>
      </c>
      <c r="AA613" s="2">
        <v>0</v>
      </c>
      <c r="AB613" s="2">
        <v>1</v>
      </c>
      <c r="AC613" s="3" t="str">
        <f t="shared" si="18"/>
        <v>Loose</v>
      </c>
    </row>
    <row r="614" spans="1:29" x14ac:dyDescent="0.25">
      <c r="A614" s="1" t="s">
        <v>1341</v>
      </c>
      <c r="B614" s="2" t="s">
        <v>29</v>
      </c>
      <c r="C614" s="2"/>
      <c r="D614" s="2"/>
      <c r="E614" s="2" t="s">
        <v>1323</v>
      </c>
      <c r="F614" s="2">
        <v>1</v>
      </c>
      <c r="G614" s="2">
        <v>0.5</v>
      </c>
      <c r="H614" s="2" t="s">
        <v>137</v>
      </c>
      <c r="I614" s="2" t="s">
        <v>57</v>
      </c>
      <c r="J614" s="2" t="s">
        <v>397</v>
      </c>
      <c r="K614" s="2"/>
      <c r="L614" s="2" t="s">
        <v>450</v>
      </c>
      <c r="M614" s="2" t="s">
        <v>43</v>
      </c>
      <c r="N614" s="2" t="s">
        <v>421</v>
      </c>
      <c r="O614" s="2" t="s">
        <v>58</v>
      </c>
      <c r="P614" s="2"/>
      <c r="Q614" s="2">
        <v>2175918271</v>
      </c>
      <c r="R614" s="2">
        <v>1800</v>
      </c>
      <c r="S614" s="2">
        <v>900</v>
      </c>
      <c r="T614" s="13" t="str">
        <f t="shared" si="19"/>
        <v>PRN1001</v>
      </c>
      <c r="U614" s="2" t="s">
        <v>1342</v>
      </c>
      <c r="V614" s="2"/>
      <c r="W614" s="2">
        <v>4.32</v>
      </c>
      <c r="X614" s="2">
        <v>4</v>
      </c>
      <c r="Y614" s="2">
        <v>3.36</v>
      </c>
      <c r="Z614" s="2">
        <v>84.1</v>
      </c>
      <c r="AA614" s="2">
        <v>71</v>
      </c>
      <c r="AB614" s="2">
        <v>1.08</v>
      </c>
      <c r="AC614" s="3" t="str">
        <f t="shared" si="18"/>
        <v>Loose</v>
      </c>
    </row>
    <row r="615" spans="1:29" x14ac:dyDescent="0.25">
      <c r="A615" s="1" t="s">
        <v>1343</v>
      </c>
      <c r="B615" s="2" t="s">
        <v>29</v>
      </c>
      <c r="C615" s="2"/>
      <c r="D615" s="2"/>
      <c r="E615" s="2" t="s">
        <v>1323</v>
      </c>
      <c r="F615" s="2">
        <v>1</v>
      </c>
      <c r="G615" s="2">
        <v>0.1</v>
      </c>
      <c r="H615" s="2" t="s">
        <v>38</v>
      </c>
      <c r="I615" s="2" t="s">
        <v>53</v>
      </c>
      <c r="J615" s="2" t="s">
        <v>33</v>
      </c>
      <c r="K615" s="2"/>
      <c r="L615" s="2"/>
      <c r="M615" s="2"/>
      <c r="N615" s="2"/>
      <c r="O615" s="2" t="s">
        <v>46</v>
      </c>
      <c r="P615" s="2"/>
      <c r="Q615" s="2"/>
      <c r="R615" s="2">
        <v>600</v>
      </c>
      <c r="S615" s="2">
        <v>60</v>
      </c>
      <c r="T615" s="13" t="str">
        <f t="shared" si="19"/>
        <v>PRN1003</v>
      </c>
      <c r="U615" s="2" t="s">
        <v>1344</v>
      </c>
      <c r="V615" s="2"/>
      <c r="W615" s="2">
        <v>2.52</v>
      </c>
      <c r="X615" s="2">
        <v>2.58</v>
      </c>
      <c r="Y615" s="2">
        <v>1.77</v>
      </c>
      <c r="Z615" s="2">
        <v>0</v>
      </c>
      <c r="AA615" s="2">
        <v>0</v>
      </c>
      <c r="AB615" s="2">
        <v>0.98</v>
      </c>
      <c r="AC615" s="3" t="str">
        <f t="shared" si="18"/>
        <v>Loose</v>
      </c>
    </row>
    <row r="616" spans="1:29" x14ac:dyDescent="0.25">
      <c r="A616" s="1" t="s">
        <v>1345</v>
      </c>
      <c r="B616" s="2" t="s">
        <v>29</v>
      </c>
      <c r="C616" s="2"/>
      <c r="D616" s="2"/>
      <c r="E616" s="2" t="s">
        <v>1323</v>
      </c>
      <c r="F616" s="2">
        <v>1</v>
      </c>
      <c r="G616" s="2">
        <v>0.23</v>
      </c>
      <c r="H616" s="2" t="s">
        <v>76</v>
      </c>
      <c r="I616" s="2" t="s">
        <v>32</v>
      </c>
      <c r="J616" s="2" t="s">
        <v>33</v>
      </c>
      <c r="K616" s="2"/>
      <c r="L616" s="2"/>
      <c r="M616" s="2"/>
      <c r="N616" s="2"/>
      <c r="O616" s="2" t="s">
        <v>46</v>
      </c>
      <c r="P616" s="2"/>
      <c r="Q616" s="2"/>
      <c r="R616" s="2">
        <v>700</v>
      </c>
      <c r="S616" s="2">
        <v>161</v>
      </c>
      <c r="T616" s="13" t="str">
        <f t="shared" si="19"/>
        <v>PRN1006</v>
      </c>
      <c r="U616" s="2" t="s">
        <v>1346</v>
      </c>
      <c r="V616" s="2"/>
      <c r="W616" s="2">
        <v>3.29</v>
      </c>
      <c r="X616" s="2">
        <v>3.37</v>
      </c>
      <c r="Y616" s="2">
        <v>2.39</v>
      </c>
      <c r="Z616" s="2">
        <v>0</v>
      </c>
      <c r="AA616" s="2">
        <v>0</v>
      </c>
      <c r="AB616" s="2">
        <v>0.98</v>
      </c>
      <c r="AC616" s="3" t="str">
        <f t="shared" si="18"/>
        <v>Loose</v>
      </c>
    </row>
    <row r="617" spans="1:29" x14ac:dyDescent="0.25">
      <c r="A617" s="1" t="s">
        <v>1347</v>
      </c>
      <c r="B617" s="2" t="s">
        <v>29</v>
      </c>
      <c r="C617" s="2"/>
      <c r="D617" s="2"/>
      <c r="E617" s="2" t="s">
        <v>1323</v>
      </c>
      <c r="F617" s="2">
        <v>1</v>
      </c>
      <c r="G617" s="2">
        <v>0.24</v>
      </c>
      <c r="H617" s="2" t="s">
        <v>76</v>
      </c>
      <c r="I617" s="2" t="s">
        <v>53</v>
      </c>
      <c r="J617" s="2" t="s">
        <v>33</v>
      </c>
      <c r="K617" s="2"/>
      <c r="L617" s="2"/>
      <c r="M617" s="2"/>
      <c r="N617" s="2"/>
      <c r="O617" s="2" t="s">
        <v>34</v>
      </c>
      <c r="P617" s="2"/>
      <c r="Q617" s="2"/>
      <c r="R617" s="2">
        <v>700</v>
      </c>
      <c r="S617" s="2">
        <v>168</v>
      </c>
      <c r="T617" s="13" t="str">
        <f t="shared" si="19"/>
        <v>PRN1007</v>
      </c>
      <c r="U617" s="2" t="s">
        <v>1348</v>
      </c>
      <c r="V617" s="2"/>
      <c r="W617" s="2">
        <v>3.5</v>
      </c>
      <c r="X617" s="2">
        <v>3.7</v>
      </c>
      <c r="Y617" s="2">
        <v>2.4300000000000002</v>
      </c>
      <c r="Z617" s="2">
        <v>0</v>
      </c>
      <c r="AA617" s="2">
        <v>0</v>
      </c>
      <c r="AB617" s="2">
        <v>0.95</v>
      </c>
      <c r="AC617" s="3" t="str">
        <f t="shared" si="18"/>
        <v>Loose</v>
      </c>
    </row>
    <row r="618" spans="1:29" x14ac:dyDescent="0.25">
      <c r="A618" s="1" t="s">
        <v>1349</v>
      </c>
      <c r="B618" s="2" t="s">
        <v>29</v>
      </c>
      <c r="C618" s="2"/>
      <c r="D618" s="2"/>
      <c r="E618" s="2" t="s">
        <v>1350</v>
      </c>
      <c r="F618" s="2">
        <v>1</v>
      </c>
      <c r="G618" s="2">
        <v>0.26</v>
      </c>
      <c r="H618" s="2" t="s">
        <v>31</v>
      </c>
      <c r="I618" s="2" t="s">
        <v>68</v>
      </c>
      <c r="J618" s="2" t="s">
        <v>397</v>
      </c>
      <c r="K618" s="2"/>
      <c r="L618" s="2" t="s">
        <v>450</v>
      </c>
      <c r="M618" s="2" t="s">
        <v>450</v>
      </c>
      <c r="N618" s="2" t="s">
        <v>421</v>
      </c>
      <c r="O618" s="2" t="s">
        <v>34</v>
      </c>
      <c r="P618" s="2"/>
      <c r="Q618" s="2">
        <v>7356366332</v>
      </c>
      <c r="R618" s="2">
        <v>2300</v>
      </c>
      <c r="S618" s="2">
        <v>598</v>
      </c>
      <c r="T618" s="13" t="str">
        <f t="shared" si="19"/>
        <v>TPR2001</v>
      </c>
      <c r="U618" s="2" t="s">
        <v>1351</v>
      </c>
      <c r="V618" s="2"/>
      <c r="W618" s="2">
        <v>9.23</v>
      </c>
      <c r="X618" s="2">
        <v>1.82</v>
      </c>
      <c r="Y618" s="2">
        <v>1.6</v>
      </c>
      <c r="Z618" s="2">
        <v>88.1</v>
      </c>
      <c r="AA618" s="2">
        <v>69</v>
      </c>
      <c r="AB618" s="2">
        <v>5.07</v>
      </c>
      <c r="AC618" s="3" t="str">
        <f t="shared" si="18"/>
        <v>Loose</v>
      </c>
    </row>
    <row r="619" spans="1:29" x14ac:dyDescent="0.25">
      <c r="A619" s="1" t="s">
        <v>1352</v>
      </c>
      <c r="B619" s="2" t="s">
        <v>29</v>
      </c>
      <c r="C619" s="2"/>
      <c r="D619" s="2"/>
      <c r="E619" s="2" t="s">
        <v>1350</v>
      </c>
      <c r="F619" s="2">
        <v>1</v>
      </c>
      <c r="G619" s="2">
        <v>0.26</v>
      </c>
      <c r="H619" s="2" t="s">
        <v>43</v>
      </c>
      <c r="I619" s="2" t="s">
        <v>68</v>
      </c>
      <c r="J619" s="2" t="s">
        <v>397</v>
      </c>
      <c r="K619" s="2"/>
      <c r="L619" s="2" t="s">
        <v>450</v>
      </c>
      <c r="M619" s="2" t="s">
        <v>450</v>
      </c>
      <c r="N619" s="2" t="s">
        <v>421</v>
      </c>
      <c r="O619" s="2" t="s">
        <v>34</v>
      </c>
      <c r="P619" s="2"/>
      <c r="Q619" s="2">
        <v>1485538946</v>
      </c>
      <c r="R619" s="2">
        <v>2100</v>
      </c>
      <c r="S619" s="2">
        <v>546</v>
      </c>
      <c r="T619" s="13" t="str">
        <f t="shared" si="19"/>
        <v>SIMN159AA</v>
      </c>
      <c r="U619" s="2" t="s">
        <v>1353</v>
      </c>
      <c r="V619" s="2"/>
      <c r="W619" s="2">
        <v>6.04</v>
      </c>
      <c r="X619" s="2">
        <v>2.97</v>
      </c>
      <c r="Y619" s="2">
        <v>1.61</v>
      </c>
      <c r="Z619" s="2">
        <v>54.2</v>
      </c>
      <c r="AA619" s="2">
        <v>71</v>
      </c>
      <c r="AB619" s="2">
        <v>2.0299999999999998</v>
      </c>
      <c r="AC619" s="3" t="str">
        <f t="shared" si="18"/>
        <v>Loose</v>
      </c>
    </row>
    <row r="620" spans="1:29" x14ac:dyDescent="0.25">
      <c r="A620" s="1" t="s">
        <v>1354</v>
      </c>
      <c r="B620" s="2" t="s">
        <v>29</v>
      </c>
      <c r="C620" s="2"/>
      <c r="D620" s="2"/>
      <c r="E620" s="2" t="s">
        <v>1350</v>
      </c>
      <c r="F620" s="2">
        <v>1</v>
      </c>
      <c r="G620" s="2">
        <v>0.71</v>
      </c>
      <c r="H620" s="2"/>
      <c r="I620" s="2" t="s">
        <v>32</v>
      </c>
      <c r="J620" s="2" t="s">
        <v>69</v>
      </c>
      <c r="K620" s="2"/>
      <c r="L620" s="2" t="s">
        <v>450</v>
      </c>
      <c r="M620" s="2" t="s">
        <v>43</v>
      </c>
      <c r="N620" s="2" t="s">
        <v>421</v>
      </c>
      <c r="O620" s="2" t="s">
        <v>34</v>
      </c>
      <c r="P620" s="2"/>
      <c r="Q620" s="2">
        <v>6415977863</v>
      </c>
      <c r="R620" s="2">
        <v>1800</v>
      </c>
      <c r="S620" s="2">
        <v>1278</v>
      </c>
      <c r="T620" s="13" t="str">
        <f t="shared" si="19"/>
        <v>TPR1230</v>
      </c>
      <c r="U620" s="2" t="s">
        <v>1355</v>
      </c>
      <c r="V620" s="2"/>
      <c r="W620" s="2">
        <v>7.05</v>
      </c>
      <c r="X620" s="2">
        <v>4.32</v>
      </c>
      <c r="Y620" s="2">
        <v>2.56</v>
      </c>
      <c r="Z620" s="2">
        <v>59.3</v>
      </c>
      <c r="AA620" s="2">
        <v>73</v>
      </c>
      <c r="AB620" s="2">
        <v>1.63</v>
      </c>
      <c r="AC620" s="3" t="str">
        <f t="shared" si="18"/>
        <v>Loose</v>
      </c>
    </row>
    <row r="621" spans="1:29" x14ac:dyDescent="0.25">
      <c r="A621" s="1" t="s">
        <v>1356</v>
      </c>
      <c r="B621" s="2" t="s">
        <v>29</v>
      </c>
      <c r="C621" s="2"/>
      <c r="D621" s="2"/>
      <c r="E621" s="2" t="s">
        <v>1350</v>
      </c>
      <c r="F621" s="2">
        <v>1</v>
      </c>
      <c r="G621" s="2">
        <v>0.2</v>
      </c>
      <c r="H621" s="2" t="s">
        <v>396</v>
      </c>
      <c r="I621" s="2" t="s">
        <v>57</v>
      </c>
      <c r="J621" s="2" t="s">
        <v>33</v>
      </c>
      <c r="K621" s="2"/>
      <c r="L621" s="2" t="s">
        <v>450</v>
      </c>
      <c r="M621" s="2" t="s">
        <v>43</v>
      </c>
      <c r="N621" s="2" t="s">
        <v>421</v>
      </c>
      <c r="O621" s="2" t="s">
        <v>34</v>
      </c>
      <c r="P621" s="2"/>
      <c r="Q621" s="2">
        <v>2486280040</v>
      </c>
      <c r="R621" s="2">
        <v>3000</v>
      </c>
      <c r="S621" s="2">
        <v>600</v>
      </c>
      <c r="T621" s="13" t="str">
        <f t="shared" si="19"/>
        <v>LVP010BAA</v>
      </c>
      <c r="U621" s="2" t="s">
        <v>1357</v>
      </c>
      <c r="V621" s="2"/>
      <c r="W621" s="2">
        <v>5.9</v>
      </c>
      <c r="X621" s="2">
        <v>3.21</v>
      </c>
      <c r="Y621" s="2">
        <v>1.67</v>
      </c>
      <c r="Z621" s="2">
        <v>51.8</v>
      </c>
      <c r="AA621" s="2">
        <v>73</v>
      </c>
      <c r="AB621" s="2">
        <v>1.84</v>
      </c>
      <c r="AC621" s="3" t="str">
        <f t="shared" si="18"/>
        <v>Loose</v>
      </c>
    </row>
    <row r="622" spans="1:29" x14ac:dyDescent="0.25">
      <c r="A622" s="1" t="s">
        <v>1358</v>
      </c>
      <c r="B622" s="2" t="s">
        <v>29</v>
      </c>
      <c r="C622" s="2"/>
      <c r="D622" s="2"/>
      <c r="E622" s="2" t="s">
        <v>1350</v>
      </c>
      <c r="F622" s="2">
        <v>1</v>
      </c>
      <c r="G622" s="2">
        <v>0.47</v>
      </c>
      <c r="H622" s="2" t="s">
        <v>31</v>
      </c>
      <c r="I622" s="2" t="s">
        <v>57</v>
      </c>
      <c r="J622" s="2" t="s">
        <v>397</v>
      </c>
      <c r="K622" s="2"/>
      <c r="L622" s="2" t="s">
        <v>43</v>
      </c>
      <c r="M622" s="2" t="s">
        <v>450</v>
      </c>
      <c r="N622" s="2" t="s">
        <v>421</v>
      </c>
      <c r="O622" s="2" t="s">
        <v>77</v>
      </c>
      <c r="P622" s="2"/>
      <c r="Q622" s="2">
        <v>6502212206</v>
      </c>
      <c r="R622" s="2">
        <v>4000</v>
      </c>
      <c r="S622" s="2">
        <v>1880</v>
      </c>
      <c r="T622" s="13" t="str">
        <f t="shared" si="19"/>
        <v>PLT49704AAAA</v>
      </c>
      <c r="U622" s="2" t="s">
        <v>1359</v>
      </c>
      <c r="V622" s="2"/>
      <c r="W622" s="2">
        <v>8.6199999999999992</v>
      </c>
      <c r="X622" s="2">
        <v>4.2</v>
      </c>
      <c r="Y622" s="2">
        <v>1.95</v>
      </c>
      <c r="Z622" s="2">
        <v>46.5</v>
      </c>
      <c r="AA622" s="2">
        <v>76</v>
      </c>
      <c r="AB622" s="2">
        <v>2.0499999999999998</v>
      </c>
      <c r="AC622" s="3" t="str">
        <f t="shared" si="18"/>
        <v>Loose</v>
      </c>
    </row>
    <row r="623" spans="1:29" x14ac:dyDescent="0.25">
      <c r="A623" s="1" t="s">
        <v>1360</v>
      </c>
      <c r="B623" s="2" t="s">
        <v>29</v>
      </c>
      <c r="C623" s="2"/>
      <c r="D623" s="2"/>
      <c r="E623" s="2" t="s">
        <v>1350</v>
      </c>
      <c r="F623" s="2">
        <v>1</v>
      </c>
      <c r="G623" s="2">
        <v>0.27</v>
      </c>
      <c r="H623" s="2" t="s">
        <v>396</v>
      </c>
      <c r="I623" s="2" t="s">
        <v>68</v>
      </c>
      <c r="J623" s="2" t="s">
        <v>397</v>
      </c>
      <c r="K623" s="2"/>
      <c r="L623" s="2" t="s">
        <v>43</v>
      </c>
      <c r="M623" s="2" t="s">
        <v>38</v>
      </c>
      <c r="N623" s="2" t="s">
        <v>421</v>
      </c>
      <c r="O623" s="2" t="s">
        <v>34</v>
      </c>
      <c r="P623" s="2"/>
      <c r="Q623" s="2">
        <v>2504589274</v>
      </c>
      <c r="R623" s="2">
        <v>3000</v>
      </c>
      <c r="S623" s="2">
        <v>810</v>
      </c>
      <c r="T623" s="13" t="str">
        <f t="shared" si="19"/>
        <v>DRG02FAAAA</v>
      </c>
      <c r="U623" s="2" t="s">
        <v>1361</v>
      </c>
      <c r="V623" s="2"/>
      <c r="W623" s="2">
        <v>7.65</v>
      </c>
      <c r="X623" s="2">
        <v>3.15</v>
      </c>
      <c r="Y623" s="2">
        <v>1.76</v>
      </c>
      <c r="Z623" s="2">
        <v>55.9</v>
      </c>
      <c r="AA623" s="2">
        <v>56</v>
      </c>
      <c r="AB623" s="2">
        <v>2.4300000000000002</v>
      </c>
      <c r="AC623" s="3" t="str">
        <f t="shared" si="18"/>
        <v>Loose</v>
      </c>
    </row>
    <row r="624" spans="1:29" x14ac:dyDescent="0.25">
      <c r="A624" s="1" t="s">
        <v>1362</v>
      </c>
      <c r="B624" s="2" t="s">
        <v>29</v>
      </c>
      <c r="C624" s="2"/>
      <c r="D624" s="2"/>
      <c r="E624" s="2" t="s">
        <v>1350</v>
      </c>
      <c r="F624" s="2">
        <v>1</v>
      </c>
      <c r="G624" s="2">
        <v>0.44</v>
      </c>
      <c r="H624" s="2" t="s">
        <v>396</v>
      </c>
      <c r="I624" s="2" t="s">
        <v>39</v>
      </c>
      <c r="J624" s="2" t="s">
        <v>397</v>
      </c>
      <c r="K624" s="2"/>
      <c r="L624" s="2" t="s">
        <v>43</v>
      </c>
      <c r="M624" s="2" t="s">
        <v>43</v>
      </c>
      <c r="N624" s="2" t="s">
        <v>421</v>
      </c>
      <c r="O624" s="2"/>
      <c r="P624" s="2"/>
      <c r="Q624" s="2">
        <v>5232550130</v>
      </c>
      <c r="R624" s="2">
        <v>4500</v>
      </c>
      <c r="S624" s="2">
        <v>1980</v>
      </c>
      <c r="T624" s="13" t="str">
        <f t="shared" si="19"/>
        <v>PLT044</v>
      </c>
      <c r="U624" s="2" t="s">
        <v>1363</v>
      </c>
      <c r="V624" s="2"/>
      <c r="W624" s="2">
        <v>8.25</v>
      </c>
      <c r="X624" s="2">
        <v>4.3600000000000003</v>
      </c>
      <c r="Y624" s="2">
        <v>1.85</v>
      </c>
      <c r="Z624" s="2">
        <v>42.4</v>
      </c>
      <c r="AA624" s="2">
        <v>79</v>
      </c>
      <c r="AB624" s="2">
        <v>1.89</v>
      </c>
      <c r="AC624" s="3" t="str">
        <f t="shared" si="18"/>
        <v>Loose</v>
      </c>
    </row>
    <row r="625" spans="1:29" x14ac:dyDescent="0.25">
      <c r="A625" s="1" t="s">
        <v>1364</v>
      </c>
      <c r="B625" s="2" t="s">
        <v>29</v>
      </c>
      <c r="C625" s="2"/>
      <c r="D625" s="2"/>
      <c r="E625" s="2" t="s">
        <v>1350</v>
      </c>
      <c r="F625" s="2">
        <v>1</v>
      </c>
      <c r="G625" s="2">
        <v>0.44</v>
      </c>
      <c r="H625" s="2" t="s">
        <v>137</v>
      </c>
      <c r="I625" s="2" t="s">
        <v>39</v>
      </c>
      <c r="J625" s="2" t="s">
        <v>397</v>
      </c>
      <c r="K625" s="2"/>
      <c r="L625" s="2" t="s">
        <v>43</v>
      </c>
      <c r="M625" s="2" t="s">
        <v>43</v>
      </c>
      <c r="N625" s="2" t="s">
        <v>421</v>
      </c>
      <c r="O625" s="2" t="s">
        <v>34</v>
      </c>
      <c r="P625" s="2"/>
      <c r="Q625" s="2">
        <v>2235518641</v>
      </c>
      <c r="R625" s="2">
        <v>4000</v>
      </c>
      <c r="S625" s="2">
        <v>1760</v>
      </c>
      <c r="T625" s="13" t="str">
        <f t="shared" si="19"/>
        <v>LEV518AA</v>
      </c>
      <c r="U625" s="2" t="s">
        <v>1365</v>
      </c>
      <c r="V625" s="2"/>
      <c r="W625" s="2">
        <v>8.4600000000000009</v>
      </c>
      <c r="X625" s="2">
        <v>3.71</v>
      </c>
      <c r="Y625" s="2">
        <v>2.11</v>
      </c>
      <c r="Z625" s="2">
        <v>56.8</v>
      </c>
      <c r="AA625" s="2">
        <v>74</v>
      </c>
      <c r="AB625" s="2">
        <v>2.2799999999999998</v>
      </c>
      <c r="AC625" s="3" t="str">
        <f t="shared" si="18"/>
        <v>Loose</v>
      </c>
    </row>
    <row r="626" spans="1:29" x14ac:dyDescent="0.25">
      <c r="A626" s="1" t="s">
        <v>1366</v>
      </c>
      <c r="B626" s="2" t="s">
        <v>29</v>
      </c>
      <c r="C626" s="2"/>
      <c r="D626" s="2"/>
      <c r="E626" s="2" t="s">
        <v>1350</v>
      </c>
      <c r="F626" s="2">
        <v>1</v>
      </c>
      <c r="G626" s="2">
        <v>0.41</v>
      </c>
      <c r="H626" s="2" t="s">
        <v>31</v>
      </c>
      <c r="I626" s="2" t="s">
        <v>53</v>
      </c>
      <c r="J626" s="2" t="s">
        <v>397</v>
      </c>
      <c r="K626" s="2"/>
      <c r="L626" s="2" t="s">
        <v>43</v>
      </c>
      <c r="M626" s="2" t="s">
        <v>450</v>
      </c>
      <c r="N626" s="2" t="s">
        <v>421</v>
      </c>
      <c r="O626" s="2" t="s">
        <v>34</v>
      </c>
      <c r="P626" s="2"/>
      <c r="Q626" s="2">
        <v>2235550134</v>
      </c>
      <c r="R626" s="2">
        <v>2800</v>
      </c>
      <c r="S626" s="2">
        <v>1148</v>
      </c>
      <c r="T626" s="13" t="str">
        <f t="shared" si="19"/>
        <v>LEV517AA</v>
      </c>
      <c r="U626" s="2" t="s">
        <v>1367</v>
      </c>
      <c r="V626" s="2"/>
      <c r="W626" s="2">
        <v>6.82</v>
      </c>
      <c r="X626" s="2">
        <v>3.69</v>
      </c>
      <c r="Y626" s="2">
        <v>2.34</v>
      </c>
      <c r="Z626" s="2">
        <v>63.4</v>
      </c>
      <c r="AA626" s="2">
        <v>75</v>
      </c>
      <c r="AB626" s="2">
        <v>1.85</v>
      </c>
      <c r="AC626" s="3" t="str">
        <f t="shared" si="18"/>
        <v>Loose</v>
      </c>
    </row>
    <row r="627" spans="1:29" x14ac:dyDescent="0.25">
      <c r="A627" s="1" t="s">
        <v>1368</v>
      </c>
      <c r="B627" s="2" t="s">
        <v>29</v>
      </c>
      <c r="C627" s="2"/>
      <c r="D627" s="2"/>
      <c r="E627" s="2" t="s">
        <v>1350</v>
      </c>
      <c r="F627" s="2">
        <v>1</v>
      </c>
      <c r="G627" s="2">
        <v>0.34</v>
      </c>
      <c r="H627" s="2" t="s">
        <v>43</v>
      </c>
      <c r="I627" s="2" t="s">
        <v>57</v>
      </c>
      <c r="J627" s="2" t="s">
        <v>397</v>
      </c>
      <c r="K627" s="2"/>
      <c r="L627" s="2" t="s">
        <v>43</v>
      </c>
      <c r="M627" s="2" t="s">
        <v>43</v>
      </c>
      <c r="N627" s="2" t="s">
        <v>421</v>
      </c>
      <c r="O627" s="2" t="s">
        <v>34</v>
      </c>
      <c r="P627" s="2"/>
      <c r="Q627" s="2">
        <v>5232588910</v>
      </c>
      <c r="R627" s="2">
        <v>3200</v>
      </c>
      <c r="S627" s="2">
        <v>1088</v>
      </c>
      <c r="T627" s="13" t="str">
        <f t="shared" si="19"/>
        <v>PLT346BA</v>
      </c>
      <c r="U627" s="2" t="s">
        <v>1369</v>
      </c>
      <c r="V627" s="2"/>
      <c r="W627" s="2">
        <v>9.08</v>
      </c>
      <c r="X627" s="2">
        <v>3.32</v>
      </c>
      <c r="Y627" s="2">
        <v>1.54</v>
      </c>
      <c r="Z627" s="2">
        <v>46.3</v>
      </c>
      <c r="AA627" s="2">
        <v>76</v>
      </c>
      <c r="AB627" s="2">
        <v>2.73</v>
      </c>
      <c r="AC627" s="3" t="str">
        <f t="shared" si="18"/>
        <v>Loose</v>
      </c>
    </row>
    <row r="628" spans="1:29" x14ac:dyDescent="0.25">
      <c r="A628" s="1" t="s">
        <v>1370</v>
      </c>
      <c r="B628" s="2" t="s">
        <v>29</v>
      </c>
      <c r="C628" s="2"/>
      <c r="D628" s="2"/>
      <c r="E628" s="2" t="s">
        <v>1350</v>
      </c>
      <c r="F628" s="2">
        <v>1</v>
      </c>
      <c r="G628" s="2">
        <v>1.02</v>
      </c>
      <c r="H628" s="2" t="s">
        <v>396</v>
      </c>
      <c r="I628" s="2" t="s">
        <v>53</v>
      </c>
      <c r="J628" s="2" t="s">
        <v>397</v>
      </c>
      <c r="K628" s="2"/>
      <c r="L628" s="2" t="s">
        <v>43</v>
      </c>
      <c r="M628" s="2" t="s">
        <v>43</v>
      </c>
      <c r="N628" s="2" t="s">
        <v>421</v>
      </c>
      <c r="O628" s="2" t="s">
        <v>34</v>
      </c>
      <c r="P628" s="2"/>
      <c r="Q628" s="2">
        <v>2235672909</v>
      </c>
      <c r="R628" s="2">
        <v>7000</v>
      </c>
      <c r="S628" s="2">
        <v>7140</v>
      </c>
      <c r="T628" s="13" t="str">
        <f t="shared" si="19"/>
        <v>LEV502AAAAAAA</v>
      </c>
      <c r="U628" s="2" t="s">
        <v>1371</v>
      </c>
      <c r="V628" s="2"/>
      <c r="W628" s="2">
        <v>10.029999999999999</v>
      </c>
      <c r="X628" s="2">
        <v>5.05</v>
      </c>
      <c r="Y628" s="2">
        <v>2.98</v>
      </c>
      <c r="Z628" s="2">
        <v>59</v>
      </c>
      <c r="AA628" s="2">
        <v>75</v>
      </c>
      <c r="AB628" s="2">
        <v>1.99</v>
      </c>
      <c r="AC628" s="3" t="str">
        <f t="shared" si="18"/>
        <v>Loose</v>
      </c>
    </row>
    <row r="629" spans="1:29" x14ac:dyDescent="0.25">
      <c r="A629" s="1" t="s">
        <v>1372</v>
      </c>
      <c r="B629" s="2" t="s">
        <v>29</v>
      </c>
      <c r="C629" s="2"/>
      <c r="D629" s="2"/>
      <c r="E629" s="2" t="s">
        <v>1350</v>
      </c>
      <c r="F629" s="2">
        <v>1</v>
      </c>
      <c r="G629" s="2">
        <v>0.38</v>
      </c>
      <c r="H629" s="2" t="s">
        <v>396</v>
      </c>
      <c r="I629" s="2" t="s">
        <v>53</v>
      </c>
      <c r="J629" s="2" t="s">
        <v>397</v>
      </c>
      <c r="K629" s="2"/>
      <c r="L629" s="2" t="s">
        <v>43</v>
      </c>
      <c r="M629" s="2" t="s">
        <v>43</v>
      </c>
      <c r="N629" s="2" t="s">
        <v>421</v>
      </c>
      <c r="O629" s="2" t="s">
        <v>77</v>
      </c>
      <c r="P629" s="2"/>
      <c r="Q629" s="2">
        <v>2233696677</v>
      </c>
      <c r="R629" s="2">
        <v>3500</v>
      </c>
      <c r="S629" s="2">
        <v>1330</v>
      </c>
      <c r="T629" s="13" t="str">
        <f t="shared" si="19"/>
        <v>LVP055AABAAAA</v>
      </c>
      <c r="U629" s="2" t="s">
        <v>1373</v>
      </c>
      <c r="V629" s="2"/>
      <c r="W629" s="2">
        <v>8.01</v>
      </c>
      <c r="X629" s="2">
        <v>3.61</v>
      </c>
      <c r="Y629" s="2">
        <v>2.1800000000000002</v>
      </c>
      <c r="Z629" s="2">
        <v>60.4</v>
      </c>
      <c r="AA629" s="2">
        <v>72</v>
      </c>
      <c r="AB629" s="2">
        <v>2.2200000000000002</v>
      </c>
      <c r="AC629" s="3" t="str">
        <f t="shared" si="18"/>
        <v>Loose</v>
      </c>
    </row>
    <row r="630" spans="1:29" x14ac:dyDescent="0.25">
      <c r="A630" s="1" t="s">
        <v>1374</v>
      </c>
      <c r="B630" s="2" t="s">
        <v>29</v>
      </c>
      <c r="C630" s="2"/>
      <c r="D630" s="2"/>
      <c r="E630" s="2" t="s">
        <v>1350</v>
      </c>
      <c r="F630" s="2">
        <v>1</v>
      </c>
      <c r="G630" s="2">
        <v>0.31</v>
      </c>
      <c r="H630" s="2" t="s">
        <v>137</v>
      </c>
      <c r="I630" s="2" t="s">
        <v>57</v>
      </c>
      <c r="J630" s="2" t="s">
        <v>397</v>
      </c>
      <c r="K630" s="2"/>
      <c r="L630" s="2" t="s">
        <v>43</v>
      </c>
      <c r="M630" s="2" t="s">
        <v>43</v>
      </c>
      <c r="N630" s="2" t="s">
        <v>421</v>
      </c>
      <c r="O630" s="2" t="s">
        <v>34</v>
      </c>
      <c r="P630" s="2"/>
      <c r="Q630" s="2">
        <v>1232783996</v>
      </c>
      <c r="R630" s="2">
        <v>3500</v>
      </c>
      <c r="S630" s="2">
        <v>1085</v>
      </c>
      <c r="T630" s="13" t="str">
        <f t="shared" si="19"/>
        <v>LEV152410AAAA</v>
      </c>
      <c r="U630" s="2" t="s">
        <v>1375</v>
      </c>
      <c r="V630" s="2"/>
      <c r="W630" s="2">
        <v>7.82</v>
      </c>
      <c r="X630" s="2">
        <v>3.49</v>
      </c>
      <c r="Y630" s="2">
        <v>1.73</v>
      </c>
      <c r="Z630" s="2">
        <v>49.7</v>
      </c>
      <c r="AA630" s="2">
        <v>68</v>
      </c>
      <c r="AB630" s="2">
        <v>2.2400000000000002</v>
      </c>
      <c r="AC630" s="3" t="str">
        <f t="shared" si="18"/>
        <v>Loose</v>
      </c>
    </row>
    <row r="631" spans="1:29" x14ac:dyDescent="0.25">
      <c r="A631" s="1" t="s">
        <v>1376</v>
      </c>
      <c r="B631" s="2" t="s">
        <v>29</v>
      </c>
      <c r="C631" s="2"/>
      <c r="D631" s="2"/>
      <c r="E631" s="2" t="s">
        <v>1377</v>
      </c>
      <c r="F631" s="2">
        <v>1</v>
      </c>
      <c r="G631" s="2">
        <v>0.3</v>
      </c>
      <c r="H631" s="2" t="s">
        <v>31</v>
      </c>
      <c r="I631" s="2" t="s">
        <v>57</v>
      </c>
      <c r="J631" s="2" t="s">
        <v>33</v>
      </c>
      <c r="K631" s="2"/>
      <c r="L631" s="2"/>
      <c r="M631" s="2"/>
      <c r="N631" s="2"/>
      <c r="O631" s="2" t="s">
        <v>77</v>
      </c>
      <c r="P631" s="2"/>
      <c r="Q631" s="2"/>
      <c r="R631" s="2">
        <v>1800</v>
      </c>
      <c r="S631" s="2">
        <v>540</v>
      </c>
      <c r="T631" s="13" t="str">
        <f t="shared" si="19"/>
        <v>TB1152</v>
      </c>
      <c r="U631" s="2" t="s">
        <v>1378</v>
      </c>
      <c r="V631" s="2"/>
      <c r="W631" s="2">
        <v>2.6</v>
      </c>
      <c r="X631" s="2">
        <v>6.76</v>
      </c>
      <c r="Y631" s="2">
        <v>1.98</v>
      </c>
      <c r="Z631" s="2">
        <v>0</v>
      </c>
      <c r="AA631" s="2">
        <v>0</v>
      </c>
      <c r="AB631" s="2">
        <v>0.38</v>
      </c>
      <c r="AC631" s="3" t="str">
        <f t="shared" si="18"/>
        <v>Loose</v>
      </c>
    </row>
    <row r="632" spans="1:29" x14ac:dyDescent="0.25">
      <c r="A632" s="1" t="s">
        <v>1379</v>
      </c>
      <c r="B632" s="2" t="s">
        <v>29</v>
      </c>
      <c r="C632" s="2"/>
      <c r="D632" s="2"/>
      <c r="E632" s="2" t="s">
        <v>1377</v>
      </c>
      <c r="F632" s="2">
        <v>1</v>
      </c>
      <c r="G632" s="2">
        <v>0.1</v>
      </c>
      <c r="H632" s="2" t="s">
        <v>137</v>
      </c>
      <c r="I632" s="2" t="s">
        <v>57</v>
      </c>
      <c r="J632" s="2" t="s">
        <v>33</v>
      </c>
      <c r="K632" s="2"/>
      <c r="L632" s="2"/>
      <c r="M632" s="2"/>
      <c r="N632" s="2"/>
      <c r="O632" s="2" t="s">
        <v>77</v>
      </c>
      <c r="P632" s="2"/>
      <c r="Q632" s="2"/>
      <c r="R632" s="2">
        <v>1100</v>
      </c>
      <c r="S632" s="2">
        <v>110</v>
      </c>
      <c r="T632" s="13" t="str">
        <f t="shared" si="19"/>
        <v>TPR2003</v>
      </c>
      <c r="U632" s="2" t="s">
        <v>1380</v>
      </c>
      <c r="V632" s="2"/>
      <c r="W632" s="2">
        <v>1.96</v>
      </c>
      <c r="X632" s="2">
        <v>3.9</v>
      </c>
      <c r="Y632" s="2">
        <v>1.54</v>
      </c>
      <c r="Z632" s="2">
        <v>0</v>
      </c>
      <c r="AA632" s="2">
        <v>0</v>
      </c>
      <c r="AB632" s="2">
        <v>0.5</v>
      </c>
      <c r="AC632" s="3" t="str">
        <f t="shared" si="18"/>
        <v>Loose</v>
      </c>
    </row>
    <row r="633" spans="1:29" x14ac:dyDescent="0.25">
      <c r="A633" s="1" t="s">
        <v>1381</v>
      </c>
      <c r="B633" s="2" t="s">
        <v>29</v>
      </c>
      <c r="C633" s="2"/>
      <c r="D633" s="2"/>
      <c r="E633" s="2" t="s">
        <v>1377</v>
      </c>
      <c r="F633" s="2">
        <v>1</v>
      </c>
      <c r="G633" s="2">
        <v>0.16</v>
      </c>
      <c r="H633" s="2" t="s">
        <v>43</v>
      </c>
      <c r="I633" s="2" t="s">
        <v>68</v>
      </c>
      <c r="J633" s="2" t="s">
        <v>33</v>
      </c>
      <c r="K633" s="2"/>
      <c r="L633" s="2"/>
      <c r="M633" s="2"/>
      <c r="N633" s="2"/>
      <c r="O633" s="2" t="s">
        <v>70</v>
      </c>
      <c r="P633" s="2"/>
      <c r="Q633" s="2"/>
      <c r="R633" s="2">
        <v>1000</v>
      </c>
      <c r="S633" s="2">
        <v>160</v>
      </c>
      <c r="T633" s="13" t="str">
        <f t="shared" si="19"/>
        <v>TB016</v>
      </c>
      <c r="U633" s="2" t="s">
        <v>1382</v>
      </c>
      <c r="V633" s="2"/>
      <c r="W633" s="2">
        <v>2.63</v>
      </c>
      <c r="X633" s="2">
        <v>5.14</v>
      </c>
      <c r="Y633" s="2">
        <v>1.82</v>
      </c>
      <c r="Z633" s="2">
        <v>0</v>
      </c>
      <c r="AA633" s="2">
        <v>0</v>
      </c>
      <c r="AB633" s="2">
        <v>0.51</v>
      </c>
      <c r="AC633" s="3" t="str">
        <f t="shared" si="18"/>
        <v>Loose</v>
      </c>
    </row>
    <row r="634" spans="1:29" x14ac:dyDescent="0.25">
      <c r="A634" s="1" t="s">
        <v>1383</v>
      </c>
      <c r="B634" s="2" t="s">
        <v>37</v>
      </c>
      <c r="C634" s="2"/>
      <c r="D634" s="2"/>
      <c r="E634" s="2" t="s">
        <v>1377</v>
      </c>
      <c r="F634" s="2">
        <v>1</v>
      </c>
      <c r="G634" s="2">
        <v>0.23</v>
      </c>
      <c r="H634" s="2" t="s">
        <v>76</v>
      </c>
      <c r="I634" s="2" t="s">
        <v>57</v>
      </c>
      <c r="J634" s="2" t="s">
        <v>33</v>
      </c>
      <c r="K634" s="2"/>
      <c r="L634" s="2"/>
      <c r="M634" s="2"/>
      <c r="N634" s="2"/>
      <c r="O634" s="2" t="s">
        <v>34</v>
      </c>
      <c r="P634" s="2"/>
      <c r="Q634" s="2"/>
      <c r="R634" s="2">
        <v>1000</v>
      </c>
      <c r="S634" s="2">
        <v>230</v>
      </c>
      <c r="T634" s="13" t="str">
        <f t="shared" si="19"/>
        <v>PLT164905AA</v>
      </c>
      <c r="U634" s="2" t="s">
        <v>1384</v>
      </c>
      <c r="V634" s="2"/>
      <c r="W634" s="2">
        <v>4.07</v>
      </c>
      <c r="X634" s="2">
        <v>5.98</v>
      </c>
      <c r="Y634" s="2">
        <v>1.57</v>
      </c>
      <c r="Z634" s="2">
        <v>0</v>
      </c>
      <c r="AA634" s="2">
        <v>0</v>
      </c>
      <c r="AB634" s="2">
        <v>0.68</v>
      </c>
      <c r="AC634" s="3" t="str">
        <f t="shared" si="18"/>
        <v>Loose</v>
      </c>
    </row>
    <row r="635" spans="1:29" x14ac:dyDescent="0.25">
      <c r="A635" s="1" t="s">
        <v>1385</v>
      </c>
      <c r="B635" s="2" t="s">
        <v>29</v>
      </c>
      <c r="C635" s="2"/>
      <c r="D635" s="2"/>
      <c r="E635" s="2" t="s">
        <v>1377</v>
      </c>
      <c r="F635" s="2">
        <v>1</v>
      </c>
      <c r="G635" s="2">
        <v>0.14000000000000001</v>
      </c>
      <c r="H635" s="2" t="s">
        <v>67</v>
      </c>
      <c r="I635" s="2" t="s">
        <v>68</v>
      </c>
      <c r="J635" s="2" t="s">
        <v>69</v>
      </c>
      <c r="K635" s="2"/>
      <c r="L635" s="2"/>
      <c r="M635" s="2"/>
      <c r="N635" s="2"/>
      <c r="O635" s="2" t="s">
        <v>70</v>
      </c>
      <c r="P635" s="2"/>
      <c r="Q635" s="2"/>
      <c r="R635" s="2">
        <v>400</v>
      </c>
      <c r="S635" s="2">
        <v>56</v>
      </c>
      <c r="T635" s="13" t="str">
        <f t="shared" si="19"/>
        <v>TB1001</v>
      </c>
      <c r="U635" s="2" t="s">
        <v>1386</v>
      </c>
      <c r="V635" s="2"/>
      <c r="W635" s="2">
        <v>2.57</v>
      </c>
      <c r="X635" s="2">
        <v>4.92</v>
      </c>
      <c r="Y635" s="2">
        <v>1.55</v>
      </c>
      <c r="Z635" s="2">
        <v>0</v>
      </c>
      <c r="AA635" s="2">
        <v>0</v>
      </c>
      <c r="AB635" s="2">
        <v>0.52</v>
      </c>
      <c r="AC635" s="3" t="str">
        <f t="shared" si="18"/>
        <v>Loose</v>
      </c>
    </row>
    <row r="636" spans="1:29" x14ac:dyDescent="0.25">
      <c r="A636" s="1" t="s">
        <v>1387</v>
      </c>
      <c r="B636" s="2" t="s">
        <v>29</v>
      </c>
      <c r="C636" s="2"/>
      <c r="D636" s="2"/>
      <c r="E636" s="2" t="s">
        <v>1377</v>
      </c>
      <c r="F636" s="2">
        <v>1</v>
      </c>
      <c r="G636" s="2">
        <v>0.16</v>
      </c>
      <c r="H636" s="2" t="s">
        <v>73</v>
      </c>
      <c r="I636" s="2" t="s">
        <v>32</v>
      </c>
      <c r="J636" s="2" t="s">
        <v>33</v>
      </c>
      <c r="K636" s="2"/>
      <c r="L636" s="2"/>
      <c r="M636" s="2"/>
      <c r="N636" s="2"/>
      <c r="O636" s="2" t="s">
        <v>70</v>
      </c>
      <c r="P636" s="2"/>
      <c r="Q636" s="2"/>
      <c r="R636" s="2">
        <v>300</v>
      </c>
      <c r="S636" s="2">
        <v>48</v>
      </c>
      <c r="T636" s="13" t="str">
        <f t="shared" si="19"/>
        <v>TB1002</v>
      </c>
      <c r="U636" s="2" t="s">
        <v>1388</v>
      </c>
      <c r="V636" s="2"/>
      <c r="W636" s="2">
        <v>2.2599999999999998</v>
      </c>
      <c r="X636" s="2">
        <v>4.42</v>
      </c>
      <c r="Y636" s="2">
        <v>1.8</v>
      </c>
      <c r="Z636" s="2">
        <v>0</v>
      </c>
      <c r="AA636" s="2">
        <v>0</v>
      </c>
      <c r="AB636" s="2">
        <v>0.51</v>
      </c>
      <c r="AC636" s="3" t="str">
        <f t="shared" si="18"/>
        <v>Loose</v>
      </c>
    </row>
    <row r="637" spans="1:29" x14ac:dyDescent="0.25">
      <c r="A637" s="1" t="s">
        <v>1389</v>
      </c>
      <c r="B637" s="2" t="s">
        <v>29</v>
      </c>
      <c r="C637" s="2"/>
      <c r="D637" s="2"/>
      <c r="E637" s="2" t="s">
        <v>1377</v>
      </c>
      <c r="F637" s="2">
        <v>1</v>
      </c>
      <c r="G637" s="2">
        <v>0.4</v>
      </c>
      <c r="H637" s="2" t="s">
        <v>31</v>
      </c>
      <c r="I637" s="2" t="s">
        <v>175</v>
      </c>
      <c r="J637" s="2" t="s">
        <v>69</v>
      </c>
      <c r="K637" s="2"/>
      <c r="L637" s="2"/>
      <c r="M637" s="2"/>
      <c r="N637" s="2"/>
      <c r="O637" s="2" t="s">
        <v>34</v>
      </c>
      <c r="P637" s="2"/>
      <c r="Q637" s="2"/>
      <c r="R637" s="2">
        <v>200</v>
      </c>
      <c r="S637" s="2">
        <v>80</v>
      </c>
      <c r="T637" s="13" t="str">
        <f t="shared" si="19"/>
        <v>TB1007</v>
      </c>
      <c r="U637" s="2" t="s">
        <v>1390</v>
      </c>
      <c r="V637" s="2"/>
      <c r="W637" s="2">
        <v>2.7</v>
      </c>
      <c r="X637" s="2">
        <v>6.76</v>
      </c>
      <c r="Y637" s="2">
        <v>2.19</v>
      </c>
      <c r="Z637" s="2">
        <v>0</v>
      </c>
      <c r="AA637" s="2">
        <v>0</v>
      </c>
      <c r="AB637" s="2">
        <v>0.4</v>
      </c>
      <c r="AC637" s="3" t="str">
        <f t="shared" si="18"/>
        <v>Loose</v>
      </c>
    </row>
    <row r="638" spans="1:29" x14ac:dyDescent="0.25">
      <c r="A638" s="1" t="s">
        <v>1391</v>
      </c>
      <c r="B638" s="2" t="s">
        <v>29</v>
      </c>
      <c r="C638" s="2"/>
      <c r="D638" s="2"/>
      <c r="E638" s="2" t="s">
        <v>1377</v>
      </c>
      <c r="F638" s="2">
        <v>1</v>
      </c>
      <c r="G638" s="2">
        <v>0.13</v>
      </c>
      <c r="H638" s="2" t="s">
        <v>73</v>
      </c>
      <c r="I638" s="2" t="s">
        <v>50</v>
      </c>
      <c r="J638" s="2" t="s">
        <v>33</v>
      </c>
      <c r="K638" s="2"/>
      <c r="L638" s="2"/>
      <c r="M638" s="2"/>
      <c r="N638" s="2"/>
      <c r="O638" s="2" t="s">
        <v>46</v>
      </c>
      <c r="P638" s="2"/>
      <c r="Q638" s="2"/>
      <c r="R638" s="2">
        <v>300</v>
      </c>
      <c r="S638" s="2">
        <v>39</v>
      </c>
      <c r="T638" s="13" t="str">
        <f t="shared" si="19"/>
        <v>TB1013</v>
      </c>
      <c r="U638" s="2" t="s">
        <v>1392</v>
      </c>
      <c r="V638" s="2"/>
      <c r="W638" s="2">
        <v>2.36</v>
      </c>
      <c r="X638" s="2">
        <v>5.54</v>
      </c>
      <c r="Y638" s="2">
        <v>1.28</v>
      </c>
      <c r="Z638" s="2">
        <v>0</v>
      </c>
      <c r="AA638" s="2">
        <v>0</v>
      </c>
      <c r="AB638" s="2">
        <v>0.43</v>
      </c>
      <c r="AC638" s="3" t="str">
        <f t="shared" si="18"/>
        <v>Loose</v>
      </c>
    </row>
    <row r="639" spans="1:29" x14ac:dyDescent="0.25">
      <c r="A639" s="1" t="s">
        <v>1393</v>
      </c>
      <c r="B639" s="2" t="s">
        <v>29</v>
      </c>
      <c r="C639" s="2"/>
      <c r="D639" s="2"/>
      <c r="E639" s="2" t="s">
        <v>1377</v>
      </c>
      <c r="F639" s="2">
        <v>1</v>
      </c>
      <c r="G639" s="2">
        <v>0.11</v>
      </c>
      <c r="H639" s="2" t="s">
        <v>73</v>
      </c>
      <c r="I639" s="2" t="s">
        <v>32</v>
      </c>
      <c r="J639" s="2" t="s">
        <v>33</v>
      </c>
      <c r="K639" s="2"/>
      <c r="L639" s="2"/>
      <c r="M639" s="2"/>
      <c r="N639" s="2"/>
      <c r="O639" s="2" t="s">
        <v>46</v>
      </c>
      <c r="P639" s="2"/>
      <c r="Q639" s="2"/>
      <c r="R639" s="2">
        <v>200</v>
      </c>
      <c r="S639" s="2">
        <v>22</v>
      </c>
      <c r="T639" s="13" t="str">
        <f t="shared" si="19"/>
        <v>TB1014</v>
      </c>
      <c r="U639" s="2" t="s">
        <v>1394</v>
      </c>
      <c r="V639" s="2"/>
      <c r="W639" s="2">
        <v>1.6</v>
      </c>
      <c r="X639" s="2">
        <v>5.76</v>
      </c>
      <c r="Y639" s="2">
        <v>1.24</v>
      </c>
      <c r="Z639" s="2">
        <v>0</v>
      </c>
      <c r="AA639" s="2">
        <v>0</v>
      </c>
      <c r="AB639" s="2">
        <v>0.28000000000000003</v>
      </c>
      <c r="AC639" s="3" t="str">
        <f t="shared" si="18"/>
        <v>Loose</v>
      </c>
    </row>
    <row r="640" spans="1:29" x14ac:dyDescent="0.25">
      <c r="A640" s="1" t="s">
        <v>1395</v>
      </c>
      <c r="B640" s="2" t="s">
        <v>29</v>
      </c>
      <c r="C640" s="2"/>
      <c r="D640" s="2"/>
      <c r="E640" s="2" t="s">
        <v>1377</v>
      </c>
      <c r="F640" s="2">
        <v>1</v>
      </c>
      <c r="G640" s="2">
        <v>0.1</v>
      </c>
      <c r="H640" s="2" t="s">
        <v>76</v>
      </c>
      <c r="I640" s="2" t="s">
        <v>32</v>
      </c>
      <c r="J640" s="2" t="s">
        <v>33</v>
      </c>
      <c r="K640" s="2"/>
      <c r="L640" s="2"/>
      <c r="M640" s="2"/>
      <c r="N640" s="2"/>
      <c r="O640" s="2" t="s">
        <v>61</v>
      </c>
      <c r="P640" s="2"/>
      <c r="Q640" s="2"/>
      <c r="R640" s="2">
        <v>254</v>
      </c>
      <c r="S640" s="2">
        <v>25.4</v>
      </c>
      <c r="T640" s="13" t="str">
        <f t="shared" si="19"/>
        <v>TB1015</v>
      </c>
      <c r="U640" s="2" t="s">
        <v>1396</v>
      </c>
      <c r="V640" s="2"/>
      <c r="W640" s="2">
        <v>1.84</v>
      </c>
      <c r="X640" s="2">
        <v>5.1100000000000003</v>
      </c>
      <c r="Y640" s="2">
        <v>1.36</v>
      </c>
      <c r="Z640" s="2">
        <v>0</v>
      </c>
      <c r="AA640" s="2">
        <v>0</v>
      </c>
      <c r="AB640" s="2">
        <v>0.36</v>
      </c>
      <c r="AC640" s="3" t="str">
        <f t="shared" si="18"/>
        <v>Loose</v>
      </c>
    </row>
    <row r="641" spans="1:29" x14ac:dyDescent="0.25">
      <c r="A641" s="1" t="s">
        <v>1397</v>
      </c>
      <c r="B641" s="2" t="s">
        <v>29</v>
      </c>
      <c r="C641" s="2"/>
      <c r="D641" s="2"/>
      <c r="E641" s="2" t="s">
        <v>1377</v>
      </c>
      <c r="F641" s="2">
        <v>1</v>
      </c>
      <c r="G641" s="2">
        <v>0.14000000000000001</v>
      </c>
      <c r="H641" s="2" t="s">
        <v>76</v>
      </c>
      <c r="I641" s="2" t="s">
        <v>32</v>
      </c>
      <c r="J641" s="2" t="s">
        <v>33</v>
      </c>
      <c r="K641" s="2"/>
      <c r="L641" s="2"/>
      <c r="M641" s="2"/>
      <c r="N641" s="2"/>
      <c r="O641" s="2" t="s">
        <v>61</v>
      </c>
      <c r="P641" s="2"/>
      <c r="Q641" s="2"/>
      <c r="R641" s="2">
        <v>300</v>
      </c>
      <c r="S641" s="2">
        <v>42</v>
      </c>
      <c r="T641" s="13" t="str">
        <f t="shared" si="19"/>
        <v>TB1019</v>
      </c>
      <c r="U641" s="2" t="s">
        <v>1398</v>
      </c>
      <c r="V641" s="2"/>
      <c r="W641" s="2">
        <v>2.34</v>
      </c>
      <c r="X641" s="2">
        <v>3.96</v>
      </c>
      <c r="Y641" s="2">
        <v>1.79</v>
      </c>
      <c r="Z641" s="2">
        <v>0</v>
      </c>
      <c r="AA641" s="2">
        <v>0</v>
      </c>
      <c r="AB641" s="2">
        <v>0.59</v>
      </c>
      <c r="AC641" s="3" t="str">
        <f t="shared" si="18"/>
        <v>Loose</v>
      </c>
    </row>
    <row r="642" spans="1:29" x14ac:dyDescent="0.25">
      <c r="A642" s="1" t="s">
        <v>1399</v>
      </c>
      <c r="B642" s="2" t="s">
        <v>29</v>
      </c>
      <c r="C642" s="2"/>
      <c r="D642" s="2"/>
      <c r="E642" s="2" t="s">
        <v>1377</v>
      </c>
      <c r="F642" s="2">
        <v>1</v>
      </c>
      <c r="G642" s="2">
        <v>0.12</v>
      </c>
      <c r="H642" s="2" t="s">
        <v>76</v>
      </c>
      <c r="I642" s="2" t="s">
        <v>50</v>
      </c>
      <c r="J642" s="2" t="s">
        <v>33</v>
      </c>
      <c r="K642" s="2"/>
      <c r="L642" s="2"/>
      <c r="M642" s="2"/>
      <c r="N642" s="2"/>
      <c r="O642" s="2" t="s">
        <v>70</v>
      </c>
      <c r="P642" s="2"/>
      <c r="Q642" s="2"/>
      <c r="R642" s="2">
        <v>300</v>
      </c>
      <c r="S642" s="2">
        <v>36</v>
      </c>
      <c r="T642" s="13" t="str">
        <f t="shared" si="19"/>
        <v>TB1020</v>
      </c>
      <c r="U642" s="2" t="s">
        <v>1400</v>
      </c>
      <c r="V642" s="2"/>
      <c r="W642" s="2">
        <v>2.6</v>
      </c>
      <c r="X642" s="2">
        <v>3.95</v>
      </c>
      <c r="Y642" s="2">
        <v>1.59</v>
      </c>
      <c r="Z642" s="2">
        <v>0</v>
      </c>
      <c r="AA642" s="2">
        <v>0</v>
      </c>
      <c r="AB642" s="2">
        <v>0.66</v>
      </c>
      <c r="AC642" s="3" t="str">
        <f t="shared" ref="AC642:AC705" si="20">IF(F642=2,"Pair","Loose")</f>
        <v>Loose</v>
      </c>
    </row>
    <row r="643" spans="1:29" x14ac:dyDescent="0.25">
      <c r="A643" s="1" t="s">
        <v>1401</v>
      </c>
      <c r="B643" s="2" t="s">
        <v>29</v>
      </c>
      <c r="C643" s="2"/>
      <c r="D643" s="2"/>
      <c r="E643" s="2" t="s">
        <v>1377</v>
      </c>
      <c r="F643" s="2">
        <v>1</v>
      </c>
      <c r="G643" s="2">
        <v>0.21</v>
      </c>
      <c r="H643" s="2" t="s">
        <v>76</v>
      </c>
      <c r="I643" s="2" t="s">
        <v>50</v>
      </c>
      <c r="J643" s="2" t="s">
        <v>33</v>
      </c>
      <c r="K643" s="2"/>
      <c r="L643" s="2"/>
      <c r="M643" s="2"/>
      <c r="N643" s="2"/>
      <c r="O643" s="2" t="s">
        <v>34</v>
      </c>
      <c r="P643" s="2"/>
      <c r="Q643" s="2"/>
      <c r="R643" s="2">
        <v>500</v>
      </c>
      <c r="S643" s="2">
        <v>105</v>
      </c>
      <c r="T643" s="13" t="str">
        <f t="shared" si="19"/>
        <v>TB1021</v>
      </c>
      <c r="U643" s="2" t="s">
        <v>1402</v>
      </c>
      <c r="V643" s="2"/>
      <c r="W643" s="2">
        <v>2.67</v>
      </c>
      <c r="X643" s="2">
        <v>4.3600000000000003</v>
      </c>
      <c r="Y643" s="2">
        <v>2.0499999999999998</v>
      </c>
      <c r="Z643" s="2">
        <v>0</v>
      </c>
      <c r="AA643" s="2">
        <v>0</v>
      </c>
      <c r="AB643" s="2">
        <v>0.61</v>
      </c>
      <c r="AC643" s="3" t="str">
        <f t="shared" si="20"/>
        <v>Loose</v>
      </c>
    </row>
    <row r="644" spans="1:29" x14ac:dyDescent="0.25">
      <c r="A644" s="1" t="s">
        <v>1403</v>
      </c>
      <c r="B644" s="2" t="s">
        <v>29</v>
      </c>
      <c r="C644" s="2"/>
      <c r="D644" s="2"/>
      <c r="E644" s="2" t="s">
        <v>1377</v>
      </c>
      <c r="F644" s="2">
        <v>1</v>
      </c>
      <c r="G644" s="2">
        <v>0.11</v>
      </c>
      <c r="H644" s="2" t="s">
        <v>31</v>
      </c>
      <c r="I644" s="2" t="s">
        <v>151</v>
      </c>
      <c r="J644" s="2" t="s">
        <v>69</v>
      </c>
      <c r="K644" s="2"/>
      <c r="L644" s="2"/>
      <c r="M644" s="2"/>
      <c r="N644" s="2"/>
      <c r="O644" s="2" t="s">
        <v>70</v>
      </c>
      <c r="P644" s="2"/>
      <c r="Q644" s="2"/>
      <c r="R644" s="2">
        <v>200</v>
      </c>
      <c r="S644" s="2">
        <v>22</v>
      </c>
      <c r="T644" s="13" t="str">
        <f t="shared" si="19"/>
        <v>TB1023</v>
      </c>
      <c r="U644" s="2" t="s">
        <v>1404</v>
      </c>
      <c r="V644" s="2"/>
      <c r="W644" s="2">
        <v>2.19</v>
      </c>
      <c r="X644" s="2">
        <v>3.75</v>
      </c>
      <c r="Y644" s="2">
        <v>1.61</v>
      </c>
      <c r="Z644" s="2">
        <v>0</v>
      </c>
      <c r="AA644" s="2">
        <v>0</v>
      </c>
      <c r="AB644" s="2">
        <v>0.57999999999999996</v>
      </c>
      <c r="AC644" s="3" t="str">
        <f t="shared" si="20"/>
        <v>Loose</v>
      </c>
    </row>
    <row r="645" spans="1:29" x14ac:dyDescent="0.25">
      <c r="A645" s="1" t="s">
        <v>1405</v>
      </c>
      <c r="B645" s="2" t="s">
        <v>29</v>
      </c>
      <c r="C645" s="2"/>
      <c r="D645" s="2"/>
      <c r="E645" s="2" t="s">
        <v>1377</v>
      </c>
      <c r="F645" s="2">
        <v>1</v>
      </c>
      <c r="G645" s="2">
        <v>0.13</v>
      </c>
      <c r="H645" s="2" t="s">
        <v>31</v>
      </c>
      <c r="I645" s="2" t="s">
        <v>53</v>
      </c>
      <c r="J645" s="2" t="s">
        <v>33</v>
      </c>
      <c r="K645" s="2"/>
      <c r="L645" s="2"/>
      <c r="M645" s="2"/>
      <c r="N645" s="2"/>
      <c r="O645" s="2" t="s">
        <v>70</v>
      </c>
      <c r="P645" s="2"/>
      <c r="Q645" s="2"/>
      <c r="R645" s="2">
        <v>600</v>
      </c>
      <c r="S645" s="2">
        <v>78</v>
      </c>
      <c r="T645" s="13" t="str">
        <f t="shared" si="19"/>
        <v>TB1024</v>
      </c>
      <c r="U645" s="2" t="s">
        <v>1406</v>
      </c>
      <c r="V645" s="2"/>
      <c r="W645" s="2">
        <v>1.8</v>
      </c>
      <c r="X645" s="2">
        <v>4.96</v>
      </c>
      <c r="Y645" s="2">
        <v>1.51</v>
      </c>
      <c r="Z645" s="2">
        <v>0</v>
      </c>
      <c r="AA645" s="2">
        <v>0</v>
      </c>
      <c r="AB645" s="2">
        <v>0.36</v>
      </c>
      <c r="AC645" s="3" t="str">
        <f t="shared" si="20"/>
        <v>Loose</v>
      </c>
    </row>
    <row r="646" spans="1:29" x14ac:dyDescent="0.25">
      <c r="A646" s="1" t="s">
        <v>1407</v>
      </c>
      <c r="B646" s="2" t="s">
        <v>29</v>
      </c>
      <c r="C646" s="2"/>
      <c r="D646" s="2"/>
      <c r="E646" s="2" t="s">
        <v>1377</v>
      </c>
      <c r="F646" s="2">
        <v>1</v>
      </c>
      <c r="G646" s="2">
        <v>0.11</v>
      </c>
      <c r="H646" s="2" t="s">
        <v>31</v>
      </c>
      <c r="I646" s="2" t="s">
        <v>68</v>
      </c>
      <c r="J646" s="2" t="s">
        <v>33</v>
      </c>
      <c r="K646" s="2"/>
      <c r="L646" s="2"/>
      <c r="M646" s="2"/>
      <c r="N646" s="2"/>
      <c r="O646" s="2" t="s">
        <v>34</v>
      </c>
      <c r="P646" s="2"/>
      <c r="Q646" s="2"/>
      <c r="R646" s="2">
        <v>1200</v>
      </c>
      <c r="S646" s="2">
        <v>132</v>
      </c>
      <c r="T646" s="13" t="str">
        <f t="shared" si="19"/>
        <v>TB1026</v>
      </c>
      <c r="U646" s="2" t="s">
        <v>1408</v>
      </c>
      <c r="V646" s="2"/>
      <c r="W646" s="2">
        <v>2.4</v>
      </c>
      <c r="X646" s="2">
        <v>3.99</v>
      </c>
      <c r="Y646" s="2">
        <v>1.62</v>
      </c>
      <c r="Z646" s="2">
        <v>0</v>
      </c>
      <c r="AA646" s="2">
        <v>0</v>
      </c>
      <c r="AB646" s="2">
        <v>0.6</v>
      </c>
      <c r="AC646" s="3" t="str">
        <f t="shared" si="20"/>
        <v>Loose</v>
      </c>
    </row>
    <row r="647" spans="1:29" x14ac:dyDescent="0.25">
      <c r="A647" s="1" t="s">
        <v>1409</v>
      </c>
      <c r="B647" s="2" t="s">
        <v>29</v>
      </c>
      <c r="C647" s="2"/>
      <c r="D647" s="2"/>
      <c r="E647" s="2" t="s">
        <v>1377</v>
      </c>
      <c r="F647" s="2">
        <v>1</v>
      </c>
      <c r="G647" s="2">
        <v>0.13</v>
      </c>
      <c r="H647" s="2" t="s">
        <v>49</v>
      </c>
      <c r="I647" s="2" t="s">
        <v>68</v>
      </c>
      <c r="J647" s="2" t="s">
        <v>33</v>
      </c>
      <c r="K647" s="2"/>
      <c r="L647" s="2"/>
      <c r="M647" s="2"/>
      <c r="N647" s="2"/>
      <c r="O647" s="2" t="s">
        <v>34</v>
      </c>
      <c r="P647" s="2"/>
      <c r="Q647" s="2"/>
      <c r="R647" s="2">
        <v>600</v>
      </c>
      <c r="S647" s="2">
        <v>78</v>
      </c>
      <c r="T647" s="13" t="str">
        <f t="shared" ref="T647:T710" si="21">IF(OR(TRIM(A647&amp;"")="",TRIM(A647&amp;"")="0"),"",HYPERLINK("https://gs.gsdiamonds.com/StoneDetails.aspx?name=" &amp; _xlfn.ENCODEURL(TRIM(A647&amp;"")), TRIM(A647&amp;"")))</f>
        <v>TB1029</v>
      </c>
      <c r="U647" s="2" t="s">
        <v>1410</v>
      </c>
      <c r="V647" s="2"/>
      <c r="W647" s="2">
        <v>2.02</v>
      </c>
      <c r="X647" s="2">
        <v>5.81</v>
      </c>
      <c r="Y647" s="2">
        <v>1.43</v>
      </c>
      <c r="Z647" s="2">
        <v>0</v>
      </c>
      <c r="AA647" s="2">
        <v>0</v>
      </c>
      <c r="AB647" s="2">
        <v>0.35</v>
      </c>
      <c r="AC647" s="3" t="str">
        <f t="shared" si="20"/>
        <v>Loose</v>
      </c>
    </row>
    <row r="648" spans="1:29" x14ac:dyDescent="0.25">
      <c r="A648" s="1" t="s">
        <v>1411</v>
      </c>
      <c r="B648" s="2" t="s">
        <v>29</v>
      </c>
      <c r="C648" s="2"/>
      <c r="D648" s="2"/>
      <c r="E648" s="2" t="s">
        <v>1377</v>
      </c>
      <c r="F648" s="2">
        <v>1</v>
      </c>
      <c r="G648" s="2">
        <v>0.13</v>
      </c>
      <c r="H648" s="2" t="s">
        <v>49</v>
      </c>
      <c r="I648" s="2" t="s">
        <v>68</v>
      </c>
      <c r="J648" s="2" t="s">
        <v>33</v>
      </c>
      <c r="K648" s="2"/>
      <c r="L648" s="2"/>
      <c r="M648" s="2"/>
      <c r="N648" s="2"/>
      <c r="O648" s="2" t="s">
        <v>34</v>
      </c>
      <c r="P648" s="2"/>
      <c r="Q648" s="2"/>
      <c r="R648" s="2">
        <v>1200</v>
      </c>
      <c r="S648" s="2">
        <v>156</v>
      </c>
      <c r="T648" s="13" t="str">
        <f t="shared" si="21"/>
        <v>TB3005</v>
      </c>
      <c r="U648" s="2" t="s">
        <v>1412</v>
      </c>
      <c r="V648" s="2"/>
      <c r="W648" s="2">
        <v>2.25</v>
      </c>
      <c r="X648" s="2">
        <v>4.12</v>
      </c>
      <c r="Y648" s="2">
        <v>1.62</v>
      </c>
      <c r="Z648" s="2">
        <v>0</v>
      </c>
      <c r="AA648" s="2">
        <v>0</v>
      </c>
      <c r="AB648" s="2">
        <v>0.55000000000000004</v>
      </c>
      <c r="AC648" s="3" t="str">
        <f t="shared" si="20"/>
        <v>Loose</v>
      </c>
    </row>
    <row r="649" spans="1:29" x14ac:dyDescent="0.25">
      <c r="A649" s="1" t="s">
        <v>1413</v>
      </c>
      <c r="B649" s="2" t="s">
        <v>29</v>
      </c>
      <c r="C649" s="2"/>
      <c r="D649" s="2"/>
      <c r="E649" s="2" t="s">
        <v>1377</v>
      </c>
      <c r="F649" s="2">
        <v>1</v>
      </c>
      <c r="G649" s="2">
        <v>0.14000000000000001</v>
      </c>
      <c r="H649" s="2" t="s">
        <v>137</v>
      </c>
      <c r="I649" s="2" t="s">
        <v>53</v>
      </c>
      <c r="J649" s="2" t="s">
        <v>33</v>
      </c>
      <c r="K649" s="2"/>
      <c r="L649" s="2"/>
      <c r="M649" s="2"/>
      <c r="N649" s="2"/>
      <c r="O649" s="2" t="s">
        <v>34</v>
      </c>
      <c r="P649" s="2"/>
      <c r="Q649" s="2"/>
      <c r="R649" s="2">
        <v>1000</v>
      </c>
      <c r="S649" s="2">
        <v>140</v>
      </c>
      <c r="T649" s="13" t="str">
        <f t="shared" si="21"/>
        <v>TB1034</v>
      </c>
      <c r="U649" s="2" t="s">
        <v>1414</v>
      </c>
      <c r="V649" s="2"/>
      <c r="W649" s="2">
        <v>2.2599999999999998</v>
      </c>
      <c r="X649" s="2">
        <v>3.91</v>
      </c>
      <c r="Y649" s="2">
        <v>1.87</v>
      </c>
      <c r="Z649" s="2">
        <v>0</v>
      </c>
      <c r="AA649" s="2">
        <v>0</v>
      </c>
      <c r="AB649" s="2">
        <v>0.57999999999999996</v>
      </c>
      <c r="AC649" s="3" t="str">
        <f t="shared" si="20"/>
        <v>Loose</v>
      </c>
    </row>
    <row r="650" spans="1:29" x14ac:dyDescent="0.25">
      <c r="A650" s="1" t="s">
        <v>1415</v>
      </c>
      <c r="B650" s="2" t="s">
        <v>29</v>
      </c>
      <c r="C650" s="2"/>
      <c r="D650" s="2"/>
      <c r="E650" s="2" t="s">
        <v>1377</v>
      </c>
      <c r="F650" s="2">
        <v>1</v>
      </c>
      <c r="G650" s="2">
        <v>0.16</v>
      </c>
      <c r="H650" s="2" t="s">
        <v>38</v>
      </c>
      <c r="I650" s="2" t="s">
        <v>32</v>
      </c>
      <c r="J650" s="2" t="s">
        <v>33</v>
      </c>
      <c r="K650" s="2"/>
      <c r="L650" s="2"/>
      <c r="M650" s="2"/>
      <c r="N650" s="2"/>
      <c r="O650" s="2" t="s">
        <v>58</v>
      </c>
      <c r="P650" s="2"/>
      <c r="Q650" s="2"/>
      <c r="R650" s="2">
        <v>800</v>
      </c>
      <c r="S650" s="2">
        <v>128</v>
      </c>
      <c r="T650" s="13" t="str">
        <f t="shared" si="21"/>
        <v>TB1037</v>
      </c>
      <c r="U650" s="2" t="s">
        <v>1416</v>
      </c>
      <c r="V650" s="2"/>
      <c r="W650" s="2">
        <v>3.35</v>
      </c>
      <c r="X650" s="2">
        <v>3.6</v>
      </c>
      <c r="Y650" s="2">
        <v>1.76</v>
      </c>
      <c r="Z650" s="2">
        <v>0</v>
      </c>
      <c r="AA650" s="2">
        <v>0</v>
      </c>
      <c r="AB650" s="2">
        <v>0.93</v>
      </c>
      <c r="AC650" s="3" t="str">
        <f t="shared" si="20"/>
        <v>Loose</v>
      </c>
    </row>
    <row r="651" spans="1:29" x14ac:dyDescent="0.25">
      <c r="A651" s="1" t="s">
        <v>1417</v>
      </c>
      <c r="B651" s="2" t="s">
        <v>29</v>
      </c>
      <c r="C651" s="2"/>
      <c r="D651" s="2"/>
      <c r="E651" s="2" t="s">
        <v>1377</v>
      </c>
      <c r="F651" s="2">
        <v>1</v>
      </c>
      <c r="G651" s="2">
        <v>0.18</v>
      </c>
      <c r="H651" s="2" t="s">
        <v>38</v>
      </c>
      <c r="I651" s="2" t="s">
        <v>151</v>
      </c>
      <c r="J651" s="2" t="s">
        <v>69</v>
      </c>
      <c r="K651" s="2"/>
      <c r="L651" s="2"/>
      <c r="M651" s="2"/>
      <c r="N651" s="2"/>
      <c r="O651" s="2" t="s">
        <v>34</v>
      </c>
      <c r="P651" s="2"/>
      <c r="Q651" s="2"/>
      <c r="R651" s="2">
        <v>200</v>
      </c>
      <c r="S651" s="2">
        <v>36</v>
      </c>
      <c r="T651" s="13" t="str">
        <f t="shared" si="21"/>
        <v>TB1040</v>
      </c>
      <c r="U651" s="2" t="s">
        <v>1418</v>
      </c>
      <c r="V651" s="2"/>
      <c r="W651" s="2">
        <v>2.8</v>
      </c>
      <c r="X651" s="2">
        <v>5.73</v>
      </c>
      <c r="Y651" s="2">
        <v>1.48</v>
      </c>
      <c r="Z651" s="2">
        <v>0</v>
      </c>
      <c r="AA651" s="2">
        <v>0</v>
      </c>
      <c r="AB651" s="2">
        <v>0.49</v>
      </c>
      <c r="AC651" s="3" t="str">
        <f t="shared" si="20"/>
        <v>Loose</v>
      </c>
    </row>
    <row r="652" spans="1:29" x14ac:dyDescent="0.25">
      <c r="A652" s="1" t="s">
        <v>1419</v>
      </c>
      <c r="B652" s="2" t="s">
        <v>29</v>
      </c>
      <c r="C652" s="2"/>
      <c r="D652" s="2"/>
      <c r="E652" s="2" t="s">
        <v>1377</v>
      </c>
      <c r="F652" s="2">
        <v>1</v>
      </c>
      <c r="G652" s="2">
        <v>0.33</v>
      </c>
      <c r="H652" s="2" t="s">
        <v>38</v>
      </c>
      <c r="I652" s="2" t="s">
        <v>50</v>
      </c>
      <c r="J652" s="2" t="s">
        <v>33</v>
      </c>
      <c r="K652" s="2"/>
      <c r="L652" s="2"/>
      <c r="M652" s="2"/>
      <c r="N652" s="2"/>
      <c r="O652" s="2" t="s">
        <v>34</v>
      </c>
      <c r="P652" s="2"/>
      <c r="Q652" s="2"/>
      <c r="R652" s="2">
        <v>700</v>
      </c>
      <c r="S652" s="2">
        <v>231</v>
      </c>
      <c r="T652" s="13" t="str">
        <f t="shared" si="21"/>
        <v>TB1042</v>
      </c>
      <c r="U652" s="2" t="s">
        <v>1420</v>
      </c>
      <c r="V652" s="2"/>
      <c r="W652" s="2">
        <v>3.64</v>
      </c>
      <c r="X652" s="2">
        <v>5.24</v>
      </c>
      <c r="Y652" s="2">
        <v>2.2200000000000002</v>
      </c>
      <c r="Z652" s="2">
        <v>0</v>
      </c>
      <c r="AA652" s="2">
        <v>0</v>
      </c>
      <c r="AB652" s="2">
        <v>0.69</v>
      </c>
      <c r="AC652" s="3" t="str">
        <f t="shared" si="20"/>
        <v>Loose</v>
      </c>
    </row>
    <row r="653" spans="1:29" x14ac:dyDescent="0.25">
      <c r="A653" s="1" t="s">
        <v>1421</v>
      </c>
      <c r="B653" s="2" t="s">
        <v>29</v>
      </c>
      <c r="C653" s="2"/>
      <c r="D653" s="2"/>
      <c r="E653" s="2" t="s">
        <v>1377</v>
      </c>
      <c r="F653" s="2">
        <v>1</v>
      </c>
      <c r="G653" s="2">
        <v>0.11</v>
      </c>
      <c r="H653" s="2" t="s">
        <v>43</v>
      </c>
      <c r="I653" s="2" t="s">
        <v>50</v>
      </c>
      <c r="J653" s="2" t="s">
        <v>33</v>
      </c>
      <c r="K653" s="2"/>
      <c r="L653" s="2"/>
      <c r="M653" s="2"/>
      <c r="N653" s="2"/>
      <c r="O653" s="2" t="s">
        <v>34</v>
      </c>
      <c r="P653" s="2"/>
      <c r="Q653" s="2"/>
      <c r="R653" s="2">
        <v>500</v>
      </c>
      <c r="S653" s="2">
        <v>55</v>
      </c>
      <c r="T653" s="13" t="str">
        <f t="shared" si="21"/>
        <v>TB1043</v>
      </c>
      <c r="U653" s="2" t="s">
        <v>1422</v>
      </c>
      <c r="V653" s="2"/>
      <c r="W653" s="2">
        <v>1.95</v>
      </c>
      <c r="X653" s="2">
        <v>5.29</v>
      </c>
      <c r="Y653" s="2">
        <v>1.5</v>
      </c>
      <c r="Z653" s="2">
        <v>0</v>
      </c>
      <c r="AA653" s="2">
        <v>0</v>
      </c>
      <c r="AB653" s="2">
        <v>0.37</v>
      </c>
      <c r="AC653" s="3" t="str">
        <f t="shared" si="20"/>
        <v>Loose</v>
      </c>
    </row>
    <row r="654" spans="1:29" x14ac:dyDescent="0.25">
      <c r="A654" s="1" t="s">
        <v>1423</v>
      </c>
      <c r="B654" s="2" t="s">
        <v>29</v>
      </c>
      <c r="C654" s="2"/>
      <c r="D654" s="2"/>
      <c r="E654" s="2" t="s">
        <v>1377</v>
      </c>
      <c r="F654" s="2">
        <v>1</v>
      </c>
      <c r="G654" s="2">
        <v>0.12</v>
      </c>
      <c r="H654" s="2" t="s">
        <v>38</v>
      </c>
      <c r="I654" s="2" t="s">
        <v>148</v>
      </c>
      <c r="J654" s="2" t="s">
        <v>69</v>
      </c>
      <c r="K654" s="2"/>
      <c r="L654" s="2"/>
      <c r="M654" s="2"/>
      <c r="N654" s="2"/>
      <c r="O654" s="2" t="s">
        <v>34</v>
      </c>
      <c r="P654" s="2"/>
      <c r="Q654" s="2"/>
      <c r="R654" s="2">
        <v>150</v>
      </c>
      <c r="S654" s="2">
        <v>18</v>
      </c>
      <c r="T654" s="13" t="str">
        <f t="shared" si="21"/>
        <v>TB1044</v>
      </c>
      <c r="U654" s="2" t="s">
        <v>1424</v>
      </c>
      <c r="V654" s="2"/>
      <c r="W654" s="2">
        <v>2.4500000000000002</v>
      </c>
      <c r="X654" s="2">
        <v>5.44</v>
      </c>
      <c r="Y654" s="2">
        <v>1.22</v>
      </c>
      <c r="Z654" s="2">
        <v>0</v>
      </c>
      <c r="AA654" s="2">
        <v>0</v>
      </c>
      <c r="AB654" s="2">
        <v>0.45</v>
      </c>
      <c r="AC654" s="3" t="str">
        <f t="shared" si="20"/>
        <v>Loose</v>
      </c>
    </row>
    <row r="655" spans="1:29" x14ac:dyDescent="0.25">
      <c r="A655" s="1" t="s">
        <v>1425</v>
      </c>
      <c r="B655" s="2" t="s">
        <v>29</v>
      </c>
      <c r="C655" s="2"/>
      <c r="D655" s="2"/>
      <c r="E655" s="2" t="s">
        <v>1377</v>
      </c>
      <c r="F655" s="2">
        <v>1</v>
      </c>
      <c r="G655" s="2">
        <v>0.12</v>
      </c>
      <c r="H655" s="2" t="s">
        <v>31</v>
      </c>
      <c r="I655" s="2" t="s">
        <v>32</v>
      </c>
      <c r="J655" s="2" t="s">
        <v>33</v>
      </c>
      <c r="K655" s="2"/>
      <c r="L655" s="2"/>
      <c r="M655" s="2"/>
      <c r="N655" s="2"/>
      <c r="O655" s="2" t="s">
        <v>34</v>
      </c>
      <c r="P655" s="2"/>
      <c r="Q655" s="2"/>
      <c r="R655" s="2">
        <v>550</v>
      </c>
      <c r="S655" s="2">
        <v>66</v>
      </c>
      <c r="T655" s="13" t="str">
        <f t="shared" si="21"/>
        <v>TB1045</v>
      </c>
      <c r="U655" s="2" t="s">
        <v>1426</v>
      </c>
      <c r="V655" s="2"/>
      <c r="W655" s="2">
        <v>2.1800000000000002</v>
      </c>
      <c r="X655" s="2">
        <v>5.3</v>
      </c>
      <c r="Y655" s="2">
        <v>1.47</v>
      </c>
      <c r="Z655" s="2">
        <v>0</v>
      </c>
      <c r="AA655" s="2">
        <v>0</v>
      </c>
      <c r="AB655" s="2">
        <v>0.41</v>
      </c>
      <c r="AC655" s="3" t="str">
        <f t="shared" si="20"/>
        <v>Loose</v>
      </c>
    </row>
    <row r="656" spans="1:29" x14ac:dyDescent="0.25">
      <c r="A656" s="1" t="s">
        <v>1427</v>
      </c>
      <c r="B656" s="2" t="s">
        <v>29</v>
      </c>
      <c r="C656" s="2"/>
      <c r="D656" s="2"/>
      <c r="E656" s="2" t="s">
        <v>1377</v>
      </c>
      <c r="F656" s="2">
        <v>1</v>
      </c>
      <c r="G656" s="2">
        <v>0.26</v>
      </c>
      <c r="H656" s="2" t="s">
        <v>31</v>
      </c>
      <c r="I656" s="2" t="s">
        <v>32</v>
      </c>
      <c r="J656" s="2" t="s">
        <v>33</v>
      </c>
      <c r="K656" s="2"/>
      <c r="L656" s="2"/>
      <c r="M656" s="2"/>
      <c r="N656" s="2"/>
      <c r="O656" s="2" t="s">
        <v>34</v>
      </c>
      <c r="P656" s="2"/>
      <c r="Q656" s="2"/>
      <c r="R656" s="2">
        <v>700</v>
      </c>
      <c r="S656" s="2">
        <v>182</v>
      </c>
      <c r="T656" s="13" t="str">
        <f t="shared" si="21"/>
        <v>TB1046</v>
      </c>
      <c r="U656" s="2" t="s">
        <v>1428</v>
      </c>
      <c r="V656" s="2"/>
      <c r="W656" s="2">
        <v>3.24</v>
      </c>
      <c r="X656" s="2">
        <v>4.95</v>
      </c>
      <c r="Y656" s="2">
        <v>2.2000000000000002</v>
      </c>
      <c r="Z656" s="2">
        <v>0</v>
      </c>
      <c r="AA656" s="2">
        <v>0</v>
      </c>
      <c r="AB656" s="2">
        <v>0.65</v>
      </c>
      <c r="AC656" s="3" t="str">
        <f t="shared" si="20"/>
        <v>Loose</v>
      </c>
    </row>
    <row r="657" spans="1:29" x14ac:dyDescent="0.25">
      <c r="A657" s="1" t="s">
        <v>1429</v>
      </c>
      <c r="B657" s="2" t="s">
        <v>29</v>
      </c>
      <c r="C657" s="2"/>
      <c r="D657" s="2"/>
      <c r="E657" s="2" t="s">
        <v>1377</v>
      </c>
      <c r="F657" s="2">
        <v>1</v>
      </c>
      <c r="G657" s="2">
        <v>0.16</v>
      </c>
      <c r="H657" s="2" t="s">
        <v>31</v>
      </c>
      <c r="I657" s="2" t="s">
        <v>50</v>
      </c>
      <c r="J657" s="2" t="s">
        <v>33</v>
      </c>
      <c r="K657" s="2"/>
      <c r="L657" s="2"/>
      <c r="M657" s="2"/>
      <c r="N657" s="2"/>
      <c r="O657" s="2" t="s">
        <v>34</v>
      </c>
      <c r="P657" s="2"/>
      <c r="Q657" s="2"/>
      <c r="R657" s="2">
        <v>400</v>
      </c>
      <c r="S657" s="2">
        <v>64</v>
      </c>
      <c r="T657" s="13" t="str">
        <f t="shared" si="21"/>
        <v>TB1047</v>
      </c>
      <c r="U657" s="2" t="s">
        <v>1430</v>
      </c>
      <c r="V657" s="2"/>
      <c r="W657" s="2">
        <v>2.37</v>
      </c>
      <c r="X657" s="2">
        <v>5.38</v>
      </c>
      <c r="Y657" s="2">
        <v>1.44</v>
      </c>
      <c r="Z657" s="2">
        <v>0</v>
      </c>
      <c r="AA657" s="2">
        <v>0</v>
      </c>
      <c r="AB657" s="2">
        <v>0.44</v>
      </c>
      <c r="AC657" s="3" t="str">
        <f t="shared" si="20"/>
        <v>Loose</v>
      </c>
    </row>
    <row r="658" spans="1:29" x14ac:dyDescent="0.25">
      <c r="A658" s="1" t="s">
        <v>1431</v>
      </c>
      <c r="B658" s="2" t="s">
        <v>29</v>
      </c>
      <c r="C658" s="2"/>
      <c r="D658" s="2"/>
      <c r="E658" s="2" t="s">
        <v>1377</v>
      </c>
      <c r="F658" s="2">
        <v>1</v>
      </c>
      <c r="G658" s="2">
        <v>0.22</v>
      </c>
      <c r="H658" s="2" t="s">
        <v>43</v>
      </c>
      <c r="I658" s="2" t="s">
        <v>50</v>
      </c>
      <c r="J658" s="2" t="s">
        <v>33</v>
      </c>
      <c r="K658" s="2"/>
      <c r="L658" s="2"/>
      <c r="M658" s="2"/>
      <c r="N658" s="2"/>
      <c r="O658" s="2" t="s">
        <v>70</v>
      </c>
      <c r="P658" s="2"/>
      <c r="Q658" s="2"/>
      <c r="R658" s="2">
        <v>552</v>
      </c>
      <c r="S658" s="2">
        <v>121.44</v>
      </c>
      <c r="T658" s="13" t="str">
        <f t="shared" si="21"/>
        <v>TB1048</v>
      </c>
      <c r="U658" s="2" t="s">
        <v>1432</v>
      </c>
      <c r="V658" s="2"/>
      <c r="W658" s="2">
        <v>2.1</v>
      </c>
      <c r="X658" s="2">
        <v>8.34</v>
      </c>
      <c r="Y658" s="2">
        <v>1.38</v>
      </c>
      <c r="Z658" s="2">
        <v>0</v>
      </c>
      <c r="AA658" s="2">
        <v>0</v>
      </c>
      <c r="AB658" s="2">
        <v>0.25</v>
      </c>
      <c r="AC658" s="3" t="str">
        <f t="shared" si="20"/>
        <v>Loose</v>
      </c>
    </row>
    <row r="659" spans="1:29" x14ac:dyDescent="0.25">
      <c r="A659" s="1" t="s">
        <v>1433</v>
      </c>
      <c r="B659" s="2" t="s">
        <v>29</v>
      </c>
      <c r="C659" s="2"/>
      <c r="D659" s="2"/>
      <c r="E659" s="2" t="s">
        <v>1377</v>
      </c>
      <c r="F659" s="2">
        <v>1</v>
      </c>
      <c r="G659" s="2">
        <v>0.24</v>
      </c>
      <c r="H659" s="2" t="s">
        <v>76</v>
      </c>
      <c r="I659" s="2" t="s">
        <v>50</v>
      </c>
      <c r="J659" s="2" t="s">
        <v>33</v>
      </c>
      <c r="K659" s="2"/>
      <c r="L659" s="2"/>
      <c r="M659" s="2"/>
      <c r="N659" s="2"/>
      <c r="O659" s="2" t="s">
        <v>46</v>
      </c>
      <c r="P659" s="2"/>
      <c r="Q659" s="2"/>
      <c r="R659" s="2">
        <v>1000</v>
      </c>
      <c r="S659" s="2">
        <v>240</v>
      </c>
      <c r="T659" s="13" t="str">
        <f t="shared" si="21"/>
        <v>TB1051</v>
      </c>
      <c r="U659" s="2" t="s">
        <v>1434</v>
      </c>
      <c r="V659" s="2"/>
      <c r="W659" s="2">
        <v>2.67</v>
      </c>
      <c r="X659" s="2">
        <v>5.82</v>
      </c>
      <c r="Y659" s="2">
        <v>1.98</v>
      </c>
      <c r="Z659" s="2">
        <v>0</v>
      </c>
      <c r="AA659" s="2">
        <v>0</v>
      </c>
      <c r="AB659" s="2">
        <v>0.46</v>
      </c>
      <c r="AC659" s="3" t="str">
        <f t="shared" si="20"/>
        <v>Loose</v>
      </c>
    </row>
    <row r="660" spans="1:29" x14ac:dyDescent="0.25">
      <c r="A660" s="1" t="s">
        <v>1435</v>
      </c>
      <c r="B660" s="2" t="s">
        <v>29</v>
      </c>
      <c r="C660" s="2"/>
      <c r="D660" s="2"/>
      <c r="E660" s="2" t="s">
        <v>1377</v>
      </c>
      <c r="F660" s="2">
        <v>1</v>
      </c>
      <c r="G660" s="2">
        <v>0.17</v>
      </c>
      <c r="H660" s="2" t="s">
        <v>76</v>
      </c>
      <c r="I660" s="2" t="s">
        <v>32</v>
      </c>
      <c r="J660" s="2" t="s">
        <v>33</v>
      </c>
      <c r="K660" s="2"/>
      <c r="L660" s="2"/>
      <c r="M660" s="2"/>
      <c r="N660" s="2"/>
      <c r="O660" s="2" t="s">
        <v>58</v>
      </c>
      <c r="P660" s="2"/>
      <c r="Q660" s="2"/>
      <c r="R660" s="2">
        <v>500</v>
      </c>
      <c r="S660" s="2">
        <v>85</v>
      </c>
      <c r="T660" s="13" t="str">
        <f t="shared" si="21"/>
        <v>TB1053</v>
      </c>
      <c r="U660" s="2" t="s">
        <v>1436</v>
      </c>
      <c r="V660" s="2"/>
      <c r="W660" s="2">
        <v>1.8</v>
      </c>
      <c r="X660" s="2">
        <v>6.19</v>
      </c>
      <c r="Y660" s="2">
        <v>1.67</v>
      </c>
      <c r="Z660" s="2">
        <v>0</v>
      </c>
      <c r="AA660" s="2">
        <v>0</v>
      </c>
      <c r="AB660" s="2">
        <v>0.28999999999999998</v>
      </c>
      <c r="AC660" s="3" t="str">
        <f t="shared" si="20"/>
        <v>Loose</v>
      </c>
    </row>
    <row r="661" spans="1:29" x14ac:dyDescent="0.25">
      <c r="A661" s="1" t="s">
        <v>1437</v>
      </c>
      <c r="B661" s="2" t="s">
        <v>29</v>
      </c>
      <c r="C661" s="2"/>
      <c r="D661" s="2"/>
      <c r="E661" s="2" t="s">
        <v>1377</v>
      </c>
      <c r="F661" s="2">
        <v>1</v>
      </c>
      <c r="G661" s="2">
        <v>0.15</v>
      </c>
      <c r="H661" s="2" t="s">
        <v>73</v>
      </c>
      <c r="I661" s="2" t="s">
        <v>32</v>
      </c>
      <c r="J661" s="2" t="s">
        <v>33</v>
      </c>
      <c r="K661" s="2"/>
      <c r="L661" s="2"/>
      <c r="M661" s="2"/>
      <c r="N661" s="2"/>
      <c r="O661" s="2" t="s">
        <v>61</v>
      </c>
      <c r="P661" s="2"/>
      <c r="Q661" s="2"/>
      <c r="R661" s="2">
        <v>600</v>
      </c>
      <c r="S661" s="2">
        <v>90</v>
      </c>
      <c r="T661" s="13" t="str">
        <f t="shared" si="21"/>
        <v>TB1055</v>
      </c>
      <c r="U661" s="2" t="s">
        <v>1438</v>
      </c>
      <c r="V661" s="2"/>
      <c r="W661" s="2">
        <v>2</v>
      </c>
      <c r="X661" s="2">
        <v>4.71</v>
      </c>
      <c r="Y661" s="2">
        <v>1.87</v>
      </c>
      <c r="Z661" s="2">
        <v>0</v>
      </c>
      <c r="AA661" s="2">
        <v>0</v>
      </c>
      <c r="AB661" s="2">
        <v>0.42</v>
      </c>
      <c r="AC661" s="3" t="str">
        <f t="shared" si="20"/>
        <v>Loose</v>
      </c>
    </row>
    <row r="662" spans="1:29" x14ac:dyDescent="0.25">
      <c r="A662" s="1" t="s">
        <v>1439</v>
      </c>
      <c r="B662" s="2" t="s">
        <v>29</v>
      </c>
      <c r="C662" s="2"/>
      <c r="D662" s="2"/>
      <c r="E662" s="2" t="s">
        <v>1377</v>
      </c>
      <c r="F662" s="2">
        <v>1</v>
      </c>
      <c r="G662" s="2">
        <v>0.14000000000000001</v>
      </c>
      <c r="H662" s="2" t="s">
        <v>73</v>
      </c>
      <c r="I662" s="2" t="s">
        <v>32</v>
      </c>
      <c r="J662" s="2" t="s">
        <v>33</v>
      </c>
      <c r="K662" s="2"/>
      <c r="L662" s="2"/>
      <c r="M662" s="2"/>
      <c r="N662" s="2"/>
      <c r="O662" s="2" t="s">
        <v>34</v>
      </c>
      <c r="P662" s="2"/>
      <c r="Q662" s="2"/>
      <c r="R662" s="2">
        <v>400</v>
      </c>
      <c r="S662" s="2">
        <v>56</v>
      </c>
      <c r="T662" s="13" t="str">
        <f t="shared" si="21"/>
        <v>TB1057</v>
      </c>
      <c r="U662" s="2" t="s">
        <v>1440</v>
      </c>
      <c r="V662" s="2"/>
      <c r="W662" s="2">
        <v>1.85</v>
      </c>
      <c r="X662" s="2">
        <v>6.39</v>
      </c>
      <c r="Y662" s="2">
        <v>1.4</v>
      </c>
      <c r="Z662" s="2">
        <v>0</v>
      </c>
      <c r="AA662" s="2">
        <v>0</v>
      </c>
      <c r="AB662" s="2">
        <v>0.28999999999999998</v>
      </c>
      <c r="AC662" s="3" t="str">
        <f t="shared" si="20"/>
        <v>Loose</v>
      </c>
    </row>
    <row r="663" spans="1:29" x14ac:dyDescent="0.25">
      <c r="A663" s="1" t="s">
        <v>1441</v>
      </c>
      <c r="B663" s="2" t="s">
        <v>29</v>
      </c>
      <c r="C663" s="2"/>
      <c r="D663" s="2"/>
      <c r="E663" s="2" t="s">
        <v>1377</v>
      </c>
      <c r="F663" s="2">
        <v>1</v>
      </c>
      <c r="G663" s="2">
        <v>0.1</v>
      </c>
      <c r="H663" s="2" t="s">
        <v>73</v>
      </c>
      <c r="I663" s="2" t="s">
        <v>39</v>
      </c>
      <c r="J663" s="2" t="s">
        <v>33</v>
      </c>
      <c r="K663" s="2"/>
      <c r="L663" s="2"/>
      <c r="M663" s="2"/>
      <c r="N663" s="2"/>
      <c r="O663" s="2" t="s">
        <v>34</v>
      </c>
      <c r="P663" s="2"/>
      <c r="Q663" s="2"/>
      <c r="R663" s="2">
        <v>152</v>
      </c>
      <c r="S663" s="2">
        <v>15.2</v>
      </c>
      <c r="T663" s="13" t="str">
        <f t="shared" si="21"/>
        <v>TB1162</v>
      </c>
      <c r="U663" s="2" t="s">
        <v>1442</v>
      </c>
      <c r="V663" s="2"/>
      <c r="W663" s="2">
        <v>1.98</v>
      </c>
      <c r="X663" s="2">
        <v>3.54</v>
      </c>
      <c r="Y663" s="2">
        <v>1.67</v>
      </c>
      <c r="Z663" s="2">
        <v>0</v>
      </c>
      <c r="AA663" s="2">
        <v>0</v>
      </c>
      <c r="AB663" s="2">
        <v>0.56000000000000005</v>
      </c>
      <c r="AC663" s="3" t="str">
        <f t="shared" si="20"/>
        <v>Loose</v>
      </c>
    </row>
    <row r="664" spans="1:29" x14ac:dyDescent="0.25">
      <c r="A664" s="1" t="s">
        <v>1443</v>
      </c>
      <c r="B664" s="2" t="s">
        <v>29</v>
      </c>
      <c r="C664" s="2"/>
      <c r="D664" s="2"/>
      <c r="E664" s="2" t="s">
        <v>1377</v>
      </c>
      <c r="F664" s="2">
        <v>1</v>
      </c>
      <c r="G664" s="2">
        <v>0.1</v>
      </c>
      <c r="H664" s="2" t="s">
        <v>31</v>
      </c>
      <c r="I664" s="2" t="s">
        <v>32</v>
      </c>
      <c r="J664" s="2" t="s">
        <v>33</v>
      </c>
      <c r="K664" s="2"/>
      <c r="L664" s="2"/>
      <c r="M664" s="2"/>
      <c r="N664" s="2"/>
      <c r="O664" s="2" t="s">
        <v>34</v>
      </c>
      <c r="P664" s="2"/>
      <c r="Q664" s="2"/>
      <c r="R664" s="2">
        <v>304</v>
      </c>
      <c r="S664" s="2">
        <v>30.4</v>
      </c>
      <c r="T664" s="13" t="str">
        <f t="shared" si="21"/>
        <v>TB1076</v>
      </c>
      <c r="U664" s="2" t="s">
        <v>1444</v>
      </c>
      <c r="V664" s="2"/>
      <c r="W664" s="2">
        <v>1.85</v>
      </c>
      <c r="X664" s="2">
        <v>4.24</v>
      </c>
      <c r="Y664" s="2">
        <v>1.38</v>
      </c>
      <c r="Z664" s="2">
        <v>0</v>
      </c>
      <c r="AA664" s="2">
        <v>0</v>
      </c>
      <c r="AB664" s="2">
        <v>0.44</v>
      </c>
      <c r="AC664" s="3" t="str">
        <f t="shared" si="20"/>
        <v>Loose</v>
      </c>
    </row>
    <row r="665" spans="1:29" x14ac:dyDescent="0.25">
      <c r="A665" s="1" t="s">
        <v>1445</v>
      </c>
      <c r="B665" s="2" t="s">
        <v>29</v>
      </c>
      <c r="C665" s="2"/>
      <c r="D665" s="2"/>
      <c r="E665" s="2" t="s">
        <v>1377</v>
      </c>
      <c r="F665" s="2">
        <v>1</v>
      </c>
      <c r="G665" s="2">
        <v>0.15</v>
      </c>
      <c r="H665" s="2" t="s">
        <v>76</v>
      </c>
      <c r="I665" s="2" t="s">
        <v>151</v>
      </c>
      <c r="J665" s="2" t="s">
        <v>69</v>
      </c>
      <c r="K665" s="2"/>
      <c r="L665" s="2"/>
      <c r="M665" s="2"/>
      <c r="N665" s="2"/>
      <c r="O665" s="2" t="s">
        <v>34</v>
      </c>
      <c r="P665" s="2"/>
      <c r="Q665" s="2"/>
      <c r="R665" s="2">
        <v>150</v>
      </c>
      <c r="S665" s="2">
        <v>22.5</v>
      </c>
      <c r="T665" s="13" t="str">
        <f t="shared" si="21"/>
        <v>TB1078</v>
      </c>
      <c r="U665" s="2" t="s">
        <v>1446</v>
      </c>
      <c r="V665" s="2"/>
      <c r="W665" s="2">
        <v>2.16</v>
      </c>
      <c r="X665" s="2">
        <v>4.9400000000000004</v>
      </c>
      <c r="Y665" s="2">
        <v>1.67</v>
      </c>
      <c r="Z665" s="2">
        <v>0</v>
      </c>
      <c r="AA665" s="2">
        <v>0</v>
      </c>
      <c r="AB665" s="2">
        <v>0.44</v>
      </c>
      <c r="AC665" s="3" t="str">
        <f t="shared" si="20"/>
        <v>Loose</v>
      </c>
    </row>
    <row r="666" spans="1:29" x14ac:dyDescent="0.25">
      <c r="A666" s="1" t="s">
        <v>1447</v>
      </c>
      <c r="B666" s="2" t="s">
        <v>29</v>
      </c>
      <c r="C666" s="2"/>
      <c r="D666" s="2"/>
      <c r="E666" s="2" t="s">
        <v>1377</v>
      </c>
      <c r="F666" s="2">
        <v>1</v>
      </c>
      <c r="G666" s="2">
        <v>0.14000000000000001</v>
      </c>
      <c r="H666" s="2" t="s">
        <v>38</v>
      </c>
      <c r="I666" s="2" t="s">
        <v>53</v>
      </c>
      <c r="J666" s="2" t="s">
        <v>33</v>
      </c>
      <c r="K666" s="2"/>
      <c r="L666" s="2"/>
      <c r="M666" s="2"/>
      <c r="N666" s="2"/>
      <c r="O666" s="2" t="s">
        <v>70</v>
      </c>
      <c r="P666" s="2"/>
      <c r="Q666" s="2"/>
      <c r="R666" s="2">
        <v>600</v>
      </c>
      <c r="S666" s="2">
        <v>84</v>
      </c>
      <c r="T666" s="13" t="str">
        <f t="shared" si="21"/>
        <v>TB1093</v>
      </c>
      <c r="U666" s="2" t="s">
        <v>1448</v>
      </c>
      <c r="V666" s="2"/>
      <c r="W666" s="2">
        <v>2.08</v>
      </c>
      <c r="X666" s="2">
        <v>4.0199999999999996</v>
      </c>
      <c r="Y666" s="2">
        <v>1.64</v>
      </c>
      <c r="Z666" s="2">
        <v>0</v>
      </c>
      <c r="AA666" s="2">
        <v>0</v>
      </c>
      <c r="AB666" s="2">
        <v>0.52</v>
      </c>
      <c r="AC666" s="3" t="str">
        <f t="shared" si="20"/>
        <v>Loose</v>
      </c>
    </row>
    <row r="667" spans="1:29" x14ac:dyDescent="0.25">
      <c r="A667" s="1" t="s">
        <v>1449</v>
      </c>
      <c r="B667" s="2" t="s">
        <v>29</v>
      </c>
      <c r="C667" s="2"/>
      <c r="D667" s="2"/>
      <c r="E667" s="2" t="s">
        <v>1377</v>
      </c>
      <c r="F667" s="2">
        <v>1</v>
      </c>
      <c r="G667" s="2">
        <v>0.11</v>
      </c>
      <c r="H667" s="2" t="s">
        <v>49</v>
      </c>
      <c r="I667" s="2" t="s">
        <v>50</v>
      </c>
      <c r="J667" s="2" t="s">
        <v>33</v>
      </c>
      <c r="K667" s="2"/>
      <c r="L667" s="2"/>
      <c r="M667" s="2"/>
      <c r="N667" s="2"/>
      <c r="O667" s="2" t="s">
        <v>34</v>
      </c>
      <c r="P667" s="2"/>
      <c r="Q667" s="2"/>
      <c r="R667" s="2">
        <v>400</v>
      </c>
      <c r="S667" s="2">
        <v>44</v>
      </c>
      <c r="T667" s="13" t="str">
        <f t="shared" si="21"/>
        <v>TPR1095</v>
      </c>
      <c r="U667" s="2" t="s">
        <v>1450</v>
      </c>
      <c r="V667" s="2"/>
      <c r="W667" s="2">
        <v>1.98</v>
      </c>
      <c r="X667" s="2">
        <v>4</v>
      </c>
      <c r="Y667" s="2">
        <v>1.59</v>
      </c>
      <c r="Z667" s="2">
        <v>0</v>
      </c>
      <c r="AA667" s="2">
        <v>0</v>
      </c>
      <c r="AB667" s="2">
        <v>0.5</v>
      </c>
      <c r="AC667" s="3" t="str">
        <f t="shared" si="20"/>
        <v>Loose</v>
      </c>
    </row>
    <row r="668" spans="1:29" x14ac:dyDescent="0.25">
      <c r="A668" s="1" t="s">
        <v>1451</v>
      </c>
      <c r="B668" s="2" t="s">
        <v>29</v>
      </c>
      <c r="C668" s="2"/>
      <c r="D668" s="2"/>
      <c r="E668" s="2" t="s">
        <v>1377</v>
      </c>
      <c r="F668" s="2">
        <v>1</v>
      </c>
      <c r="G668" s="2">
        <v>0.11</v>
      </c>
      <c r="H668" s="2" t="s">
        <v>38</v>
      </c>
      <c r="I668" s="2" t="s">
        <v>32</v>
      </c>
      <c r="J668" s="2" t="s">
        <v>33</v>
      </c>
      <c r="K668" s="2"/>
      <c r="L668" s="2"/>
      <c r="M668" s="2"/>
      <c r="N668" s="2"/>
      <c r="O668" s="2" t="s">
        <v>70</v>
      </c>
      <c r="P668" s="2"/>
      <c r="Q668" s="2"/>
      <c r="R668" s="2">
        <v>700</v>
      </c>
      <c r="S668" s="2">
        <v>77</v>
      </c>
      <c r="T668" s="13" t="str">
        <f t="shared" si="21"/>
        <v>TPR1215</v>
      </c>
      <c r="U668" s="2" t="s">
        <v>1452</v>
      </c>
      <c r="V668" s="2"/>
      <c r="W668" s="2">
        <v>2.2400000000000002</v>
      </c>
      <c r="X668" s="2">
        <v>4.49</v>
      </c>
      <c r="Y668" s="2">
        <v>1.18</v>
      </c>
      <c r="Z668" s="2">
        <v>0</v>
      </c>
      <c r="AA668" s="2">
        <v>0</v>
      </c>
      <c r="AB668" s="2">
        <v>0.5</v>
      </c>
      <c r="AC668" s="3" t="str">
        <f t="shared" si="20"/>
        <v>Loose</v>
      </c>
    </row>
    <row r="669" spans="1:29" x14ac:dyDescent="0.25">
      <c r="A669" s="1" t="s">
        <v>1453</v>
      </c>
      <c r="B669" s="2" t="s">
        <v>37</v>
      </c>
      <c r="C669" s="2"/>
      <c r="D669" s="2"/>
      <c r="E669" s="2" t="s">
        <v>1377</v>
      </c>
      <c r="F669" s="2">
        <v>2</v>
      </c>
      <c r="G669" s="2">
        <v>0.26</v>
      </c>
      <c r="H669" s="2" t="s">
        <v>31</v>
      </c>
      <c r="I669" s="2" t="s">
        <v>68</v>
      </c>
      <c r="J669" s="2" t="s">
        <v>33</v>
      </c>
      <c r="K669" s="2"/>
      <c r="L669" s="2"/>
      <c r="M669" s="2"/>
      <c r="N669" s="2"/>
      <c r="O669" s="2" t="s">
        <v>61</v>
      </c>
      <c r="P669" s="2"/>
      <c r="Q669" s="2"/>
      <c r="R669" s="2">
        <v>1200</v>
      </c>
      <c r="S669" s="2">
        <v>312</v>
      </c>
      <c r="T669" s="13" t="str">
        <f t="shared" si="21"/>
        <v>TPR1090</v>
      </c>
      <c r="U669" s="2" t="s">
        <v>1454</v>
      </c>
      <c r="V669" s="2"/>
      <c r="W669" s="2">
        <v>4.3899999999999997</v>
      </c>
      <c r="X669" s="2">
        <v>2.37</v>
      </c>
      <c r="Y669" s="2">
        <v>1.57</v>
      </c>
      <c r="Z669" s="2">
        <v>0</v>
      </c>
      <c r="AA669" s="2">
        <v>0</v>
      </c>
      <c r="AB669" s="2">
        <v>1.85</v>
      </c>
      <c r="AC669" s="3" t="str">
        <f t="shared" si="20"/>
        <v>Pair</v>
      </c>
    </row>
    <row r="670" spans="1:29" x14ac:dyDescent="0.25">
      <c r="A670" s="1" t="s">
        <v>1455</v>
      </c>
      <c r="B670" s="2" t="s">
        <v>29</v>
      </c>
      <c r="C670" s="2"/>
      <c r="D670" s="2"/>
      <c r="E670" s="2" t="s">
        <v>1377</v>
      </c>
      <c r="F670" s="2">
        <v>1</v>
      </c>
      <c r="G670" s="2">
        <v>0.1</v>
      </c>
      <c r="H670" s="2" t="s">
        <v>38</v>
      </c>
      <c r="I670" s="2" t="s">
        <v>50</v>
      </c>
      <c r="J670" s="2" t="s">
        <v>33</v>
      </c>
      <c r="K670" s="2"/>
      <c r="L670" s="2"/>
      <c r="M670" s="2"/>
      <c r="N670" s="2"/>
      <c r="O670" s="2" t="s">
        <v>34</v>
      </c>
      <c r="P670" s="2"/>
      <c r="Q670" s="2"/>
      <c r="R670" s="2">
        <v>340</v>
      </c>
      <c r="S670" s="2">
        <v>34</v>
      </c>
      <c r="T670" s="13" t="str">
        <f t="shared" si="21"/>
        <v>TB1145</v>
      </c>
      <c r="U670" s="2" t="s">
        <v>1456</v>
      </c>
      <c r="V670" s="2"/>
      <c r="W670" s="2">
        <v>2.4</v>
      </c>
      <c r="X670" s="2">
        <v>5.17</v>
      </c>
      <c r="Y670" s="2">
        <v>1.1299999999999999</v>
      </c>
      <c r="Z670" s="2">
        <v>0</v>
      </c>
      <c r="AA670" s="2">
        <v>0</v>
      </c>
      <c r="AB670" s="2">
        <v>0.46</v>
      </c>
      <c r="AC670" s="3" t="str">
        <f t="shared" si="20"/>
        <v>Loose</v>
      </c>
    </row>
    <row r="671" spans="1:29" x14ac:dyDescent="0.25">
      <c r="A671" s="1" t="s">
        <v>1457</v>
      </c>
      <c r="B671" s="2" t="s">
        <v>29</v>
      </c>
      <c r="C671" s="2"/>
      <c r="D671" s="2"/>
      <c r="E671" s="2" t="s">
        <v>1377</v>
      </c>
      <c r="F671" s="2">
        <v>1</v>
      </c>
      <c r="G671" s="2">
        <v>0.11</v>
      </c>
      <c r="H671" s="2" t="s">
        <v>43</v>
      </c>
      <c r="I671" s="2" t="s">
        <v>57</v>
      </c>
      <c r="J671" s="2" t="s">
        <v>33</v>
      </c>
      <c r="K671" s="2"/>
      <c r="L671" s="2"/>
      <c r="M671" s="2"/>
      <c r="N671" s="2"/>
      <c r="O671" s="2" t="s">
        <v>34</v>
      </c>
      <c r="P671" s="2"/>
      <c r="Q671" s="2"/>
      <c r="R671" s="2">
        <v>1000</v>
      </c>
      <c r="S671" s="2">
        <v>110</v>
      </c>
      <c r="T671" s="13" t="str">
        <f t="shared" si="21"/>
        <v>TB1123</v>
      </c>
      <c r="U671" s="2" t="s">
        <v>1458</v>
      </c>
      <c r="V671" s="2"/>
      <c r="W671" s="2">
        <v>2.27</v>
      </c>
      <c r="X671" s="2">
        <v>5.67</v>
      </c>
      <c r="Y671" s="2">
        <v>1.1299999999999999</v>
      </c>
      <c r="Z671" s="2">
        <v>0</v>
      </c>
      <c r="AA671" s="2">
        <v>0</v>
      </c>
      <c r="AB671" s="2">
        <v>0.4</v>
      </c>
      <c r="AC671" s="3" t="str">
        <f t="shared" si="20"/>
        <v>Loose</v>
      </c>
    </row>
    <row r="672" spans="1:29" x14ac:dyDescent="0.25">
      <c r="A672" s="1" t="s">
        <v>1459</v>
      </c>
      <c r="B672" s="2" t="s">
        <v>29</v>
      </c>
      <c r="C672" s="2"/>
      <c r="D672" s="2"/>
      <c r="E672" s="2" t="s">
        <v>1377</v>
      </c>
      <c r="F672" s="2">
        <v>1</v>
      </c>
      <c r="G672" s="2">
        <v>0.12</v>
      </c>
      <c r="H672" s="2" t="s">
        <v>31</v>
      </c>
      <c r="I672" s="2" t="s">
        <v>57</v>
      </c>
      <c r="J672" s="2" t="s">
        <v>33</v>
      </c>
      <c r="K672" s="2"/>
      <c r="L672" s="2"/>
      <c r="M672" s="2"/>
      <c r="N672" s="2"/>
      <c r="O672" s="2" t="s">
        <v>34</v>
      </c>
      <c r="P672" s="2"/>
      <c r="Q672" s="2"/>
      <c r="R672" s="2">
        <v>700</v>
      </c>
      <c r="S672" s="2">
        <v>84</v>
      </c>
      <c r="T672" s="13" t="str">
        <f t="shared" si="21"/>
        <v>TB1100</v>
      </c>
      <c r="U672" s="2" t="s">
        <v>1460</v>
      </c>
      <c r="V672" s="2"/>
      <c r="W672" s="2">
        <v>1.82</v>
      </c>
      <c r="X672" s="2">
        <v>5.77</v>
      </c>
      <c r="Y672" s="2">
        <v>1.32</v>
      </c>
      <c r="Z672" s="2">
        <v>0</v>
      </c>
      <c r="AA672" s="2">
        <v>0</v>
      </c>
      <c r="AB672" s="2">
        <v>0.32</v>
      </c>
      <c r="AC672" s="3" t="str">
        <f t="shared" si="20"/>
        <v>Loose</v>
      </c>
    </row>
    <row r="673" spans="1:29" x14ac:dyDescent="0.25">
      <c r="A673" s="1" t="s">
        <v>1461</v>
      </c>
      <c r="B673" s="2" t="s">
        <v>29</v>
      </c>
      <c r="C673" s="2"/>
      <c r="D673" s="2"/>
      <c r="E673" s="2" t="s">
        <v>1377</v>
      </c>
      <c r="F673" s="2">
        <v>1</v>
      </c>
      <c r="G673" s="2">
        <v>0.13</v>
      </c>
      <c r="H673" s="2" t="s">
        <v>49</v>
      </c>
      <c r="I673" s="2" t="s">
        <v>50</v>
      </c>
      <c r="J673" s="2" t="s">
        <v>33</v>
      </c>
      <c r="K673" s="2"/>
      <c r="L673" s="2"/>
      <c r="M673" s="2"/>
      <c r="N673" s="2"/>
      <c r="O673" s="2" t="s">
        <v>34</v>
      </c>
      <c r="P673" s="2"/>
      <c r="Q673" s="2"/>
      <c r="R673" s="2">
        <v>300</v>
      </c>
      <c r="S673" s="2">
        <v>39</v>
      </c>
      <c r="T673" s="13" t="str">
        <f t="shared" si="21"/>
        <v>TB1116</v>
      </c>
      <c r="U673" s="2" t="s">
        <v>1462</v>
      </c>
      <c r="V673" s="2"/>
      <c r="W673" s="2">
        <v>1.79</v>
      </c>
      <c r="X673" s="2">
        <v>5.32</v>
      </c>
      <c r="Y673" s="2">
        <v>1.47</v>
      </c>
      <c r="Z673" s="2">
        <v>0</v>
      </c>
      <c r="AA673" s="2">
        <v>0</v>
      </c>
      <c r="AB673" s="2">
        <v>0.34</v>
      </c>
      <c r="AC673" s="3" t="str">
        <f t="shared" si="20"/>
        <v>Loose</v>
      </c>
    </row>
    <row r="674" spans="1:29" x14ac:dyDescent="0.25">
      <c r="A674" s="1" t="s">
        <v>1463</v>
      </c>
      <c r="B674" s="2" t="s">
        <v>29</v>
      </c>
      <c r="C674" s="2"/>
      <c r="D674" s="2"/>
      <c r="E674" s="2" t="s">
        <v>1377</v>
      </c>
      <c r="F674" s="2">
        <v>1</v>
      </c>
      <c r="G674" s="2">
        <v>0.13</v>
      </c>
      <c r="H674" s="2" t="s">
        <v>49</v>
      </c>
      <c r="I674" s="2" t="s">
        <v>32</v>
      </c>
      <c r="J674" s="2" t="s">
        <v>33</v>
      </c>
      <c r="K674" s="2"/>
      <c r="L674" s="2"/>
      <c r="M674" s="2"/>
      <c r="N674" s="2"/>
      <c r="O674" s="2" t="s">
        <v>34</v>
      </c>
      <c r="P674" s="2"/>
      <c r="Q674" s="2"/>
      <c r="R674" s="2">
        <v>300</v>
      </c>
      <c r="S674" s="2">
        <v>39</v>
      </c>
      <c r="T674" s="13" t="str">
        <f t="shared" si="21"/>
        <v>TB1117</v>
      </c>
      <c r="U674" s="2" t="s">
        <v>1464</v>
      </c>
      <c r="V674" s="2"/>
      <c r="W674" s="2">
        <v>2</v>
      </c>
      <c r="X674" s="2">
        <v>4.9800000000000004</v>
      </c>
      <c r="Y674" s="2">
        <v>1.47</v>
      </c>
      <c r="Z674" s="2">
        <v>0</v>
      </c>
      <c r="AA674" s="2">
        <v>0</v>
      </c>
      <c r="AB674" s="2">
        <v>0.4</v>
      </c>
      <c r="AC674" s="3" t="str">
        <f t="shared" si="20"/>
        <v>Loose</v>
      </c>
    </row>
    <row r="675" spans="1:29" x14ac:dyDescent="0.25">
      <c r="A675" s="1" t="s">
        <v>1465</v>
      </c>
      <c r="B675" s="2" t="s">
        <v>29</v>
      </c>
      <c r="C675" s="2"/>
      <c r="D675" s="2"/>
      <c r="E675" s="2" t="s">
        <v>1377</v>
      </c>
      <c r="F675" s="2">
        <v>1</v>
      </c>
      <c r="G675" s="2">
        <v>0.11</v>
      </c>
      <c r="H675" s="2" t="s">
        <v>43</v>
      </c>
      <c r="I675" s="2" t="s">
        <v>68</v>
      </c>
      <c r="J675" s="2" t="s">
        <v>33</v>
      </c>
      <c r="K675" s="2"/>
      <c r="L675" s="2"/>
      <c r="M675" s="2"/>
      <c r="N675" s="2"/>
      <c r="O675" s="2" t="s">
        <v>34</v>
      </c>
      <c r="P675" s="2"/>
      <c r="Q675" s="2"/>
      <c r="R675" s="2">
        <v>800</v>
      </c>
      <c r="S675" s="2">
        <v>88</v>
      </c>
      <c r="T675" s="13" t="str">
        <f t="shared" si="21"/>
        <v>TB1118</v>
      </c>
      <c r="U675" s="2" t="s">
        <v>1466</v>
      </c>
      <c r="V675" s="2"/>
      <c r="W675" s="2">
        <v>2.1800000000000002</v>
      </c>
      <c r="X675" s="2">
        <v>4.1399999999999997</v>
      </c>
      <c r="Y675" s="2">
        <v>1.54</v>
      </c>
      <c r="Z675" s="2">
        <v>0</v>
      </c>
      <c r="AA675" s="2">
        <v>0</v>
      </c>
      <c r="AB675" s="2">
        <v>0.53</v>
      </c>
      <c r="AC675" s="3" t="str">
        <f t="shared" si="20"/>
        <v>Loose</v>
      </c>
    </row>
    <row r="676" spans="1:29" x14ac:dyDescent="0.25">
      <c r="A676" s="1" t="s">
        <v>1467</v>
      </c>
      <c r="B676" s="2" t="s">
        <v>29</v>
      </c>
      <c r="C676" s="2"/>
      <c r="D676" s="2"/>
      <c r="E676" s="2" t="s">
        <v>1377</v>
      </c>
      <c r="F676" s="2">
        <v>1</v>
      </c>
      <c r="G676" s="2">
        <v>0.12</v>
      </c>
      <c r="H676" s="2" t="s">
        <v>38</v>
      </c>
      <c r="I676" s="2" t="s">
        <v>57</v>
      </c>
      <c r="J676" s="2" t="s">
        <v>33</v>
      </c>
      <c r="K676" s="2"/>
      <c r="L676" s="2"/>
      <c r="M676" s="2"/>
      <c r="N676" s="2"/>
      <c r="O676" s="2" t="s">
        <v>34</v>
      </c>
      <c r="P676" s="2"/>
      <c r="Q676" s="2"/>
      <c r="R676" s="2">
        <v>400</v>
      </c>
      <c r="S676" s="2">
        <v>48</v>
      </c>
      <c r="T676" s="13" t="str">
        <f t="shared" si="21"/>
        <v>TND63</v>
      </c>
      <c r="U676" s="2" t="s">
        <v>1468</v>
      </c>
      <c r="V676" s="2"/>
      <c r="W676" s="2">
        <v>1.73</v>
      </c>
      <c r="X676" s="2">
        <v>6.27</v>
      </c>
      <c r="Y676" s="2">
        <v>1.28</v>
      </c>
      <c r="Z676" s="2">
        <v>0</v>
      </c>
      <c r="AA676" s="2">
        <v>0</v>
      </c>
      <c r="AB676" s="2">
        <v>0.28000000000000003</v>
      </c>
      <c r="AC676" s="3" t="str">
        <f t="shared" si="20"/>
        <v>Loose</v>
      </c>
    </row>
    <row r="677" spans="1:29" x14ac:dyDescent="0.25">
      <c r="A677" s="1" t="s">
        <v>1469</v>
      </c>
      <c r="B677" s="2" t="s">
        <v>29</v>
      </c>
      <c r="C677" s="2"/>
      <c r="D677" s="2"/>
      <c r="E677" s="2" t="s">
        <v>1377</v>
      </c>
      <c r="F677" s="2">
        <v>1</v>
      </c>
      <c r="G677" s="2">
        <v>0.1</v>
      </c>
      <c r="H677" s="2" t="s">
        <v>38</v>
      </c>
      <c r="I677" s="2" t="s">
        <v>53</v>
      </c>
      <c r="J677" s="2" t="s">
        <v>33</v>
      </c>
      <c r="K677" s="2"/>
      <c r="L677" s="2"/>
      <c r="M677" s="2"/>
      <c r="N677" s="2"/>
      <c r="O677" s="2" t="s">
        <v>34</v>
      </c>
      <c r="P677" s="2"/>
      <c r="Q677" s="2"/>
      <c r="R677" s="2">
        <v>900</v>
      </c>
      <c r="S677" s="2">
        <v>90</v>
      </c>
      <c r="T677" s="13" t="str">
        <f t="shared" si="21"/>
        <v>TAB54</v>
      </c>
      <c r="U677" s="2" t="s">
        <v>1470</v>
      </c>
      <c r="V677" s="2"/>
      <c r="W677" s="2">
        <v>1.62</v>
      </c>
      <c r="X677" s="2">
        <v>5.32</v>
      </c>
      <c r="Y677" s="2">
        <v>1.23</v>
      </c>
      <c r="Z677" s="2">
        <v>0</v>
      </c>
      <c r="AA677" s="2">
        <v>0</v>
      </c>
      <c r="AB677" s="2">
        <v>0.3</v>
      </c>
      <c r="AC677" s="3" t="str">
        <f t="shared" si="20"/>
        <v>Loose</v>
      </c>
    </row>
    <row r="678" spans="1:29" x14ac:dyDescent="0.25">
      <c r="A678" s="1" t="s">
        <v>1471</v>
      </c>
      <c r="B678" s="2" t="s">
        <v>29</v>
      </c>
      <c r="C678" s="2"/>
      <c r="D678" s="2"/>
      <c r="E678" s="2" t="s">
        <v>1377</v>
      </c>
      <c r="F678" s="2">
        <v>1</v>
      </c>
      <c r="G678" s="2">
        <v>0.1</v>
      </c>
      <c r="H678" s="2" t="s">
        <v>38</v>
      </c>
      <c r="I678" s="2" t="s">
        <v>53</v>
      </c>
      <c r="J678" s="2" t="s">
        <v>33</v>
      </c>
      <c r="K678" s="2"/>
      <c r="L678" s="2"/>
      <c r="M678" s="2"/>
      <c r="N678" s="2"/>
      <c r="O678" s="2" t="s">
        <v>34</v>
      </c>
      <c r="P678" s="2"/>
      <c r="Q678" s="2"/>
      <c r="R678" s="2">
        <v>900</v>
      </c>
      <c r="S678" s="2">
        <v>90</v>
      </c>
      <c r="T678" s="13" t="str">
        <f t="shared" si="21"/>
        <v>TAB61</v>
      </c>
      <c r="U678" s="2" t="s">
        <v>1472</v>
      </c>
      <c r="V678" s="2"/>
      <c r="W678" s="2">
        <v>1.63</v>
      </c>
      <c r="X678" s="2">
        <v>6.07</v>
      </c>
      <c r="Y678" s="2">
        <v>1.1499999999999999</v>
      </c>
      <c r="Z678" s="2">
        <v>0</v>
      </c>
      <c r="AA678" s="2">
        <v>0</v>
      </c>
      <c r="AB678" s="2">
        <v>0.27</v>
      </c>
      <c r="AC678" s="3" t="str">
        <f t="shared" si="20"/>
        <v>Loose</v>
      </c>
    </row>
    <row r="679" spans="1:29" x14ac:dyDescent="0.25">
      <c r="A679" s="1" t="s">
        <v>1473</v>
      </c>
      <c r="B679" s="2" t="s">
        <v>29</v>
      </c>
      <c r="C679" s="2"/>
      <c r="D679" s="2"/>
      <c r="E679" s="2" t="s">
        <v>1377</v>
      </c>
      <c r="F679" s="2">
        <v>1</v>
      </c>
      <c r="G679" s="2">
        <v>0.13</v>
      </c>
      <c r="H679" s="2" t="s">
        <v>38</v>
      </c>
      <c r="I679" s="2" t="s">
        <v>53</v>
      </c>
      <c r="J679" s="2" t="s">
        <v>33</v>
      </c>
      <c r="K679" s="2"/>
      <c r="L679" s="2"/>
      <c r="M679" s="2"/>
      <c r="N679" s="2"/>
      <c r="O679" s="2" t="s">
        <v>34</v>
      </c>
      <c r="P679" s="2"/>
      <c r="Q679" s="2"/>
      <c r="R679" s="2">
        <v>1200</v>
      </c>
      <c r="S679" s="2">
        <v>156</v>
      </c>
      <c r="T679" s="13" t="str">
        <f t="shared" si="21"/>
        <v>TAB64</v>
      </c>
      <c r="U679" s="2" t="s">
        <v>1474</v>
      </c>
      <c r="V679" s="2"/>
      <c r="W679" s="2">
        <v>1.41</v>
      </c>
      <c r="X679" s="2">
        <v>6.37</v>
      </c>
      <c r="Y679" s="2">
        <v>1.48</v>
      </c>
      <c r="Z679" s="2">
        <v>0</v>
      </c>
      <c r="AA679" s="2">
        <v>0</v>
      </c>
      <c r="AB679" s="2">
        <v>0.22</v>
      </c>
      <c r="AC679" s="3" t="str">
        <f t="shared" si="20"/>
        <v>Loose</v>
      </c>
    </row>
    <row r="680" spans="1:29" x14ac:dyDescent="0.25">
      <c r="A680" s="1" t="s">
        <v>1475</v>
      </c>
      <c r="B680" s="2" t="s">
        <v>29</v>
      </c>
      <c r="C680" s="2"/>
      <c r="D680" s="2"/>
      <c r="E680" s="2" t="s">
        <v>1377</v>
      </c>
      <c r="F680" s="2">
        <v>1</v>
      </c>
      <c r="G680" s="2">
        <v>0.13</v>
      </c>
      <c r="H680" s="2" t="s">
        <v>43</v>
      </c>
      <c r="I680" s="2" t="s">
        <v>53</v>
      </c>
      <c r="J680" s="2" t="s">
        <v>33</v>
      </c>
      <c r="K680" s="2"/>
      <c r="L680" s="2"/>
      <c r="M680" s="2"/>
      <c r="N680" s="2"/>
      <c r="O680" s="2" t="s">
        <v>34</v>
      </c>
      <c r="P680" s="2"/>
      <c r="Q680" s="2"/>
      <c r="R680" s="2">
        <v>900</v>
      </c>
      <c r="S680" s="2">
        <v>117</v>
      </c>
      <c r="T680" s="13" t="str">
        <f t="shared" si="21"/>
        <v>TAB67</v>
      </c>
      <c r="U680" s="2" t="s">
        <v>1476</v>
      </c>
      <c r="V680" s="2"/>
      <c r="W680" s="2">
        <v>1.68</v>
      </c>
      <c r="X680" s="2">
        <v>6.64</v>
      </c>
      <c r="Y680" s="2">
        <v>1.4</v>
      </c>
      <c r="Z680" s="2">
        <v>0</v>
      </c>
      <c r="AA680" s="2">
        <v>0</v>
      </c>
      <c r="AB680" s="2">
        <v>0.25</v>
      </c>
      <c r="AC680" s="3" t="str">
        <f t="shared" si="20"/>
        <v>Loose</v>
      </c>
    </row>
    <row r="681" spans="1:29" x14ac:dyDescent="0.25">
      <c r="A681" s="1" t="s">
        <v>1477</v>
      </c>
      <c r="B681" s="2" t="s">
        <v>29</v>
      </c>
      <c r="C681" s="2"/>
      <c r="D681" s="2"/>
      <c r="E681" s="2" t="s">
        <v>1377</v>
      </c>
      <c r="F681" s="2">
        <v>1</v>
      </c>
      <c r="G681" s="2">
        <v>0.14000000000000001</v>
      </c>
      <c r="H681" s="2" t="s">
        <v>38</v>
      </c>
      <c r="I681" s="2" t="s">
        <v>53</v>
      </c>
      <c r="J681" s="2" t="s">
        <v>33</v>
      </c>
      <c r="K681" s="2"/>
      <c r="L681" s="2"/>
      <c r="M681" s="2"/>
      <c r="N681" s="2"/>
      <c r="O681" s="2" t="s">
        <v>34</v>
      </c>
      <c r="P681" s="2"/>
      <c r="Q681" s="2"/>
      <c r="R681" s="2">
        <v>1600</v>
      </c>
      <c r="S681" s="2">
        <v>224</v>
      </c>
      <c r="T681" s="13" t="str">
        <f t="shared" si="21"/>
        <v>TAB69</v>
      </c>
      <c r="U681" s="2" t="s">
        <v>1478</v>
      </c>
      <c r="V681" s="2"/>
      <c r="W681" s="2">
        <v>1.48</v>
      </c>
      <c r="X681" s="2">
        <v>6.88</v>
      </c>
      <c r="Y681" s="2">
        <v>1.47</v>
      </c>
      <c r="Z681" s="2">
        <v>0</v>
      </c>
      <c r="AA681" s="2">
        <v>0</v>
      </c>
      <c r="AB681" s="2">
        <v>0.22</v>
      </c>
      <c r="AC681" s="3" t="str">
        <f t="shared" si="20"/>
        <v>Loose</v>
      </c>
    </row>
    <row r="682" spans="1:29" x14ac:dyDescent="0.25">
      <c r="A682" s="1" t="s">
        <v>1479</v>
      </c>
      <c r="B682" s="2" t="s">
        <v>37</v>
      </c>
      <c r="C682" s="2"/>
      <c r="D682" s="2"/>
      <c r="E682" s="2" t="s">
        <v>1377</v>
      </c>
      <c r="F682" s="2">
        <v>2</v>
      </c>
      <c r="G682" s="2">
        <v>0.34</v>
      </c>
      <c r="H682" s="2" t="s">
        <v>396</v>
      </c>
      <c r="I682" s="2" t="s">
        <v>68</v>
      </c>
      <c r="J682" s="2" t="s">
        <v>33</v>
      </c>
      <c r="K682" s="2"/>
      <c r="L682" s="2"/>
      <c r="M682" s="2"/>
      <c r="N682" s="2"/>
      <c r="O682" s="2" t="s">
        <v>34</v>
      </c>
      <c r="P682" s="2"/>
      <c r="Q682" s="2"/>
      <c r="R682" s="2">
        <v>2200</v>
      </c>
      <c r="S682" s="2">
        <v>748</v>
      </c>
      <c r="T682" s="13" t="str">
        <f t="shared" si="21"/>
        <v>TPR1149</v>
      </c>
      <c r="U682" s="2" t="s">
        <v>1480</v>
      </c>
      <c r="V682" s="2"/>
      <c r="W682" s="2">
        <v>2.9</v>
      </c>
      <c r="X682" s="2">
        <v>4.57</v>
      </c>
      <c r="Y682" s="2">
        <v>1.8</v>
      </c>
      <c r="Z682" s="2">
        <v>0</v>
      </c>
      <c r="AA682" s="2">
        <v>0</v>
      </c>
      <c r="AB682" s="2">
        <v>0.63</v>
      </c>
      <c r="AC682" s="3" t="str">
        <f t="shared" si="20"/>
        <v>Pair</v>
      </c>
    </row>
    <row r="683" spans="1:29" x14ac:dyDescent="0.25">
      <c r="A683" s="1" t="s">
        <v>1481</v>
      </c>
      <c r="B683" s="2" t="s">
        <v>29</v>
      </c>
      <c r="C683" s="2"/>
      <c r="D683" s="2"/>
      <c r="E683" s="2" t="s">
        <v>1377</v>
      </c>
      <c r="F683" s="2">
        <v>1</v>
      </c>
      <c r="G683" s="2">
        <v>0.14000000000000001</v>
      </c>
      <c r="H683" s="2" t="s">
        <v>49</v>
      </c>
      <c r="I683" s="2" t="s">
        <v>53</v>
      </c>
      <c r="J683" s="2" t="s">
        <v>33</v>
      </c>
      <c r="K683" s="2"/>
      <c r="L683" s="2"/>
      <c r="M683" s="2"/>
      <c r="N683" s="2"/>
      <c r="O683" s="2" t="s">
        <v>34</v>
      </c>
      <c r="P683" s="2"/>
      <c r="Q683" s="2"/>
      <c r="R683" s="2">
        <v>450</v>
      </c>
      <c r="S683" s="2">
        <v>63</v>
      </c>
      <c r="T683" s="13" t="str">
        <f t="shared" si="21"/>
        <v>TAB50I</v>
      </c>
      <c r="U683" s="2" t="s">
        <v>1482</v>
      </c>
      <c r="V683" s="2"/>
      <c r="W683" s="2">
        <v>2.0699999999999998</v>
      </c>
      <c r="X683" s="2">
        <v>5.03</v>
      </c>
      <c r="Y683" s="2">
        <v>1.56</v>
      </c>
      <c r="Z683" s="2">
        <v>0</v>
      </c>
      <c r="AA683" s="2">
        <v>0</v>
      </c>
      <c r="AB683" s="2">
        <v>0.41</v>
      </c>
      <c r="AC683" s="3" t="str">
        <f t="shared" si="20"/>
        <v>Loose</v>
      </c>
    </row>
    <row r="684" spans="1:29" x14ac:dyDescent="0.25">
      <c r="A684" s="1" t="s">
        <v>1483</v>
      </c>
      <c r="B684" s="2" t="s">
        <v>29</v>
      </c>
      <c r="C684" s="2"/>
      <c r="D684" s="2"/>
      <c r="E684" s="2" t="s">
        <v>1377</v>
      </c>
      <c r="F684" s="2">
        <v>1</v>
      </c>
      <c r="G684" s="2">
        <v>0.11</v>
      </c>
      <c r="H684" s="2" t="s">
        <v>38</v>
      </c>
      <c r="I684" s="2" t="s">
        <v>57</v>
      </c>
      <c r="J684" s="2" t="s">
        <v>33</v>
      </c>
      <c r="K684" s="2"/>
      <c r="L684" s="2"/>
      <c r="M684" s="2"/>
      <c r="N684" s="2"/>
      <c r="O684" s="2"/>
      <c r="P684" s="2"/>
      <c r="Q684" s="2"/>
      <c r="R684" s="2">
        <v>600</v>
      </c>
      <c r="S684" s="2">
        <v>66</v>
      </c>
      <c r="T684" s="13" t="str">
        <f t="shared" si="21"/>
        <v>TABVS37</v>
      </c>
      <c r="U684" s="2" t="s">
        <v>1484</v>
      </c>
      <c r="V684" s="2"/>
      <c r="W684" s="2">
        <v>2.46</v>
      </c>
      <c r="X684" s="2">
        <v>3.68</v>
      </c>
      <c r="Y684" s="2">
        <v>1.56</v>
      </c>
      <c r="Z684" s="2">
        <v>0</v>
      </c>
      <c r="AA684" s="2">
        <v>0</v>
      </c>
      <c r="AB684" s="2">
        <v>0.67</v>
      </c>
      <c r="AC684" s="3" t="str">
        <f t="shared" si="20"/>
        <v>Loose</v>
      </c>
    </row>
    <row r="685" spans="1:29" x14ac:dyDescent="0.25">
      <c r="A685" s="1" t="s">
        <v>1485</v>
      </c>
      <c r="B685" s="2" t="s">
        <v>29</v>
      </c>
      <c r="C685" s="2"/>
      <c r="D685" s="2"/>
      <c r="E685" s="2" t="s">
        <v>1377</v>
      </c>
      <c r="F685" s="2">
        <v>1</v>
      </c>
      <c r="G685" s="2">
        <v>0.24</v>
      </c>
      <c r="H685" s="2" t="s">
        <v>38</v>
      </c>
      <c r="I685" s="2" t="s">
        <v>50</v>
      </c>
      <c r="J685" s="2" t="s">
        <v>33</v>
      </c>
      <c r="K685" s="2"/>
      <c r="L685" s="2"/>
      <c r="M685" s="2"/>
      <c r="N685" s="2"/>
      <c r="O685" s="2"/>
      <c r="P685" s="2"/>
      <c r="Q685" s="2"/>
      <c r="R685" s="2">
        <v>800</v>
      </c>
      <c r="S685" s="2">
        <v>192</v>
      </c>
      <c r="T685" s="13" t="str">
        <f t="shared" si="21"/>
        <v>TABSI63</v>
      </c>
      <c r="U685" s="2" t="s">
        <v>1486</v>
      </c>
      <c r="V685" s="2"/>
      <c r="W685" s="2">
        <v>2.08</v>
      </c>
      <c r="X685" s="2">
        <v>6.29</v>
      </c>
      <c r="Y685" s="2">
        <v>1.88</v>
      </c>
      <c r="Z685" s="2">
        <v>0</v>
      </c>
      <c r="AA685" s="2">
        <v>0</v>
      </c>
      <c r="AB685" s="2">
        <v>0.33</v>
      </c>
      <c r="AC685" s="3" t="str">
        <f t="shared" si="20"/>
        <v>Loose</v>
      </c>
    </row>
    <row r="686" spans="1:29" x14ac:dyDescent="0.25">
      <c r="A686" s="1" t="s">
        <v>1487</v>
      </c>
      <c r="B686" s="2" t="s">
        <v>29</v>
      </c>
      <c r="C686" s="2"/>
      <c r="D686" s="2"/>
      <c r="E686" s="2" t="s">
        <v>1377</v>
      </c>
      <c r="F686" s="2">
        <v>1</v>
      </c>
      <c r="G686" s="2">
        <v>0.17</v>
      </c>
      <c r="H686" s="2" t="s">
        <v>49</v>
      </c>
      <c r="I686" s="2" t="s">
        <v>68</v>
      </c>
      <c r="J686" s="2" t="s">
        <v>33</v>
      </c>
      <c r="K686" s="2"/>
      <c r="L686" s="2"/>
      <c r="M686" s="2"/>
      <c r="N686" s="2"/>
      <c r="O686" s="2" t="s">
        <v>70</v>
      </c>
      <c r="P686" s="2"/>
      <c r="Q686" s="2"/>
      <c r="R686" s="2">
        <v>1100</v>
      </c>
      <c r="S686" s="2">
        <v>187</v>
      </c>
      <c r="T686" s="13" t="str">
        <f t="shared" si="21"/>
        <v>TB1151</v>
      </c>
      <c r="U686" s="2" t="s">
        <v>1488</v>
      </c>
      <c r="V686" s="2"/>
      <c r="W686" s="2">
        <v>2.77</v>
      </c>
      <c r="X686" s="2">
        <v>4.7699999999999996</v>
      </c>
      <c r="Y686" s="2">
        <v>1.43</v>
      </c>
      <c r="Z686" s="2">
        <v>0</v>
      </c>
      <c r="AA686" s="2">
        <v>0</v>
      </c>
      <c r="AB686" s="2">
        <v>0.57999999999999996</v>
      </c>
      <c r="AC686" s="3" t="str">
        <f t="shared" si="20"/>
        <v>Loose</v>
      </c>
    </row>
    <row r="687" spans="1:29" x14ac:dyDescent="0.25">
      <c r="A687" s="1" t="s">
        <v>1489</v>
      </c>
      <c r="B687" s="2" t="s">
        <v>37</v>
      </c>
      <c r="C687" s="2"/>
      <c r="D687" s="2"/>
      <c r="E687" s="2" t="s">
        <v>1377</v>
      </c>
      <c r="F687" s="2">
        <v>2</v>
      </c>
      <c r="G687" s="2">
        <v>0.17</v>
      </c>
      <c r="H687" s="2" t="s">
        <v>137</v>
      </c>
      <c r="I687" s="2" t="s">
        <v>68</v>
      </c>
      <c r="J687" s="2" t="s">
        <v>33</v>
      </c>
      <c r="K687" s="2"/>
      <c r="L687" s="2"/>
      <c r="M687" s="2"/>
      <c r="N687" s="2"/>
      <c r="O687" s="2"/>
      <c r="P687" s="2"/>
      <c r="Q687" s="2"/>
      <c r="R687" s="2">
        <v>1900</v>
      </c>
      <c r="S687" s="2">
        <v>323</v>
      </c>
      <c r="T687" s="13" t="str">
        <f t="shared" si="21"/>
        <v>TPR1167</v>
      </c>
      <c r="U687" s="2" t="s">
        <v>1490</v>
      </c>
      <c r="V687" s="2"/>
      <c r="W687" s="2">
        <v>5.3</v>
      </c>
      <c r="X687" s="2">
        <v>2.4500000000000002</v>
      </c>
      <c r="Y687" s="2">
        <v>1.23</v>
      </c>
      <c r="Z687" s="2">
        <v>0</v>
      </c>
      <c r="AA687" s="2">
        <v>0</v>
      </c>
      <c r="AB687" s="2">
        <v>2.16</v>
      </c>
      <c r="AC687" s="3" t="str">
        <f t="shared" si="20"/>
        <v>Pair</v>
      </c>
    </row>
    <row r="688" spans="1:29" x14ac:dyDescent="0.25">
      <c r="A688" s="1" t="s">
        <v>1491</v>
      </c>
      <c r="B688" s="2" t="s">
        <v>29</v>
      </c>
      <c r="C688" s="2"/>
      <c r="D688" s="2"/>
      <c r="E688" s="2" t="s">
        <v>1377</v>
      </c>
      <c r="F688" s="2">
        <v>1</v>
      </c>
      <c r="G688" s="2">
        <v>0.12</v>
      </c>
      <c r="H688" s="2" t="s">
        <v>396</v>
      </c>
      <c r="I688" s="2" t="s">
        <v>50</v>
      </c>
      <c r="J688" s="2" t="s">
        <v>33</v>
      </c>
      <c r="K688" s="2"/>
      <c r="L688" s="2"/>
      <c r="M688" s="2"/>
      <c r="N688" s="2"/>
      <c r="O688" s="2" t="s">
        <v>34</v>
      </c>
      <c r="P688" s="2"/>
      <c r="Q688" s="2"/>
      <c r="R688" s="2">
        <v>500</v>
      </c>
      <c r="S688" s="2">
        <v>60</v>
      </c>
      <c r="T688" s="13" t="str">
        <f t="shared" si="21"/>
        <v>TB1165</v>
      </c>
      <c r="U688" s="2" t="s">
        <v>1492</v>
      </c>
      <c r="V688" s="2"/>
      <c r="W688" s="2">
        <v>2.25</v>
      </c>
      <c r="X688" s="2">
        <v>5.34</v>
      </c>
      <c r="Y688" s="2">
        <v>1.31</v>
      </c>
      <c r="Z688" s="2">
        <v>0</v>
      </c>
      <c r="AA688" s="2">
        <v>0</v>
      </c>
      <c r="AB688" s="2">
        <v>0.42</v>
      </c>
      <c r="AC688" s="3" t="str">
        <f t="shared" si="20"/>
        <v>Loose</v>
      </c>
    </row>
    <row r="689" spans="1:29" x14ac:dyDescent="0.25">
      <c r="A689" s="1" t="s">
        <v>1493</v>
      </c>
      <c r="B689" s="2" t="s">
        <v>29</v>
      </c>
      <c r="C689" s="2"/>
      <c r="D689" s="2"/>
      <c r="E689" s="2" t="s">
        <v>1377</v>
      </c>
      <c r="F689" s="2">
        <v>1</v>
      </c>
      <c r="G689" s="2">
        <v>0.13</v>
      </c>
      <c r="H689" s="2" t="s">
        <v>38</v>
      </c>
      <c r="I689" s="2" t="s">
        <v>68</v>
      </c>
      <c r="J689" s="2" t="s">
        <v>33</v>
      </c>
      <c r="K689" s="2"/>
      <c r="L689" s="2"/>
      <c r="M689" s="2"/>
      <c r="N689" s="2"/>
      <c r="O689" s="2" t="s">
        <v>34</v>
      </c>
      <c r="P689" s="2"/>
      <c r="Q689" s="2"/>
      <c r="R689" s="2">
        <v>1600</v>
      </c>
      <c r="S689" s="2">
        <v>208</v>
      </c>
      <c r="T689" s="13" t="str">
        <f t="shared" si="21"/>
        <v>TPR1177</v>
      </c>
      <c r="U689" s="2" t="s">
        <v>1494</v>
      </c>
      <c r="V689" s="2"/>
      <c r="W689" s="2">
        <v>2.4300000000000002</v>
      </c>
      <c r="X689" s="2">
        <v>5.67</v>
      </c>
      <c r="Y689" s="2">
        <v>1.22</v>
      </c>
      <c r="Z689" s="2">
        <v>0</v>
      </c>
      <c r="AA689" s="2">
        <v>0</v>
      </c>
      <c r="AB689" s="2">
        <v>0.43</v>
      </c>
      <c r="AC689" s="3" t="str">
        <f t="shared" si="20"/>
        <v>Loose</v>
      </c>
    </row>
    <row r="690" spans="1:29" x14ac:dyDescent="0.25">
      <c r="A690" s="1" t="s">
        <v>1495</v>
      </c>
      <c r="B690" s="2" t="s">
        <v>29</v>
      </c>
      <c r="C690" s="2"/>
      <c r="D690" s="2"/>
      <c r="E690" s="2" t="s">
        <v>1377</v>
      </c>
      <c r="F690" s="2">
        <v>1</v>
      </c>
      <c r="G690" s="2">
        <v>0.1</v>
      </c>
      <c r="H690" s="2" t="s">
        <v>38</v>
      </c>
      <c r="I690" s="2" t="s">
        <v>53</v>
      </c>
      <c r="J690" s="2" t="s">
        <v>33</v>
      </c>
      <c r="K690" s="2"/>
      <c r="L690" s="2"/>
      <c r="M690" s="2"/>
      <c r="N690" s="2"/>
      <c r="O690" s="2"/>
      <c r="P690" s="2"/>
      <c r="Q690" s="2"/>
      <c r="R690" s="2">
        <v>900</v>
      </c>
      <c r="S690" s="2">
        <v>90</v>
      </c>
      <c r="T690" s="13" t="str">
        <f t="shared" si="21"/>
        <v>TND60A</v>
      </c>
      <c r="U690" s="2" t="s">
        <v>1496</v>
      </c>
      <c r="V690" s="2"/>
      <c r="W690" s="2">
        <v>1.54</v>
      </c>
      <c r="X690" s="2">
        <v>6.04</v>
      </c>
      <c r="Y690" s="2">
        <v>1.24</v>
      </c>
      <c r="Z690" s="2">
        <v>0</v>
      </c>
      <c r="AA690" s="2">
        <v>0</v>
      </c>
      <c r="AB690" s="2">
        <v>0.25</v>
      </c>
      <c r="AC690" s="3" t="str">
        <f t="shared" si="20"/>
        <v>Loose</v>
      </c>
    </row>
    <row r="691" spans="1:29" x14ac:dyDescent="0.25">
      <c r="A691" s="1" t="s">
        <v>1497</v>
      </c>
      <c r="B691" s="2" t="s">
        <v>29</v>
      </c>
      <c r="C691" s="2"/>
      <c r="D691" s="2"/>
      <c r="E691" s="2" t="s">
        <v>1377</v>
      </c>
      <c r="F691" s="2">
        <v>1</v>
      </c>
      <c r="G691" s="2">
        <v>0.1</v>
      </c>
      <c r="H691" s="2" t="s">
        <v>38</v>
      </c>
      <c r="I691" s="2" t="s">
        <v>53</v>
      </c>
      <c r="J691" s="2" t="s">
        <v>33</v>
      </c>
      <c r="K691" s="2"/>
      <c r="L691" s="2"/>
      <c r="M691" s="2"/>
      <c r="N691" s="2"/>
      <c r="O691" s="2"/>
      <c r="P691" s="2"/>
      <c r="Q691" s="2"/>
      <c r="R691" s="2">
        <v>900</v>
      </c>
      <c r="S691" s="2">
        <v>90</v>
      </c>
      <c r="T691" s="13" t="str">
        <f t="shared" si="21"/>
        <v>TND60B</v>
      </c>
      <c r="U691" s="2" t="s">
        <v>1498</v>
      </c>
      <c r="V691" s="2"/>
      <c r="W691" s="2">
        <v>1.6</v>
      </c>
      <c r="X691" s="2">
        <v>5.96</v>
      </c>
      <c r="Y691" s="2">
        <v>1.1599999999999999</v>
      </c>
      <c r="Z691" s="2">
        <v>0</v>
      </c>
      <c r="AA691" s="2">
        <v>0</v>
      </c>
      <c r="AB691" s="2">
        <v>0.27</v>
      </c>
      <c r="AC691" s="3" t="str">
        <f t="shared" si="20"/>
        <v>Loose</v>
      </c>
    </row>
    <row r="692" spans="1:29" x14ac:dyDescent="0.25">
      <c r="A692" s="1" t="s">
        <v>1499</v>
      </c>
      <c r="B692" s="2" t="s">
        <v>29</v>
      </c>
      <c r="C692" s="2"/>
      <c r="D692" s="2"/>
      <c r="E692" s="2" t="s">
        <v>1377</v>
      </c>
      <c r="F692" s="2">
        <v>1</v>
      </c>
      <c r="G692" s="2">
        <v>0.1</v>
      </c>
      <c r="H692" s="2" t="s">
        <v>31</v>
      </c>
      <c r="I692" s="2" t="s">
        <v>39</v>
      </c>
      <c r="J692" s="2" t="s">
        <v>33</v>
      </c>
      <c r="K692" s="2"/>
      <c r="L692" s="2"/>
      <c r="M692" s="2"/>
      <c r="N692" s="2"/>
      <c r="O692" s="2" t="s">
        <v>34</v>
      </c>
      <c r="P692" s="2"/>
      <c r="Q692" s="2"/>
      <c r="R692" s="2">
        <v>995</v>
      </c>
      <c r="S692" s="2">
        <v>99.5</v>
      </c>
      <c r="T692" s="13" t="str">
        <f t="shared" si="21"/>
        <v>TPR1223</v>
      </c>
      <c r="U692" s="2" t="s">
        <v>1500</v>
      </c>
      <c r="V692" s="2"/>
      <c r="W692" s="2">
        <v>2.04</v>
      </c>
      <c r="X692" s="2">
        <v>5.2</v>
      </c>
      <c r="Y692" s="2">
        <v>1.2</v>
      </c>
      <c r="Z692" s="2">
        <v>0</v>
      </c>
      <c r="AA692" s="2">
        <v>0</v>
      </c>
      <c r="AB692" s="2">
        <v>0.39</v>
      </c>
      <c r="AC692" s="3" t="str">
        <f t="shared" si="20"/>
        <v>Loose</v>
      </c>
    </row>
    <row r="693" spans="1:29" x14ac:dyDescent="0.25">
      <c r="A693" s="1" t="s">
        <v>1501</v>
      </c>
      <c r="B693" s="2" t="s">
        <v>29</v>
      </c>
      <c r="C693" s="2"/>
      <c r="D693" s="2"/>
      <c r="E693" s="2" t="s">
        <v>1377</v>
      </c>
      <c r="F693" s="2">
        <v>1</v>
      </c>
      <c r="G693" s="2">
        <v>0.15</v>
      </c>
      <c r="H693" s="2" t="s">
        <v>396</v>
      </c>
      <c r="I693" s="2" t="s">
        <v>57</v>
      </c>
      <c r="J693" s="2" t="s">
        <v>33</v>
      </c>
      <c r="K693" s="2"/>
      <c r="L693" s="2"/>
      <c r="M693" s="2"/>
      <c r="N693" s="2"/>
      <c r="O693" s="2" t="s">
        <v>34</v>
      </c>
      <c r="P693" s="2"/>
      <c r="Q693" s="2"/>
      <c r="R693" s="2">
        <v>1200</v>
      </c>
      <c r="S693" s="2">
        <v>180</v>
      </c>
      <c r="T693" s="13" t="str">
        <f t="shared" si="21"/>
        <v>TPR1231</v>
      </c>
      <c r="U693" s="2" t="s">
        <v>1502</v>
      </c>
      <c r="V693" s="2"/>
      <c r="W693" s="2">
        <v>2.19</v>
      </c>
      <c r="X693" s="2">
        <v>5.75</v>
      </c>
      <c r="Y693" s="2">
        <v>1.45</v>
      </c>
      <c r="Z693" s="2">
        <v>0</v>
      </c>
      <c r="AA693" s="2">
        <v>0</v>
      </c>
      <c r="AB693" s="2">
        <v>0.38</v>
      </c>
      <c r="AC693" s="3" t="str">
        <f t="shared" si="20"/>
        <v>Loose</v>
      </c>
    </row>
    <row r="694" spans="1:29" x14ac:dyDescent="0.25">
      <c r="A694" s="1" t="s">
        <v>1503</v>
      </c>
      <c r="B694" s="2" t="s">
        <v>29</v>
      </c>
      <c r="C694" s="2"/>
      <c r="D694" s="2"/>
      <c r="E694" s="2" t="s">
        <v>1377</v>
      </c>
      <c r="F694" s="2">
        <v>1</v>
      </c>
      <c r="G694" s="2">
        <v>0.1</v>
      </c>
      <c r="H694" s="2" t="s">
        <v>76</v>
      </c>
      <c r="I694" s="2" t="s">
        <v>57</v>
      </c>
      <c r="J694" s="2" t="s">
        <v>33</v>
      </c>
      <c r="K694" s="2"/>
      <c r="L694" s="2"/>
      <c r="M694" s="2"/>
      <c r="N694" s="2"/>
      <c r="O694" s="2" t="s">
        <v>70</v>
      </c>
      <c r="P694" s="2"/>
      <c r="Q694" s="2"/>
      <c r="R694" s="2">
        <v>800</v>
      </c>
      <c r="S694" s="2">
        <v>80</v>
      </c>
      <c r="T694" s="13" t="str">
        <f t="shared" si="21"/>
        <v>TB1166</v>
      </c>
      <c r="U694" s="2" t="s">
        <v>1504</v>
      </c>
      <c r="V694" s="2"/>
      <c r="W694" s="2">
        <v>2.34</v>
      </c>
      <c r="X694" s="2">
        <v>4.54</v>
      </c>
      <c r="Y694" s="2">
        <v>1.1499999999999999</v>
      </c>
      <c r="Z694" s="2">
        <v>0</v>
      </c>
      <c r="AA694" s="2">
        <v>0</v>
      </c>
      <c r="AB694" s="2">
        <v>0.52</v>
      </c>
      <c r="AC694" s="3" t="str">
        <f t="shared" si="20"/>
        <v>Loose</v>
      </c>
    </row>
    <row r="695" spans="1:29" x14ac:dyDescent="0.25">
      <c r="A695" s="1" t="s">
        <v>1505</v>
      </c>
      <c r="B695" s="2" t="s">
        <v>37</v>
      </c>
      <c r="C695" s="2"/>
      <c r="D695" s="2"/>
      <c r="E695" s="2" t="s">
        <v>1377</v>
      </c>
      <c r="F695" s="2">
        <v>2</v>
      </c>
      <c r="G695" s="2">
        <v>0.24</v>
      </c>
      <c r="H695" s="2" t="s">
        <v>49</v>
      </c>
      <c r="I695" s="2" t="s">
        <v>53</v>
      </c>
      <c r="J695" s="2" t="s">
        <v>33</v>
      </c>
      <c r="K695" s="2"/>
      <c r="L695" s="2"/>
      <c r="M695" s="2"/>
      <c r="N695" s="2"/>
      <c r="O695" s="2"/>
      <c r="P695" s="2"/>
      <c r="Q695" s="2"/>
      <c r="R695" s="2">
        <v>1200</v>
      </c>
      <c r="S695" s="2">
        <v>288</v>
      </c>
      <c r="T695" s="13" t="str">
        <f t="shared" si="21"/>
        <v>TPR2028</v>
      </c>
      <c r="U695" s="2" t="s">
        <v>1506</v>
      </c>
      <c r="V695" s="2"/>
      <c r="W695" s="2">
        <v>4.79</v>
      </c>
      <c r="X695" s="2">
        <v>1.87</v>
      </c>
      <c r="Y695" s="2">
        <v>1.56</v>
      </c>
      <c r="Z695" s="2">
        <v>0</v>
      </c>
      <c r="AA695" s="2">
        <v>0</v>
      </c>
      <c r="AB695" s="2">
        <v>2.56</v>
      </c>
      <c r="AC695" s="3" t="str">
        <f t="shared" si="20"/>
        <v>Pair</v>
      </c>
    </row>
    <row r="696" spans="1:29" x14ac:dyDescent="0.25">
      <c r="A696" s="1" t="s">
        <v>1507</v>
      </c>
      <c r="B696" s="2" t="s">
        <v>29</v>
      </c>
      <c r="C696" s="2"/>
      <c r="D696" s="2"/>
      <c r="E696" s="2" t="s">
        <v>1377</v>
      </c>
      <c r="F696" s="2">
        <v>2</v>
      </c>
      <c r="G696" s="2">
        <v>0.28999999999999998</v>
      </c>
      <c r="H696" s="2" t="s">
        <v>31</v>
      </c>
      <c r="I696" s="2" t="s">
        <v>57</v>
      </c>
      <c r="J696" s="2" t="s">
        <v>33</v>
      </c>
      <c r="K696" s="2"/>
      <c r="L696" s="2"/>
      <c r="M696" s="2"/>
      <c r="N696" s="2"/>
      <c r="O696" s="2" t="s">
        <v>34</v>
      </c>
      <c r="P696" s="2"/>
      <c r="Q696" s="2"/>
      <c r="R696" s="2">
        <v>1100</v>
      </c>
      <c r="S696" s="2">
        <v>319</v>
      </c>
      <c r="T696" s="13" t="str">
        <f t="shared" si="21"/>
        <v>TPR2008</v>
      </c>
      <c r="U696" s="2" t="s">
        <v>1508</v>
      </c>
      <c r="V696" s="2"/>
      <c r="W696" s="2">
        <v>4.8</v>
      </c>
      <c r="X696" s="2">
        <v>2.2200000000000002</v>
      </c>
      <c r="Y696" s="2">
        <v>1.68</v>
      </c>
      <c r="Z696" s="2">
        <v>0</v>
      </c>
      <c r="AA696" s="2">
        <v>0</v>
      </c>
      <c r="AB696" s="2">
        <v>2.16</v>
      </c>
      <c r="AC696" s="3" t="str">
        <f t="shared" si="20"/>
        <v>Pair</v>
      </c>
    </row>
    <row r="697" spans="1:29" x14ac:dyDescent="0.25">
      <c r="A697" s="1" t="s">
        <v>1509</v>
      </c>
      <c r="B697" s="2" t="s">
        <v>37</v>
      </c>
      <c r="C697" s="2"/>
      <c r="D697" s="2"/>
      <c r="E697" s="2" t="s">
        <v>1377</v>
      </c>
      <c r="F697" s="2">
        <v>2</v>
      </c>
      <c r="G697" s="2">
        <v>0.25</v>
      </c>
      <c r="H697" s="2" t="s">
        <v>31</v>
      </c>
      <c r="I697" s="2" t="s">
        <v>57</v>
      </c>
      <c r="J697" s="2" t="s">
        <v>33</v>
      </c>
      <c r="K697" s="2"/>
      <c r="L697" s="2"/>
      <c r="M697" s="2"/>
      <c r="N697" s="2"/>
      <c r="O697" s="2" t="s">
        <v>70</v>
      </c>
      <c r="P697" s="2"/>
      <c r="Q697" s="2"/>
      <c r="R697" s="2">
        <v>1400</v>
      </c>
      <c r="S697" s="2">
        <v>350</v>
      </c>
      <c r="T697" s="13" t="str">
        <f t="shared" si="21"/>
        <v>TPR2009</v>
      </c>
      <c r="U697" s="2" t="s">
        <v>1510</v>
      </c>
      <c r="V697" s="2"/>
      <c r="W697" s="2">
        <v>4.88</v>
      </c>
      <c r="X697" s="2">
        <v>2.5299999999999998</v>
      </c>
      <c r="Y697" s="2">
        <v>1.34</v>
      </c>
      <c r="Z697" s="2">
        <v>0</v>
      </c>
      <c r="AA697" s="2">
        <v>0</v>
      </c>
      <c r="AB697" s="2">
        <v>1.93</v>
      </c>
      <c r="AC697" s="3" t="str">
        <f t="shared" si="20"/>
        <v>Pair</v>
      </c>
    </row>
    <row r="698" spans="1:29" x14ac:dyDescent="0.25">
      <c r="A698" s="1" t="s">
        <v>1511</v>
      </c>
      <c r="B698" s="2" t="s">
        <v>29</v>
      </c>
      <c r="C698" s="2"/>
      <c r="D698" s="2"/>
      <c r="E698" s="2" t="s">
        <v>1377</v>
      </c>
      <c r="F698" s="2">
        <v>2</v>
      </c>
      <c r="G698" s="2">
        <v>0.35</v>
      </c>
      <c r="H698" s="2" t="s">
        <v>43</v>
      </c>
      <c r="I698" s="2" t="s">
        <v>32</v>
      </c>
      <c r="J698" s="2" t="s">
        <v>33</v>
      </c>
      <c r="K698" s="2"/>
      <c r="L698" s="2"/>
      <c r="M698" s="2"/>
      <c r="N698" s="2"/>
      <c r="O698" s="2"/>
      <c r="P698" s="2"/>
      <c r="Q698" s="2"/>
      <c r="R698" s="2">
        <v>1000</v>
      </c>
      <c r="S698" s="2">
        <v>350</v>
      </c>
      <c r="T698" s="13" t="str">
        <f t="shared" si="21"/>
        <v>TPR2013</v>
      </c>
      <c r="U698" s="2" t="s">
        <v>1512</v>
      </c>
      <c r="V698" s="2"/>
      <c r="W698" s="2">
        <v>4.45</v>
      </c>
      <c r="X698" s="2">
        <v>2.36</v>
      </c>
      <c r="Y698" s="2">
        <v>1.9</v>
      </c>
      <c r="Z698" s="2">
        <v>0</v>
      </c>
      <c r="AA698" s="2">
        <v>0</v>
      </c>
      <c r="AB698" s="2">
        <v>1.89</v>
      </c>
      <c r="AC698" s="3" t="str">
        <f t="shared" si="20"/>
        <v>Pair</v>
      </c>
    </row>
    <row r="699" spans="1:29" x14ac:dyDescent="0.25">
      <c r="A699" s="1" t="s">
        <v>1513</v>
      </c>
      <c r="B699" s="2" t="s">
        <v>29</v>
      </c>
      <c r="C699" s="2"/>
      <c r="D699" s="2"/>
      <c r="E699" s="2" t="s">
        <v>1377</v>
      </c>
      <c r="F699" s="2">
        <v>2</v>
      </c>
      <c r="G699" s="2">
        <v>0.16</v>
      </c>
      <c r="H699" s="2" t="s">
        <v>38</v>
      </c>
      <c r="I699" s="2" t="s">
        <v>68</v>
      </c>
      <c r="J699" s="2" t="s">
        <v>33</v>
      </c>
      <c r="K699" s="2"/>
      <c r="L699" s="2"/>
      <c r="M699" s="2"/>
      <c r="N699" s="2"/>
      <c r="O699" s="2"/>
      <c r="P699" s="2"/>
      <c r="Q699" s="2"/>
      <c r="R699" s="2">
        <v>1200</v>
      </c>
      <c r="S699" s="2">
        <v>192</v>
      </c>
      <c r="T699" s="13" t="str">
        <f t="shared" si="21"/>
        <v>TPR2017</v>
      </c>
      <c r="U699" s="2" t="s">
        <v>1514</v>
      </c>
      <c r="V699" s="2"/>
      <c r="W699" s="2">
        <v>4.0999999999999996</v>
      </c>
      <c r="X699" s="2">
        <v>2.41</v>
      </c>
      <c r="Y699" s="2">
        <v>1.26</v>
      </c>
      <c r="Z699" s="2">
        <v>0</v>
      </c>
      <c r="AA699" s="2">
        <v>0</v>
      </c>
      <c r="AB699" s="2">
        <v>1.7</v>
      </c>
      <c r="AC699" s="3" t="str">
        <f t="shared" si="20"/>
        <v>Pair</v>
      </c>
    </row>
    <row r="700" spans="1:29" x14ac:dyDescent="0.25">
      <c r="A700" s="1" t="s">
        <v>1515</v>
      </c>
      <c r="B700" s="2" t="s">
        <v>29</v>
      </c>
      <c r="C700" s="2"/>
      <c r="D700" s="2"/>
      <c r="E700" s="2" t="s">
        <v>1377</v>
      </c>
      <c r="F700" s="2">
        <v>2</v>
      </c>
      <c r="G700" s="2">
        <v>0.19</v>
      </c>
      <c r="H700" s="2" t="s">
        <v>38</v>
      </c>
      <c r="I700" s="2" t="s">
        <v>68</v>
      </c>
      <c r="J700" s="2" t="s">
        <v>33</v>
      </c>
      <c r="K700" s="2"/>
      <c r="L700" s="2"/>
      <c r="M700" s="2"/>
      <c r="N700" s="2"/>
      <c r="O700" s="2"/>
      <c r="P700" s="2"/>
      <c r="Q700" s="2"/>
      <c r="R700" s="2">
        <v>1300</v>
      </c>
      <c r="S700" s="2">
        <v>247</v>
      </c>
      <c r="T700" s="13" t="str">
        <f t="shared" si="21"/>
        <v>TPR2018</v>
      </c>
      <c r="U700" s="2" t="s">
        <v>1516</v>
      </c>
      <c r="V700" s="2"/>
      <c r="W700" s="2">
        <v>4.53</v>
      </c>
      <c r="X700" s="2">
        <v>1.74</v>
      </c>
      <c r="Y700" s="2">
        <v>1.4</v>
      </c>
      <c r="Z700" s="2">
        <v>0</v>
      </c>
      <c r="AA700" s="2">
        <v>0</v>
      </c>
      <c r="AB700" s="2">
        <v>2.6</v>
      </c>
      <c r="AC700" s="3" t="str">
        <f t="shared" si="20"/>
        <v>Pair</v>
      </c>
    </row>
    <row r="701" spans="1:29" x14ac:dyDescent="0.25">
      <c r="A701" s="1" t="s">
        <v>1517</v>
      </c>
      <c r="B701" s="2" t="s">
        <v>37</v>
      </c>
      <c r="C701" s="2"/>
      <c r="D701" s="2"/>
      <c r="E701" s="2" t="s">
        <v>1377</v>
      </c>
      <c r="F701" s="2">
        <v>2</v>
      </c>
      <c r="G701" s="2">
        <v>0.34</v>
      </c>
      <c r="H701" s="2" t="s">
        <v>38</v>
      </c>
      <c r="I701" s="2" t="s">
        <v>57</v>
      </c>
      <c r="J701" s="2" t="s">
        <v>33</v>
      </c>
      <c r="K701" s="2"/>
      <c r="L701" s="2"/>
      <c r="M701" s="2"/>
      <c r="N701" s="2"/>
      <c r="O701" s="2"/>
      <c r="P701" s="2"/>
      <c r="Q701" s="2"/>
      <c r="R701" s="2">
        <v>1500</v>
      </c>
      <c r="S701" s="2">
        <v>510</v>
      </c>
      <c r="T701" s="13" t="str">
        <f t="shared" si="21"/>
        <v>TPR2022</v>
      </c>
      <c r="U701" s="2" t="s">
        <v>1518</v>
      </c>
      <c r="V701" s="2"/>
      <c r="W701" s="2">
        <v>4.41</v>
      </c>
      <c r="X701" s="2">
        <v>2.25</v>
      </c>
      <c r="Y701" s="2">
        <v>1.84</v>
      </c>
      <c r="Z701" s="2">
        <v>0</v>
      </c>
      <c r="AA701" s="2">
        <v>0</v>
      </c>
      <c r="AB701" s="2">
        <v>1.96</v>
      </c>
      <c r="AC701" s="3" t="str">
        <f t="shared" si="20"/>
        <v>Pair</v>
      </c>
    </row>
    <row r="702" spans="1:29" x14ac:dyDescent="0.25">
      <c r="A702" s="1" t="s">
        <v>1519</v>
      </c>
      <c r="B702" s="2" t="s">
        <v>37</v>
      </c>
      <c r="C702" s="2"/>
      <c r="D702" s="2"/>
      <c r="E702" s="2" t="s">
        <v>1377</v>
      </c>
      <c r="F702" s="2">
        <v>2</v>
      </c>
      <c r="G702" s="2">
        <v>0.32</v>
      </c>
      <c r="H702" s="2" t="s">
        <v>38</v>
      </c>
      <c r="I702" s="2" t="s">
        <v>57</v>
      </c>
      <c r="J702" s="2" t="s">
        <v>33</v>
      </c>
      <c r="K702" s="2"/>
      <c r="L702" s="2"/>
      <c r="M702" s="2"/>
      <c r="N702" s="2"/>
      <c r="O702" s="2"/>
      <c r="P702" s="2"/>
      <c r="Q702" s="2"/>
      <c r="R702" s="2">
        <v>1400</v>
      </c>
      <c r="S702" s="2">
        <v>448</v>
      </c>
      <c r="T702" s="13" t="str">
        <f t="shared" si="21"/>
        <v>TPR2023</v>
      </c>
      <c r="U702" s="2" t="s">
        <v>1520</v>
      </c>
      <c r="V702" s="2"/>
      <c r="W702" s="2">
        <v>4.34</v>
      </c>
      <c r="X702" s="2">
        <v>2.31</v>
      </c>
      <c r="Y702" s="2">
        <v>1.81</v>
      </c>
      <c r="Z702" s="2">
        <v>0</v>
      </c>
      <c r="AA702" s="2">
        <v>0</v>
      </c>
      <c r="AB702" s="2">
        <v>1.88</v>
      </c>
      <c r="AC702" s="3" t="str">
        <f t="shared" si="20"/>
        <v>Pair</v>
      </c>
    </row>
    <row r="703" spans="1:29" x14ac:dyDescent="0.25">
      <c r="A703" s="1" t="s">
        <v>1521</v>
      </c>
      <c r="B703" s="2" t="s">
        <v>37</v>
      </c>
      <c r="C703" s="2"/>
      <c r="D703" s="2"/>
      <c r="E703" s="2" t="s">
        <v>1377</v>
      </c>
      <c r="F703" s="2">
        <v>2</v>
      </c>
      <c r="G703" s="2">
        <v>0.37</v>
      </c>
      <c r="H703" s="2" t="s">
        <v>38</v>
      </c>
      <c r="I703" s="2" t="s">
        <v>57</v>
      </c>
      <c r="J703" s="2" t="s">
        <v>33</v>
      </c>
      <c r="K703" s="2"/>
      <c r="L703" s="2"/>
      <c r="M703" s="2"/>
      <c r="N703" s="2"/>
      <c r="O703" s="2"/>
      <c r="P703" s="2"/>
      <c r="Q703" s="2"/>
      <c r="R703" s="2">
        <v>1500</v>
      </c>
      <c r="S703" s="2">
        <v>555</v>
      </c>
      <c r="T703" s="13" t="str">
        <f t="shared" si="21"/>
        <v>TPR2024</v>
      </c>
      <c r="U703" s="2" t="s">
        <v>1522</v>
      </c>
      <c r="V703" s="2"/>
      <c r="W703" s="2">
        <v>4.4800000000000004</v>
      </c>
      <c r="X703" s="2">
        <v>2.37</v>
      </c>
      <c r="Y703" s="2">
        <v>1.89</v>
      </c>
      <c r="Z703" s="2">
        <v>0</v>
      </c>
      <c r="AA703" s="2">
        <v>0</v>
      </c>
      <c r="AB703" s="2">
        <v>1.89</v>
      </c>
      <c r="AC703" s="3" t="str">
        <f t="shared" si="20"/>
        <v>Pair</v>
      </c>
    </row>
    <row r="704" spans="1:29" x14ac:dyDescent="0.25">
      <c r="A704" s="1" t="s">
        <v>1523</v>
      </c>
      <c r="B704" s="2" t="s">
        <v>29</v>
      </c>
      <c r="C704" s="2"/>
      <c r="D704" s="2"/>
      <c r="E704" s="2" t="s">
        <v>1377</v>
      </c>
      <c r="F704" s="2">
        <v>2</v>
      </c>
      <c r="G704" s="2">
        <v>0.26</v>
      </c>
      <c r="H704" s="2" t="s">
        <v>38</v>
      </c>
      <c r="I704" s="2" t="s">
        <v>57</v>
      </c>
      <c r="J704" s="2" t="s">
        <v>33</v>
      </c>
      <c r="K704" s="2"/>
      <c r="L704" s="2"/>
      <c r="M704" s="2"/>
      <c r="N704" s="2"/>
      <c r="O704" s="2"/>
      <c r="P704" s="2"/>
      <c r="Q704" s="2"/>
      <c r="R704" s="2">
        <v>1400</v>
      </c>
      <c r="S704" s="2">
        <v>364</v>
      </c>
      <c r="T704" s="13" t="str">
        <f t="shared" si="21"/>
        <v>TPR2025</v>
      </c>
      <c r="U704" s="2" t="s">
        <v>1524</v>
      </c>
      <c r="V704" s="2"/>
      <c r="W704" s="2">
        <v>4.13</v>
      </c>
      <c r="X704" s="2">
        <v>2.37</v>
      </c>
      <c r="Y704" s="2">
        <v>1.59</v>
      </c>
      <c r="Z704" s="2">
        <v>0</v>
      </c>
      <c r="AA704" s="2">
        <v>0</v>
      </c>
      <c r="AB704" s="2">
        <v>1.74</v>
      </c>
      <c r="AC704" s="3" t="str">
        <f t="shared" si="20"/>
        <v>Pair</v>
      </c>
    </row>
    <row r="705" spans="1:29" x14ac:dyDescent="0.25">
      <c r="A705" s="1" t="s">
        <v>1525</v>
      </c>
      <c r="B705" s="2" t="s">
        <v>37</v>
      </c>
      <c r="C705" s="2"/>
      <c r="D705" s="2"/>
      <c r="E705" s="2" t="s">
        <v>1377</v>
      </c>
      <c r="F705" s="2">
        <v>2</v>
      </c>
      <c r="G705" s="2">
        <v>0.26</v>
      </c>
      <c r="H705" s="2" t="s">
        <v>38</v>
      </c>
      <c r="I705" s="2" t="s">
        <v>57</v>
      </c>
      <c r="J705" s="2" t="s">
        <v>33</v>
      </c>
      <c r="K705" s="2"/>
      <c r="L705" s="2"/>
      <c r="M705" s="2"/>
      <c r="N705" s="2"/>
      <c r="O705" s="2"/>
      <c r="P705" s="2"/>
      <c r="Q705" s="2"/>
      <c r="R705" s="2">
        <v>1300</v>
      </c>
      <c r="S705" s="2">
        <v>338</v>
      </c>
      <c r="T705" s="13" t="str">
        <f t="shared" si="21"/>
        <v>TPR2026</v>
      </c>
      <c r="U705" s="2" t="s">
        <v>1526</v>
      </c>
      <c r="V705" s="2"/>
      <c r="W705" s="2">
        <v>4.1100000000000003</v>
      </c>
      <c r="X705" s="2">
        <v>2.29</v>
      </c>
      <c r="Y705" s="2">
        <v>1.65</v>
      </c>
      <c r="Z705" s="2">
        <v>0</v>
      </c>
      <c r="AA705" s="2">
        <v>0</v>
      </c>
      <c r="AB705" s="2">
        <v>1.79</v>
      </c>
      <c r="AC705" s="3" t="str">
        <f t="shared" si="20"/>
        <v>Pair</v>
      </c>
    </row>
    <row r="706" spans="1:29" x14ac:dyDescent="0.25">
      <c r="A706" s="1" t="s">
        <v>1527</v>
      </c>
      <c r="B706" s="2" t="s">
        <v>29</v>
      </c>
      <c r="C706" s="2"/>
      <c r="D706" s="2"/>
      <c r="E706" s="2" t="s">
        <v>1377</v>
      </c>
      <c r="F706" s="2">
        <v>2</v>
      </c>
      <c r="G706" s="2">
        <v>0.31</v>
      </c>
      <c r="H706" s="2" t="s">
        <v>38</v>
      </c>
      <c r="I706" s="2" t="s">
        <v>57</v>
      </c>
      <c r="J706" s="2" t="s">
        <v>33</v>
      </c>
      <c r="K706" s="2"/>
      <c r="L706" s="2"/>
      <c r="M706" s="2"/>
      <c r="N706" s="2"/>
      <c r="O706" s="2"/>
      <c r="P706" s="2"/>
      <c r="Q706" s="2"/>
      <c r="R706" s="2">
        <v>1400</v>
      </c>
      <c r="S706" s="2">
        <v>434</v>
      </c>
      <c r="T706" s="13" t="str">
        <f t="shared" si="21"/>
        <v>TPR2027</v>
      </c>
      <c r="U706" s="2" t="s">
        <v>1528</v>
      </c>
      <c r="V706" s="2"/>
      <c r="W706" s="2">
        <v>4.1100000000000003</v>
      </c>
      <c r="X706" s="2">
        <v>2.73</v>
      </c>
      <c r="Y706" s="2">
        <v>2.02</v>
      </c>
      <c r="Z706" s="2">
        <v>0</v>
      </c>
      <c r="AA706" s="2">
        <v>0</v>
      </c>
      <c r="AB706" s="2">
        <v>1.51</v>
      </c>
      <c r="AC706" s="3" t="str">
        <f t="shared" ref="AC706:AC769" si="22">IF(F706=2,"Pair","Loose")</f>
        <v>Pair</v>
      </c>
    </row>
    <row r="707" spans="1:29" x14ac:dyDescent="0.25">
      <c r="A707" s="1" t="s">
        <v>1529</v>
      </c>
      <c r="B707" s="2" t="s">
        <v>37</v>
      </c>
      <c r="C707" s="2"/>
      <c r="D707" s="2"/>
      <c r="E707" s="2" t="s">
        <v>1377</v>
      </c>
      <c r="F707" s="2">
        <v>2</v>
      </c>
      <c r="G707" s="2">
        <v>0.21</v>
      </c>
      <c r="H707" s="2" t="s">
        <v>49</v>
      </c>
      <c r="I707" s="2" t="s">
        <v>32</v>
      </c>
      <c r="J707" s="2" t="s">
        <v>33</v>
      </c>
      <c r="K707" s="2"/>
      <c r="L707" s="2"/>
      <c r="M707" s="2"/>
      <c r="N707" s="2"/>
      <c r="O707" s="2"/>
      <c r="P707" s="2"/>
      <c r="Q707" s="2"/>
      <c r="R707" s="2">
        <v>700</v>
      </c>
      <c r="S707" s="2">
        <v>147</v>
      </c>
      <c r="T707" s="13" t="str">
        <f t="shared" si="21"/>
        <v>TPR2004</v>
      </c>
      <c r="U707" s="2" t="s">
        <v>1530</v>
      </c>
      <c r="V707" s="2"/>
      <c r="W707" s="2">
        <v>4.7</v>
      </c>
      <c r="X707" s="2">
        <v>2.09</v>
      </c>
      <c r="Y707" s="2">
        <v>1.49</v>
      </c>
      <c r="Z707" s="2">
        <v>0</v>
      </c>
      <c r="AA707" s="2">
        <v>0</v>
      </c>
      <c r="AB707" s="2">
        <v>2.25</v>
      </c>
      <c r="AC707" s="3" t="str">
        <f t="shared" si="22"/>
        <v>Pair</v>
      </c>
    </row>
    <row r="708" spans="1:29" x14ac:dyDescent="0.25">
      <c r="A708" s="1" t="s">
        <v>1531</v>
      </c>
      <c r="B708" s="2" t="s">
        <v>29</v>
      </c>
      <c r="C708" s="2"/>
      <c r="D708" s="2"/>
      <c r="E708" s="2" t="s">
        <v>1377</v>
      </c>
      <c r="F708" s="2">
        <v>2</v>
      </c>
      <c r="G708" s="2">
        <v>0.35</v>
      </c>
      <c r="H708" s="2" t="s">
        <v>38</v>
      </c>
      <c r="I708" s="2" t="s">
        <v>57</v>
      </c>
      <c r="J708" s="2" t="s">
        <v>33</v>
      </c>
      <c r="K708" s="2"/>
      <c r="L708" s="2"/>
      <c r="M708" s="2"/>
      <c r="N708" s="2"/>
      <c r="O708" s="2"/>
      <c r="P708" s="2"/>
      <c r="Q708" s="2"/>
      <c r="R708" s="2">
        <v>1400</v>
      </c>
      <c r="S708" s="2">
        <v>490</v>
      </c>
      <c r="T708" s="13" t="str">
        <f t="shared" si="21"/>
        <v>TPR2010</v>
      </c>
      <c r="U708" s="2" t="s">
        <v>1532</v>
      </c>
      <c r="V708" s="2"/>
      <c r="W708" s="2">
        <v>4.33</v>
      </c>
      <c r="X708" s="2">
        <v>2.75</v>
      </c>
      <c r="Y708" s="2">
        <v>2.08</v>
      </c>
      <c r="Z708" s="2">
        <v>0</v>
      </c>
      <c r="AA708" s="2">
        <v>0</v>
      </c>
      <c r="AB708" s="2">
        <v>1.57</v>
      </c>
      <c r="AC708" s="3" t="str">
        <f t="shared" si="22"/>
        <v>Pair</v>
      </c>
    </row>
    <row r="709" spans="1:29" x14ac:dyDescent="0.25">
      <c r="A709" s="1" t="s">
        <v>1533</v>
      </c>
      <c r="B709" s="2" t="s">
        <v>37</v>
      </c>
      <c r="C709" s="2"/>
      <c r="D709" s="2"/>
      <c r="E709" s="2" t="s">
        <v>1377</v>
      </c>
      <c r="F709" s="2">
        <v>2</v>
      </c>
      <c r="G709" s="2">
        <v>0.32</v>
      </c>
      <c r="H709" s="2" t="s">
        <v>38</v>
      </c>
      <c r="I709" s="2" t="s">
        <v>68</v>
      </c>
      <c r="J709" s="2" t="s">
        <v>33</v>
      </c>
      <c r="K709" s="2"/>
      <c r="L709" s="2"/>
      <c r="M709" s="2"/>
      <c r="N709" s="2"/>
      <c r="O709" s="2"/>
      <c r="P709" s="2"/>
      <c r="Q709" s="2"/>
      <c r="R709" s="2">
        <v>1400</v>
      </c>
      <c r="S709" s="2">
        <v>448</v>
      </c>
      <c r="T709" s="13" t="str">
        <f t="shared" si="21"/>
        <v>TPR2011</v>
      </c>
      <c r="U709" s="2" t="s">
        <v>1534</v>
      </c>
      <c r="V709" s="2"/>
      <c r="W709" s="2">
        <v>4.32</v>
      </c>
      <c r="X709" s="2">
        <v>2.31</v>
      </c>
      <c r="Y709" s="2">
        <v>1.81</v>
      </c>
      <c r="Z709" s="2">
        <v>0</v>
      </c>
      <c r="AA709" s="2">
        <v>0</v>
      </c>
      <c r="AB709" s="2">
        <v>1.87</v>
      </c>
      <c r="AC709" s="3" t="str">
        <f t="shared" si="22"/>
        <v>Pair</v>
      </c>
    </row>
    <row r="710" spans="1:29" x14ac:dyDescent="0.25">
      <c r="A710" s="1" t="s">
        <v>1535</v>
      </c>
      <c r="B710" s="2" t="s">
        <v>29</v>
      </c>
      <c r="C710" s="2"/>
      <c r="D710" s="2"/>
      <c r="E710" s="2" t="s">
        <v>1377</v>
      </c>
      <c r="F710" s="2">
        <v>2</v>
      </c>
      <c r="G710" s="2">
        <v>0.23</v>
      </c>
      <c r="H710" s="2" t="s">
        <v>76</v>
      </c>
      <c r="I710" s="2" t="s">
        <v>53</v>
      </c>
      <c r="J710" s="2" t="s">
        <v>33</v>
      </c>
      <c r="K710" s="2"/>
      <c r="L710" s="2"/>
      <c r="M710" s="2"/>
      <c r="N710" s="2"/>
      <c r="O710" s="2"/>
      <c r="P710" s="2"/>
      <c r="Q710" s="2"/>
      <c r="R710" s="2">
        <v>800</v>
      </c>
      <c r="S710" s="2">
        <v>184</v>
      </c>
      <c r="T710" s="13" t="str">
        <f t="shared" si="21"/>
        <v>TPR2029</v>
      </c>
      <c r="U710" s="2" t="s">
        <v>1536</v>
      </c>
      <c r="V710" s="2"/>
      <c r="W710" s="2">
        <v>5.3</v>
      </c>
      <c r="X710" s="2">
        <v>1.72</v>
      </c>
      <c r="Y710" s="2">
        <v>1.44</v>
      </c>
      <c r="Z710" s="2">
        <v>0</v>
      </c>
      <c r="AA710" s="2">
        <v>0</v>
      </c>
      <c r="AB710" s="2">
        <v>3.08</v>
      </c>
      <c r="AC710" s="3" t="str">
        <f t="shared" si="22"/>
        <v>Pair</v>
      </c>
    </row>
    <row r="711" spans="1:29" x14ac:dyDescent="0.25">
      <c r="A711" s="1" t="s">
        <v>1537</v>
      </c>
      <c r="B711" s="2" t="s">
        <v>29</v>
      </c>
      <c r="C711" s="2"/>
      <c r="D711" s="2"/>
      <c r="E711" s="2" t="s">
        <v>1377</v>
      </c>
      <c r="F711" s="2">
        <v>1</v>
      </c>
      <c r="G711" s="2">
        <v>0.15</v>
      </c>
      <c r="H711" s="2" t="s">
        <v>38</v>
      </c>
      <c r="I711" s="2" t="s">
        <v>32</v>
      </c>
      <c r="J711" s="2" t="s">
        <v>33</v>
      </c>
      <c r="K711" s="2"/>
      <c r="L711" s="2"/>
      <c r="M711" s="2"/>
      <c r="N711" s="2"/>
      <c r="O711" s="2" t="s">
        <v>34</v>
      </c>
      <c r="P711" s="2"/>
      <c r="Q711" s="2"/>
      <c r="R711" s="2">
        <v>600</v>
      </c>
      <c r="S711" s="2">
        <v>90</v>
      </c>
      <c r="T711" s="13" t="str">
        <f t="shared" ref="T711:T774" si="23">IF(OR(TRIM(A711&amp;"")="",TRIM(A711&amp;"")="0"),"",HYPERLINK("https://gs.gsdiamonds.com/StoneDetails.aspx?name=" &amp; _xlfn.ENCODEURL(TRIM(A711&amp;"")), TRIM(A711&amp;"")))</f>
        <v>TPR1232</v>
      </c>
      <c r="U711" s="2" t="s">
        <v>1538</v>
      </c>
      <c r="V711" s="2"/>
      <c r="W711" s="2">
        <v>4.42</v>
      </c>
      <c r="X711" s="2">
        <v>2.4</v>
      </c>
      <c r="Y711" s="2">
        <v>1.8</v>
      </c>
      <c r="Z711" s="2">
        <v>0</v>
      </c>
      <c r="AA711" s="2">
        <v>0</v>
      </c>
      <c r="AB711" s="2">
        <v>1.84</v>
      </c>
      <c r="AC711" s="3" t="str">
        <f t="shared" si="22"/>
        <v>Loose</v>
      </c>
    </row>
    <row r="712" spans="1:29" x14ac:dyDescent="0.25">
      <c r="A712" s="1" t="s">
        <v>1539</v>
      </c>
      <c r="B712" s="2" t="s">
        <v>29</v>
      </c>
      <c r="C712" s="2"/>
      <c r="D712" s="2"/>
      <c r="E712" s="2" t="s">
        <v>1377</v>
      </c>
      <c r="F712" s="2">
        <v>1</v>
      </c>
      <c r="G712" s="2">
        <v>0.1</v>
      </c>
      <c r="H712" s="2" t="s">
        <v>31</v>
      </c>
      <c r="I712" s="2" t="s">
        <v>57</v>
      </c>
      <c r="J712" s="2" t="s">
        <v>33</v>
      </c>
      <c r="K712" s="2"/>
      <c r="L712" s="2"/>
      <c r="M712" s="2"/>
      <c r="N712" s="2"/>
      <c r="O712" s="2" t="s">
        <v>70</v>
      </c>
      <c r="P712" s="2"/>
      <c r="Q712" s="2"/>
      <c r="R712" s="2">
        <v>1100</v>
      </c>
      <c r="S712" s="2">
        <v>110</v>
      </c>
      <c r="T712" s="13" t="str">
        <f t="shared" si="23"/>
        <v>TPR1234</v>
      </c>
      <c r="U712" s="2" t="s">
        <v>1540</v>
      </c>
      <c r="V712" s="2"/>
      <c r="W712" s="2">
        <v>4.1500000000000004</v>
      </c>
      <c r="X712" s="2">
        <v>1.91</v>
      </c>
      <c r="Y712" s="2">
        <v>1.43</v>
      </c>
      <c r="Z712" s="2">
        <v>0</v>
      </c>
      <c r="AA712" s="2">
        <v>0</v>
      </c>
      <c r="AB712" s="2">
        <v>2.17</v>
      </c>
      <c r="AC712" s="3" t="str">
        <f t="shared" si="22"/>
        <v>Loose</v>
      </c>
    </row>
    <row r="713" spans="1:29" x14ac:dyDescent="0.25">
      <c r="A713" s="1" t="s">
        <v>1541</v>
      </c>
      <c r="B713" s="2" t="s">
        <v>29</v>
      </c>
      <c r="C713" s="2"/>
      <c r="D713" s="2"/>
      <c r="E713" s="2" t="s">
        <v>1377</v>
      </c>
      <c r="F713" s="2">
        <v>2</v>
      </c>
      <c r="G713" s="2">
        <v>0.15</v>
      </c>
      <c r="H713" s="2" t="s">
        <v>396</v>
      </c>
      <c r="I713" s="2" t="s">
        <v>68</v>
      </c>
      <c r="J713" s="2" t="s">
        <v>33</v>
      </c>
      <c r="K713" s="2"/>
      <c r="L713" s="2"/>
      <c r="M713" s="2"/>
      <c r="N713" s="2"/>
      <c r="O713" s="2" t="s">
        <v>34</v>
      </c>
      <c r="P713" s="2"/>
      <c r="Q713" s="2"/>
      <c r="R713" s="2">
        <v>1400</v>
      </c>
      <c r="S713" s="2">
        <v>210</v>
      </c>
      <c r="T713" s="13" t="str">
        <f t="shared" si="23"/>
        <v>TPR2035</v>
      </c>
      <c r="U713" s="2" t="s">
        <v>1542</v>
      </c>
      <c r="V713" s="2"/>
      <c r="W713" s="2">
        <v>2.0699999999999998</v>
      </c>
      <c r="X713" s="2">
        <v>4.87</v>
      </c>
      <c r="Y713" s="2">
        <v>1.24</v>
      </c>
      <c r="Z713" s="2">
        <v>0</v>
      </c>
      <c r="AA713" s="2">
        <v>0</v>
      </c>
      <c r="AB713" s="2">
        <v>0.43</v>
      </c>
      <c r="AC713" s="3" t="str">
        <f t="shared" si="22"/>
        <v>Pair</v>
      </c>
    </row>
    <row r="714" spans="1:29" x14ac:dyDescent="0.25">
      <c r="A714" s="1" t="s">
        <v>1543</v>
      </c>
      <c r="B714" s="2" t="s">
        <v>29</v>
      </c>
      <c r="C714" s="2"/>
      <c r="D714" s="2"/>
      <c r="E714" s="2" t="s">
        <v>1377</v>
      </c>
      <c r="F714" s="2">
        <v>2</v>
      </c>
      <c r="G714" s="2">
        <v>0.2</v>
      </c>
      <c r="H714" s="2" t="s">
        <v>137</v>
      </c>
      <c r="I714" s="2" t="s">
        <v>32</v>
      </c>
      <c r="J714" s="2" t="s">
        <v>33</v>
      </c>
      <c r="K714" s="2"/>
      <c r="L714" s="2"/>
      <c r="M714" s="2"/>
      <c r="N714" s="2"/>
      <c r="O714" s="2" t="s">
        <v>34</v>
      </c>
      <c r="P714" s="2"/>
      <c r="Q714" s="2"/>
      <c r="R714" s="2">
        <v>1600</v>
      </c>
      <c r="S714" s="2">
        <v>320</v>
      </c>
      <c r="T714" s="13" t="str">
        <f t="shared" si="23"/>
        <v>TPR1237</v>
      </c>
      <c r="U714" s="2" t="s">
        <v>1544</v>
      </c>
      <c r="V714" s="2"/>
      <c r="W714" s="2">
        <v>2.2200000000000002</v>
      </c>
      <c r="X714" s="2">
        <v>6.26</v>
      </c>
      <c r="Y714" s="2">
        <v>1.24</v>
      </c>
      <c r="Z714" s="2">
        <v>0</v>
      </c>
      <c r="AA714" s="2">
        <v>0</v>
      </c>
      <c r="AB714" s="2">
        <v>0.35</v>
      </c>
      <c r="AC714" s="3" t="str">
        <f t="shared" si="22"/>
        <v>Pair</v>
      </c>
    </row>
    <row r="715" spans="1:29" x14ac:dyDescent="0.25">
      <c r="A715" s="1" t="s">
        <v>1545</v>
      </c>
      <c r="B715" s="2" t="s">
        <v>29</v>
      </c>
      <c r="C715" s="2"/>
      <c r="D715" s="2"/>
      <c r="E715" s="2" t="s">
        <v>1377</v>
      </c>
      <c r="F715" s="2">
        <v>1</v>
      </c>
      <c r="G715" s="2">
        <v>0.13</v>
      </c>
      <c r="H715" s="2" t="s">
        <v>38</v>
      </c>
      <c r="I715" s="2" t="s">
        <v>32</v>
      </c>
      <c r="J715" s="2" t="s">
        <v>33</v>
      </c>
      <c r="K715" s="2"/>
      <c r="L715" s="2"/>
      <c r="M715" s="2"/>
      <c r="N715" s="2"/>
      <c r="O715" s="2" t="s">
        <v>34</v>
      </c>
      <c r="P715" s="2"/>
      <c r="Q715" s="2"/>
      <c r="R715" s="2">
        <v>1100</v>
      </c>
      <c r="S715" s="2">
        <v>143</v>
      </c>
      <c r="T715" s="13" t="str">
        <f t="shared" si="23"/>
        <v>TPR2039</v>
      </c>
      <c r="U715" s="2" t="s">
        <v>1546</v>
      </c>
      <c r="V715" s="2"/>
      <c r="W715" s="2">
        <v>4.25</v>
      </c>
      <c r="X715" s="2">
        <v>2.31</v>
      </c>
      <c r="Y715" s="2">
        <v>1.61</v>
      </c>
      <c r="Z715" s="2">
        <v>0</v>
      </c>
      <c r="AA715" s="2">
        <v>0</v>
      </c>
      <c r="AB715" s="2">
        <v>1.84</v>
      </c>
      <c r="AC715" s="3" t="str">
        <f t="shared" si="22"/>
        <v>Loose</v>
      </c>
    </row>
    <row r="716" spans="1:29" x14ac:dyDescent="0.25">
      <c r="A716" s="1" t="s">
        <v>1547</v>
      </c>
      <c r="B716" s="2" t="s">
        <v>29</v>
      </c>
      <c r="C716" s="2"/>
      <c r="D716" s="2"/>
      <c r="E716" s="2" t="s">
        <v>1377</v>
      </c>
      <c r="F716" s="2">
        <v>1</v>
      </c>
      <c r="G716" s="2">
        <v>0.11</v>
      </c>
      <c r="H716" s="2" t="s">
        <v>38</v>
      </c>
      <c r="I716" s="2" t="s">
        <v>68</v>
      </c>
      <c r="J716" s="2" t="s">
        <v>33</v>
      </c>
      <c r="K716" s="2"/>
      <c r="L716" s="2"/>
      <c r="M716" s="2"/>
      <c r="N716" s="2"/>
      <c r="O716" s="2" t="s">
        <v>34</v>
      </c>
      <c r="P716" s="2"/>
      <c r="Q716" s="2"/>
      <c r="R716" s="2">
        <v>1100</v>
      </c>
      <c r="S716" s="2">
        <v>121</v>
      </c>
      <c r="T716" s="13" t="str">
        <f t="shared" si="23"/>
        <v>TPR2040</v>
      </c>
      <c r="U716" s="2" t="s">
        <v>1548</v>
      </c>
      <c r="V716" s="2"/>
      <c r="W716" s="2">
        <v>4.4400000000000004</v>
      </c>
      <c r="X716" s="2">
        <v>2.46</v>
      </c>
      <c r="Y716" s="2">
        <v>1.1599999999999999</v>
      </c>
      <c r="Z716" s="2">
        <v>0</v>
      </c>
      <c r="AA716" s="2">
        <v>0</v>
      </c>
      <c r="AB716" s="2">
        <v>1.8</v>
      </c>
      <c r="AC716" s="3" t="str">
        <f t="shared" si="22"/>
        <v>Loose</v>
      </c>
    </row>
    <row r="717" spans="1:29" x14ac:dyDescent="0.25">
      <c r="A717" s="1" t="s">
        <v>1549</v>
      </c>
      <c r="B717" s="2" t="s">
        <v>29</v>
      </c>
      <c r="C717" s="2"/>
      <c r="D717" s="2"/>
      <c r="E717" s="2" t="s">
        <v>1377</v>
      </c>
      <c r="F717" s="2">
        <v>1</v>
      </c>
      <c r="G717" s="2">
        <v>0.13</v>
      </c>
      <c r="H717" s="2" t="s">
        <v>38</v>
      </c>
      <c r="I717" s="2" t="s">
        <v>39</v>
      </c>
      <c r="J717" s="2" t="s">
        <v>33</v>
      </c>
      <c r="K717" s="2"/>
      <c r="L717" s="2"/>
      <c r="M717" s="2"/>
      <c r="N717" s="2"/>
      <c r="O717" s="2" t="s">
        <v>34</v>
      </c>
      <c r="P717" s="2"/>
      <c r="Q717" s="2"/>
      <c r="R717" s="2">
        <v>1200</v>
      </c>
      <c r="S717" s="2">
        <v>156</v>
      </c>
      <c r="T717" s="13" t="str">
        <f t="shared" si="23"/>
        <v>MN10AAA</v>
      </c>
      <c r="U717" s="2" t="s">
        <v>1550</v>
      </c>
      <c r="V717" s="2"/>
      <c r="W717" s="2">
        <v>2.5</v>
      </c>
      <c r="X717" s="2">
        <v>4.59</v>
      </c>
      <c r="Y717" s="2">
        <v>1.8</v>
      </c>
      <c r="Z717" s="2">
        <v>0</v>
      </c>
      <c r="AA717" s="2">
        <v>0</v>
      </c>
      <c r="AB717" s="2">
        <v>0.54</v>
      </c>
      <c r="AC717" s="3" t="str">
        <f t="shared" si="22"/>
        <v>Loose</v>
      </c>
    </row>
    <row r="718" spans="1:29" x14ac:dyDescent="0.25">
      <c r="A718" s="1" t="s">
        <v>1551</v>
      </c>
      <c r="B718" s="2" t="s">
        <v>29</v>
      </c>
      <c r="C718" s="2"/>
      <c r="D718" s="2"/>
      <c r="E718" s="2" t="s">
        <v>1377</v>
      </c>
      <c r="F718" s="2">
        <v>2</v>
      </c>
      <c r="G718" s="2">
        <v>0.32</v>
      </c>
      <c r="H718" s="2" t="s">
        <v>137</v>
      </c>
      <c r="I718" s="2" t="s">
        <v>68</v>
      </c>
      <c r="J718" s="2" t="s">
        <v>33</v>
      </c>
      <c r="K718" s="2"/>
      <c r="L718" s="2"/>
      <c r="M718" s="2"/>
      <c r="N718" s="2"/>
      <c r="O718" s="2" t="s">
        <v>34</v>
      </c>
      <c r="P718" s="2"/>
      <c r="Q718" s="2"/>
      <c r="R718" s="2">
        <v>2000</v>
      </c>
      <c r="S718" s="2">
        <v>640</v>
      </c>
      <c r="T718" s="13" t="str">
        <f t="shared" si="23"/>
        <v>TPR2042</v>
      </c>
      <c r="U718" s="2" t="s">
        <v>1552</v>
      </c>
      <c r="V718" s="2"/>
      <c r="W718" s="2">
        <v>2.54</v>
      </c>
      <c r="X718" s="2">
        <v>5.91</v>
      </c>
      <c r="Y718" s="2">
        <v>1.4</v>
      </c>
      <c r="Z718" s="2">
        <v>0</v>
      </c>
      <c r="AA718" s="2">
        <v>0</v>
      </c>
      <c r="AB718" s="2">
        <v>0.43</v>
      </c>
      <c r="AC718" s="3" t="str">
        <f t="shared" si="22"/>
        <v>Pair</v>
      </c>
    </row>
    <row r="719" spans="1:29" x14ac:dyDescent="0.25">
      <c r="A719" s="1" t="s">
        <v>1553</v>
      </c>
      <c r="B719" s="2" t="s">
        <v>29</v>
      </c>
      <c r="C719" s="2"/>
      <c r="D719" s="2"/>
      <c r="E719" s="2" t="s">
        <v>1377</v>
      </c>
      <c r="F719" s="2">
        <v>1</v>
      </c>
      <c r="G719" s="2">
        <v>0.13</v>
      </c>
      <c r="H719" s="2" t="s">
        <v>38</v>
      </c>
      <c r="I719" s="2" t="s">
        <v>32</v>
      </c>
      <c r="J719" s="2" t="s">
        <v>33</v>
      </c>
      <c r="K719" s="2"/>
      <c r="L719" s="2"/>
      <c r="M719" s="2"/>
      <c r="N719" s="2"/>
      <c r="O719" s="2" t="s">
        <v>34</v>
      </c>
      <c r="P719" s="2"/>
      <c r="Q719" s="2"/>
      <c r="R719" s="2">
        <v>400</v>
      </c>
      <c r="S719" s="2">
        <v>52</v>
      </c>
      <c r="T719" s="13" t="str">
        <f t="shared" si="23"/>
        <v>TPR1242</v>
      </c>
      <c r="U719" s="2" t="s">
        <v>1554</v>
      </c>
      <c r="V719" s="2"/>
      <c r="W719" s="2">
        <v>2.09</v>
      </c>
      <c r="X719" s="2">
        <v>4.3099999999999996</v>
      </c>
      <c r="Y719" s="2">
        <v>1.47</v>
      </c>
      <c r="Z719" s="2">
        <v>0</v>
      </c>
      <c r="AA719" s="2">
        <v>0</v>
      </c>
      <c r="AB719" s="2">
        <v>0.48</v>
      </c>
      <c r="AC719" s="3" t="str">
        <f t="shared" si="22"/>
        <v>Loose</v>
      </c>
    </row>
    <row r="720" spans="1:29" x14ac:dyDescent="0.25">
      <c r="A720" s="1" t="s">
        <v>1555</v>
      </c>
      <c r="B720" s="2" t="s">
        <v>29</v>
      </c>
      <c r="C720" s="2"/>
      <c r="D720" s="2"/>
      <c r="E720" s="2" t="s">
        <v>1377</v>
      </c>
      <c r="F720" s="2">
        <v>1</v>
      </c>
      <c r="G720" s="2">
        <v>0.17</v>
      </c>
      <c r="H720" s="2" t="s">
        <v>73</v>
      </c>
      <c r="I720" s="2" t="s">
        <v>50</v>
      </c>
      <c r="J720" s="2" t="s">
        <v>33</v>
      </c>
      <c r="K720" s="2"/>
      <c r="L720" s="2"/>
      <c r="M720" s="2"/>
      <c r="N720" s="2"/>
      <c r="O720" s="2" t="s">
        <v>77</v>
      </c>
      <c r="P720" s="2"/>
      <c r="Q720" s="2"/>
      <c r="R720" s="2">
        <v>800</v>
      </c>
      <c r="S720" s="2">
        <v>136</v>
      </c>
      <c r="T720" s="13" t="str">
        <f t="shared" si="23"/>
        <v>TPR1243</v>
      </c>
      <c r="U720" s="2" t="s">
        <v>1556</v>
      </c>
      <c r="V720" s="2"/>
      <c r="W720" s="2">
        <v>2.27</v>
      </c>
      <c r="X720" s="2">
        <v>4.5199999999999996</v>
      </c>
      <c r="Y720" s="2">
        <v>1.84</v>
      </c>
      <c r="Z720" s="2">
        <v>0</v>
      </c>
      <c r="AA720" s="2">
        <v>0</v>
      </c>
      <c r="AB720" s="2">
        <v>0.5</v>
      </c>
      <c r="AC720" s="3" t="str">
        <f t="shared" si="22"/>
        <v>Loose</v>
      </c>
    </row>
    <row r="721" spans="1:29" x14ac:dyDescent="0.25">
      <c r="A721" s="1" t="s">
        <v>1557</v>
      </c>
      <c r="B721" s="2" t="s">
        <v>29</v>
      </c>
      <c r="C721" s="2"/>
      <c r="D721" s="2"/>
      <c r="E721" s="2" t="s">
        <v>1377</v>
      </c>
      <c r="F721" s="2">
        <v>1</v>
      </c>
      <c r="G721" s="2">
        <v>0.11</v>
      </c>
      <c r="H721" s="2" t="s">
        <v>38</v>
      </c>
      <c r="I721" s="2" t="s">
        <v>53</v>
      </c>
      <c r="J721" s="2" t="s">
        <v>33</v>
      </c>
      <c r="K721" s="2"/>
      <c r="L721" s="2"/>
      <c r="M721" s="2"/>
      <c r="N721" s="2"/>
      <c r="O721" s="2" t="s">
        <v>34</v>
      </c>
      <c r="P721" s="2"/>
      <c r="Q721" s="2"/>
      <c r="R721" s="2">
        <v>1100</v>
      </c>
      <c r="S721" s="2">
        <v>121</v>
      </c>
      <c r="T721" s="13" t="str">
        <f t="shared" si="23"/>
        <v>TPR1244</v>
      </c>
      <c r="U721" s="2" t="s">
        <v>1558</v>
      </c>
      <c r="V721" s="2"/>
      <c r="W721" s="2">
        <v>1.73</v>
      </c>
      <c r="X721" s="2">
        <v>4.83</v>
      </c>
      <c r="Y721" s="2">
        <v>1.47</v>
      </c>
      <c r="Z721" s="2">
        <v>0</v>
      </c>
      <c r="AA721" s="2">
        <v>0</v>
      </c>
      <c r="AB721" s="2">
        <v>0.36</v>
      </c>
      <c r="AC721" s="3" t="str">
        <f t="shared" si="22"/>
        <v>Loose</v>
      </c>
    </row>
    <row r="722" spans="1:29" x14ac:dyDescent="0.25">
      <c r="A722" s="1" t="s">
        <v>1559</v>
      </c>
      <c r="B722" s="2" t="s">
        <v>29</v>
      </c>
      <c r="C722" s="2"/>
      <c r="D722" s="2"/>
      <c r="E722" s="2" t="s">
        <v>1377</v>
      </c>
      <c r="F722" s="2">
        <v>2</v>
      </c>
      <c r="G722" s="2">
        <v>1.44</v>
      </c>
      <c r="H722" s="2" t="s">
        <v>396</v>
      </c>
      <c r="I722" s="2" t="s">
        <v>57</v>
      </c>
      <c r="J722" s="2" t="s">
        <v>397</v>
      </c>
      <c r="K722" s="2"/>
      <c r="L722" s="2"/>
      <c r="M722" s="2"/>
      <c r="N722" s="2"/>
      <c r="O722" s="2" t="s">
        <v>34</v>
      </c>
      <c r="P722" s="2"/>
      <c r="Q722" s="2"/>
      <c r="R722" s="2">
        <v>6100</v>
      </c>
      <c r="S722" s="2">
        <v>8784</v>
      </c>
      <c r="T722" s="13" t="str">
        <f t="shared" si="23"/>
        <v>TPR1246</v>
      </c>
      <c r="U722" s="2" t="s">
        <v>1560</v>
      </c>
      <c r="V722" s="2"/>
      <c r="W722" s="2">
        <v>9.42</v>
      </c>
      <c r="X722" s="2">
        <v>4.2300000000000004</v>
      </c>
      <c r="Y722" s="2">
        <v>2.2799999999999998</v>
      </c>
      <c r="Z722" s="2">
        <v>0</v>
      </c>
      <c r="AA722" s="2">
        <v>0</v>
      </c>
      <c r="AB722" s="2">
        <v>2.23</v>
      </c>
      <c r="AC722" s="3" t="str">
        <f t="shared" si="22"/>
        <v>Pair</v>
      </c>
    </row>
    <row r="723" spans="1:29" x14ac:dyDescent="0.25">
      <c r="A723" s="1" t="s">
        <v>1561</v>
      </c>
      <c r="B723" s="2" t="s">
        <v>29</v>
      </c>
      <c r="C723" s="2"/>
      <c r="D723" s="2"/>
      <c r="E723" s="2" t="s">
        <v>1377</v>
      </c>
      <c r="F723" s="2">
        <v>2</v>
      </c>
      <c r="G723" s="2">
        <v>1.1499999999999999</v>
      </c>
      <c r="H723" s="2" t="s">
        <v>396</v>
      </c>
      <c r="I723" s="2" t="s">
        <v>53</v>
      </c>
      <c r="J723" s="2" t="s">
        <v>397</v>
      </c>
      <c r="K723" s="2"/>
      <c r="L723" s="2"/>
      <c r="M723" s="2"/>
      <c r="N723" s="2"/>
      <c r="O723" s="2" t="s">
        <v>34</v>
      </c>
      <c r="P723" s="2"/>
      <c r="Q723" s="2"/>
      <c r="R723" s="2">
        <v>5600</v>
      </c>
      <c r="S723" s="2">
        <v>6440</v>
      </c>
      <c r="T723" s="13" t="str">
        <f t="shared" si="23"/>
        <v>TPR2052</v>
      </c>
      <c r="U723" s="2" t="s">
        <v>1562</v>
      </c>
      <c r="V723" s="2"/>
      <c r="W723" s="2">
        <v>8.65</v>
      </c>
      <c r="X723" s="2">
        <v>4.16</v>
      </c>
      <c r="Y723" s="2">
        <v>2.44</v>
      </c>
      <c r="Z723" s="2">
        <v>0</v>
      </c>
      <c r="AA723" s="2">
        <v>0</v>
      </c>
      <c r="AB723" s="2">
        <v>2.08</v>
      </c>
      <c r="AC723" s="3" t="str">
        <f t="shared" si="22"/>
        <v>Pair</v>
      </c>
    </row>
    <row r="724" spans="1:29" x14ac:dyDescent="0.25">
      <c r="A724" s="1" t="s">
        <v>1563</v>
      </c>
      <c r="B724" s="2" t="s">
        <v>29</v>
      </c>
      <c r="C724" s="2"/>
      <c r="D724" s="2"/>
      <c r="E724" s="2" t="s">
        <v>1377</v>
      </c>
      <c r="F724" s="2">
        <v>1</v>
      </c>
      <c r="G724" s="2">
        <v>0.1</v>
      </c>
      <c r="H724" s="2" t="s">
        <v>396</v>
      </c>
      <c r="I724" s="2" t="s">
        <v>39</v>
      </c>
      <c r="J724" s="2" t="s">
        <v>33</v>
      </c>
      <c r="K724" s="2"/>
      <c r="L724" s="2"/>
      <c r="M724" s="2"/>
      <c r="N724" s="2"/>
      <c r="O724" s="2" t="s">
        <v>34</v>
      </c>
      <c r="P724" s="2"/>
      <c r="Q724" s="2"/>
      <c r="R724" s="2">
        <v>800</v>
      </c>
      <c r="S724" s="2">
        <v>80</v>
      </c>
      <c r="T724" s="13" t="str">
        <f t="shared" si="23"/>
        <v>TPR2053</v>
      </c>
      <c r="U724" s="2" t="s">
        <v>1564</v>
      </c>
      <c r="V724" s="2"/>
      <c r="W724" s="2">
        <v>1.89</v>
      </c>
      <c r="X724" s="2">
        <v>5.77</v>
      </c>
      <c r="Y724" s="2">
        <v>1.26</v>
      </c>
      <c r="Z724" s="2">
        <v>0</v>
      </c>
      <c r="AA724" s="2">
        <v>0</v>
      </c>
      <c r="AB724" s="2">
        <v>0.33</v>
      </c>
      <c r="AC724" s="3" t="str">
        <f t="shared" si="22"/>
        <v>Loose</v>
      </c>
    </row>
    <row r="725" spans="1:29" x14ac:dyDescent="0.25">
      <c r="A725" s="1" t="s">
        <v>1565</v>
      </c>
      <c r="B725" s="2" t="s">
        <v>29</v>
      </c>
      <c r="C725" s="2"/>
      <c r="D725" s="2"/>
      <c r="E725" s="2" t="s">
        <v>1377</v>
      </c>
      <c r="F725" s="2">
        <v>1</v>
      </c>
      <c r="G725" s="2">
        <v>0.17</v>
      </c>
      <c r="H725" s="2" t="s">
        <v>396</v>
      </c>
      <c r="I725" s="2" t="s">
        <v>68</v>
      </c>
      <c r="J725" s="2" t="s">
        <v>33</v>
      </c>
      <c r="K725" s="2"/>
      <c r="L725" s="2"/>
      <c r="M725" s="2"/>
      <c r="N725" s="2"/>
      <c r="O725" s="2" t="s">
        <v>46</v>
      </c>
      <c r="P725" s="2"/>
      <c r="Q725" s="2"/>
      <c r="R725" s="2">
        <v>1900</v>
      </c>
      <c r="S725" s="2">
        <v>323</v>
      </c>
      <c r="T725" s="13" t="str">
        <f t="shared" si="23"/>
        <v>TPR2054</v>
      </c>
      <c r="U725" s="2" t="s">
        <v>1566</v>
      </c>
      <c r="V725" s="2"/>
      <c r="W725" s="2">
        <v>2.29</v>
      </c>
      <c r="X725" s="2">
        <v>7.78</v>
      </c>
      <c r="Y725" s="2">
        <v>1.24</v>
      </c>
      <c r="Z725" s="2">
        <v>0</v>
      </c>
      <c r="AA725" s="2">
        <v>0</v>
      </c>
      <c r="AB725" s="2">
        <v>0.28999999999999998</v>
      </c>
      <c r="AC725" s="3" t="str">
        <f t="shared" si="22"/>
        <v>Loose</v>
      </c>
    </row>
    <row r="726" spans="1:29" x14ac:dyDescent="0.25">
      <c r="A726" s="1" t="s">
        <v>1567</v>
      </c>
      <c r="B726" s="2" t="s">
        <v>29</v>
      </c>
      <c r="C726" s="2"/>
      <c r="D726" s="2"/>
      <c r="E726" s="2" t="s">
        <v>1377</v>
      </c>
      <c r="F726" s="2">
        <v>1</v>
      </c>
      <c r="G726" s="2">
        <v>0.12</v>
      </c>
      <c r="H726" s="2" t="s">
        <v>137</v>
      </c>
      <c r="I726" s="2" t="s">
        <v>57</v>
      </c>
      <c r="J726" s="2" t="s">
        <v>33</v>
      </c>
      <c r="K726" s="2"/>
      <c r="L726" s="2"/>
      <c r="M726" s="2"/>
      <c r="N726" s="2"/>
      <c r="O726" s="2" t="s">
        <v>34</v>
      </c>
      <c r="P726" s="2"/>
      <c r="Q726" s="2"/>
      <c r="R726" s="2">
        <v>1800</v>
      </c>
      <c r="S726" s="2">
        <v>216</v>
      </c>
      <c r="T726" s="13" t="str">
        <f t="shared" si="23"/>
        <v>TPR1252</v>
      </c>
      <c r="U726" s="2" t="s">
        <v>1568</v>
      </c>
      <c r="V726" s="2"/>
      <c r="W726" s="2">
        <v>2.5499999999999998</v>
      </c>
      <c r="X726" s="2">
        <v>6.79</v>
      </c>
      <c r="Y726" s="2">
        <v>1.1000000000000001</v>
      </c>
      <c r="Z726" s="2">
        <v>0</v>
      </c>
      <c r="AA726" s="2">
        <v>0</v>
      </c>
      <c r="AB726" s="2">
        <v>0.38</v>
      </c>
      <c r="AC726" s="3" t="str">
        <f t="shared" si="22"/>
        <v>Loose</v>
      </c>
    </row>
    <row r="727" spans="1:29" x14ac:dyDescent="0.25">
      <c r="A727" s="1" t="s">
        <v>1569</v>
      </c>
      <c r="B727" s="2" t="s">
        <v>29</v>
      </c>
      <c r="C727" s="2"/>
      <c r="D727" s="2"/>
      <c r="E727" s="2" t="s">
        <v>1377</v>
      </c>
      <c r="F727" s="2">
        <v>1</v>
      </c>
      <c r="G727" s="2">
        <v>0.35</v>
      </c>
      <c r="H727" s="2" t="s">
        <v>137</v>
      </c>
      <c r="I727" s="2" t="s">
        <v>39</v>
      </c>
      <c r="J727" s="2" t="s">
        <v>33</v>
      </c>
      <c r="K727" s="2"/>
      <c r="L727" s="2"/>
      <c r="M727" s="2"/>
      <c r="N727" s="2"/>
      <c r="O727" s="2" t="s">
        <v>34</v>
      </c>
      <c r="P727" s="2"/>
      <c r="Q727" s="2"/>
      <c r="R727" s="2">
        <v>2500</v>
      </c>
      <c r="S727" s="2">
        <v>875</v>
      </c>
      <c r="T727" s="13" t="str">
        <f t="shared" si="23"/>
        <v>LEV152414AA</v>
      </c>
      <c r="U727" s="2" t="s">
        <v>1570</v>
      </c>
      <c r="V727" s="2"/>
      <c r="W727" s="2">
        <v>3.6</v>
      </c>
      <c r="X727" s="2">
        <v>6.77</v>
      </c>
      <c r="Y727" s="2">
        <v>2.0699999999999998</v>
      </c>
      <c r="Z727" s="2">
        <v>0</v>
      </c>
      <c r="AA727" s="2">
        <v>0</v>
      </c>
      <c r="AB727" s="2">
        <v>0.53</v>
      </c>
      <c r="AC727" s="3" t="str">
        <f t="shared" si="22"/>
        <v>Loose</v>
      </c>
    </row>
    <row r="728" spans="1:29" x14ac:dyDescent="0.25">
      <c r="A728" s="1" t="s">
        <v>1571</v>
      </c>
      <c r="B728" s="2" t="s">
        <v>29</v>
      </c>
      <c r="C728" s="2"/>
      <c r="D728" s="2"/>
      <c r="E728" s="2" t="s">
        <v>1572</v>
      </c>
      <c r="F728" s="2">
        <v>1</v>
      </c>
      <c r="G728" s="2">
        <v>0.11</v>
      </c>
      <c r="H728" s="2" t="s">
        <v>38</v>
      </c>
      <c r="I728" s="2" t="s">
        <v>32</v>
      </c>
      <c r="J728" s="2" t="s">
        <v>33</v>
      </c>
      <c r="K728" s="2"/>
      <c r="L728" s="2"/>
      <c r="M728" s="2"/>
      <c r="N728" s="2"/>
      <c r="O728" s="2" t="s">
        <v>34</v>
      </c>
      <c r="P728" s="2"/>
      <c r="Q728" s="2"/>
      <c r="R728" s="2">
        <v>1300</v>
      </c>
      <c r="S728" s="2">
        <v>143</v>
      </c>
      <c r="T728" s="13" t="str">
        <f t="shared" si="23"/>
        <v>TPBR14</v>
      </c>
      <c r="U728" s="2" t="s">
        <v>1573</v>
      </c>
      <c r="V728" s="2"/>
      <c r="W728" s="2">
        <v>2.29</v>
      </c>
      <c r="X728" s="2">
        <v>3.45</v>
      </c>
      <c r="Y728" s="2">
        <v>1.83</v>
      </c>
      <c r="Z728" s="2">
        <v>0</v>
      </c>
      <c r="AA728" s="2">
        <v>0</v>
      </c>
      <c r="AB728" s="2">
        <v>0.66</v>
      </c>
      <c r="AC728" s="3" t="str">
        <f t="shared" si="22"/>
        <v>Loose</v>
      </c>
    </row>
    <row r="729" spans="1:29" x14ac:dyDescent="0.25">
      <c r="A729" s="1" t="s">
        <v>1574</v>
      </c>
      <c r="B729" s="2" t="s">
        <v>37</v>
      </c>
      <c r="C729" s="2"/>
      <c r="D729" s="2"/>
      <c r="E729" s="2" t="s">
        <v>1575</v>
      </c>
      <c r="F729" s="2">
        <v>1</v>
      </c>
      <c r="G729" s="2">
        <v>0.32</v>
      </c>
      <c r="H729" s="2" t="s">
        <v>31</v>
      </c>
      <c r="I729" s="2" t="s">
        <v>105</v>
      </c>
      <c r="J729" s="2" t="s">
        <v>69</v>
      </c>
      <c r="K729" s="2"/>
      <c r="L729" s="2"/>
      <c r="M729" s="2"/>
      <c r="N729" s="2"/>
      <c r="O729" s="2" t="s">
        <v>61</v>
      </c>
      <c r="P729" s="2"/>
      <c r="Q729" s="2"/>
      <c r="R729" s="2">
        <v>600</v>
      </c>
      <c r="S729" s="2">
        <v>192</v>
      </c>
      <c r="T729" s="13" t="str">
        <f t="shared" si="23"/>
        <v>MTH8150</v>
      </c>
      <c r="U729" s="2" t="s">
        <v>1576</v>
      </c>
      <c r="V729" s="2"/>
      <c r="W729" s="2">
        <v>5.26</v>
      </c>
      <c r="X729" s="2">
        <v>5.85</v>
      </c>
      <c r="Y729" s="2">
        <v>2.2400000000000002</v>
      </c>
      <c r="Z729" s="2">
        <v>0</v>
      </c>
      <c r="AA729" s="2">
        <v>0</v>
      </c>
      <c r="AB729" s="2">
        <v>0.9</v>
      </c>
      <c r="AC729" s="3" t="str">
        <f t="shared" si="22"/>
        <v>Loose</v>
      </c>
    </row>
    <row r="730" spans="1:29" x14ac:dyDescent="0.25">
      <c r="A730" s="1" t="s">
        <v>1577</v>
      </c>
      <c r="B730" s="2" t="s">
        <v>37</v>
      </c>
      <c r="C730" s="2"/>
      <c r="D730" s="2"/>
      <c r="E730" s="2" t="s">
        <v>1575</v>
      </c>
      <c r="F730" s="2">
        <v>1</v>
      </c>
      <c r="G730" s="2">
        <v>0.34</v>
      </c>
      <c r="H730" s="2" t="s">
        <v>31</v>
      </c>
      <c r="I730" s="2" t="s">
        <v>148</v>
      </c>
      <c r="J730" s="2" t="s">
        <v>69</v>
      </c>
      <c r="K730" s="2"/>
      <c r="L730" s="2"/>
      <c r="M730" s="2"/>
      <c r="N730" s="2"/>
      <c r="O730" s="2" t="s">
        <v>34</v>
      </c>
      <c r="P730" s="2"/>
      <c r="Q730" s="2"/>
      <c r="R730" s="2">
        <v>400</v>
      </c>
      <c r="S730" s="2">
        <v>136</v>
      </c>
      <c r="T730" s="13" t="str">
        <f t="shared" si="23"/>
        <v>MTH8166</v>
      </c>
      <c r="U730" s="2" t="s">
        <v>1578</v>
      </c>
      <c r="V730" s="2"/>
      <c r="W730" s="2">
        <v>4.71</v>
      </c>
      <c r="X730" s="2">
        <v>4.55</v>
      </c>
      <c r="Y730" s="2">
        <v>2.52</v>
      </c>
      <c r="Z730" s="2">
        <v>0</v>
      </c>
      <c r="AA730" s="2">
        <v>0</v>
      </c>
      <c r="AB730" s="2">
        <v>1.04</v>
      </c>
      <c r="AC730" s="3" t="str">
        <f t="shared" si="22"/>
        <v>Loose</v>
      </c>
    </row>
    <row r="731" spans="1:29" x14ac:dyDescent="0.25">
      <c r="A731" s="1" t="s">
        <v>1579</v>
      </c>
      <c r="B731" s="2" t="s">
        <v>37</v>
      </c>
      <c r="C731" s="2"/>
      <c r="D731" s="2"/>
      <c r="E731" s="2" t="s">
        <v>1575</v>
      </c>
      <c r="F731" s="2">
        <v>1</v>
      </c>
      <c r="G731" s="2">
        <v>0.12</v>
      </c>
      <c r="H731" s="2" t="s">
        <v>137</v>
      </c>
      <c r="I731" s="2" t="s">
        <v>32</v>
      </c>
      <c r="J731" s="2" t="s">
        <v>33</v>
      </c>
      <c r="K731" s="2"/>
      <c r="L731" s="2"/>
      <c r="M731" s="2"/>
      <c r="N731" s="2"/>
      <c r="O731" s="2" t="s">
        <v>70</v>
      </c>
      <c r="P731" s="2"/>
      <c r="Q731" s="2"/>
      <c r="R731" s="2">
        <v>900</v>
      </c>
      <c r="S731" s="2">
        <v>108</v>
      </c>
      <c r="T731" s="13" t="str">
        <f t="shared" si="23"/>
        <v>MTH5583</v>
      </c>
      <c r="U731" s="2" t="s">
        <v>1580</v>
      </c>
      <c r="V731" s="2"/>
      <c r="W731" s="2">
        <v>4.57</v>
      </c>
      <c r="X731" s="2">
        <v>3.7</v>
      </c>
      <c r="Y731" s="2">
        <v>1.55</v>
      </c>
      <c r="Z731" s="2">
        <v>0</v>
      </c>
      <c r="AA731" s="2">
        <v>0</v>
      </c>
      <c r="AB731" s="2">
        <v>1.24</v>
      </c>
      <c r="AC731" s="3" t="str">
        <f t="shared" si="22"/>
        <v>Loose</v>
      </c>
    </row>
    <row r="732" spans="1:29" x14ac:dyDescent="0.25">
      <c r="A732" s="1" t="s">
        <v>1581</v>
      </c>
      <c r="B732" s="2" t="s">
        <v>37</v>
      </c>
      <c r="C732" s="2"/>
      <c r="D732" s="2"/>
      <c r="E732" s="2" t="s">
        <v>1575</v>
      </c>
      <c r="F732" s="2">
        <v>1</v>
      </c>
      <c r="G732" s="2">
        <v>0.33</v>
      </c>
      <c r="H732" s="2" t="s">
        <v>76</v>
      </c>
      <c r="I732" s="2" t="s">
        <v>151</v>
      </c>
      <c r="J732" s="2" t="s">
        <v>69</v>
      </c>
      <c r="K732" s="2"/>
      <c r="L732" s="2"/>
      <c r="M732" s="2"/>
      <c r="N732" s="2"/>
      <c r="O732" s="2" t="s">
        <v>34</v>
      </c>
      <c r="P732" s="2"/>
      <c r="Q732" s="2"/>
      <c r="R732" s="2">
        <v>700</v>
      </c>
      <c r="S732" s="2">
        <v>231</v>
      </c>
      <c r="T732" s="13" t="str">
        <f t="shared" si="23"/>
        <v>SHMH006B</v>
      </c>
      <c r="U732" s="2" t="s">
        <v>1582</v>
      </c>
      <c r="V732" s="2"/>
      <c r="W732" s="2">
        <v>5.19</v>
      </c>
      <c r="X732" s="2">
        <v>5.67</v>
      </c>
      <c r="Y732" s="2">
        <v>2.17</v>
      </c>
      <c r="Z732" s="2">
        <v>0</v>
      </c>
      <c r="AA732" s="2">
        <v>0</v>
      </c>
      <c r="AB732" s="2">
        <v>0.92</v>
      </c>
      <c r="AC732" s="3" t="str">
        <f t="shared" si="22"/>
        <v>Loose</v>
      </c>
    </row>
    <row r="733" spans="1:29" x14ac:dyDescent="0.25">
      <c r="A733" s="1" t="s">
        <v>1583</v>
      </c>
      <c r="B733" s="2" t="s">
        <v>37</v>
      </c>
      <c r="C733" s="2"/>
      <c r="D733" s="2"/>
      <c r="E733" s="2" t="s">
        <v>1575</v>
      </c>
      <c r="F733" s="2">
        <v>2</v>
      </c>
      <c r="G733" s="2">
        <v>0.46</v>
      </c>
      <c r="H733" s="2" t="s">
        <v>396</v>
      </c>
      <c r="I733" s="2" t="s">
        <v>68</v>
      </c>
      <c r="J733" s="2" t="s">
        <v>33</v>
      </c>
      <c r="K733" s="2"/>
      <c r="L733" s="2"/>
      <c r="M733" s="2"/>
      <c r="N733" s="2"/>
      <c r="O733" s="2"/>
      <c r="P733" s="2"/>
      <c r="Q733" s="2"/>
      <c r="R733" s="2">
        <v>2400</v>
      </c>
      <c r="S733" s="2">
        <v>1104</v>
      </c>
      <c r="T733" s="13" t="str">
        <f t="shared" si="23"/>
        <v>TRNSP01</v>
      </c>
      <c r="U733" s="2" t="s">
        <v>1584</v>
      </c>
      <c r="V733" s="2"/>
      <c r="W733" s="2">
        <v>6.44</v>
      </c>
      <c r="X733" s="2">
        <v>3.58</v>
      </c>
      <c r="Y733" s="2">
        <v>2.15</v>
      </c>
      <c r="Z733" s="2">
        <v>0</v>
      </c>
      <c r="AA733" s="2">
        <v>0</v>
      </c>
      <c r="AB733" s="2">
        <v>1.8</v>
      </c>
      <c r="AC733" s="3" t="str">
        <f t="shared" si="22"/>
        <v>Pair</v>
      </c>
    </row>
    <row r="734" spans="1:29" x14ac:dyDescent="0.25">
      <c r="A734" s="1" t="s">
        <v>1585</v>
      </c>
      <c r="B734" s="2" t="s">
        <v>37</v>
      </c>
      <c r="C734" s="2"/>
      <c r="D734" s="2"/>
      <c r="E734" s="2" t="s">
        <v>1586</v>
      </c>
      <c r="F734" s="2">
        <v>2</v>
      </c>
      <c r="G734" s="2">
        <v>0.56000000000000005</v>
      </c>
      <c r="H734" s="2" t="s">
        <v>100</v>
      </c>
      <c r="I734" s="2" t="s">
        <v>53</v>
      </c>
      <c r="J734" s="2" t="s">
        <v>69</v>
      </c>
      <c r="K734" s="2"/>
      <c r="L734" s="2"/>
      <c r="M734" s="2"/>
      <c r="N734" s="2"/>
      <c r="O734" s="2"/>
      <c r="P734" s="2"/>
      <c r="Q734" s="2"/>
      <c r="R734" s="2">
        <v>1000</v>
      </c>
      <c r="S734" s="2">
        <v>560</v>
      </c>
      <c r="T734" s="13" t="str">
        <f t="shared" si="23"/>
        <v>TRPZ088N</v>
      </c>
      <c r="U734" s="2" t="s">
        <v>1587</v>
      </c>
      <c r="V734" s="2"/>
      <c r="W734" s="2">
        <v>3.32</v>
      </c>
      <c r="X734" s="2">
        <v>5.44</v>
      </c>
      <c r="Y734" s="2">
        <v>2.02</v>
      </c>
      <c r="Z734" s="2">
        <v>0</v>
      </c>
      <c r="AA734" s="2">
        <v>0</v>
      </c>
      <c r="AB734" s="2">
        <v>0.61</v>
      </c>
      <c r="AC734" s="3" t="str">
        <f t="shared" si="22"/>
        <v>Pair</v>
      </c>
    </row>
    <row r="735" spans="1:29" x14ac:dyDescent="0.25">
      <c r="A735" s="1" t="s">
        <v>1588</v>
      </c>
      <c r="B735" s="2" t="s">
        <v>29</v>
      </c>
      <c r="C735" s="2"/>
      <c r="D735" s="2"/>
      <c r="E735" s="2" t="s">
        <v>1586</v>
      </c>
      <c r="F735" s="2">
        <v>1</v>
      </c>
      <c r="G735" s="2">
        <v>0.39</v>
      </c>
      <c r="H735" s="2" t="s">
        <v>73</v>
      </c>
      <c r="I735" s="2" t="s">
        <v>39</v>
      </c>
      <c r="J735" s="2" t="s">
        <v>33</v>
      </c>
      <c r="K735" s="2"/>
      <c r="L735" s="2"/>
      <c r="M735" s="2"/>
      <c r="N735" s="2"/>
      <c r="O735" s="2" t="s">
        <v>61</v>
      </c>
      <c r="P735" s="2"/>
      <c r="Q735" s="2"/>
      <c r="R735" s="2">
        <v>1400</v>
      </c>
      <c r="S735" s="2">
        <v>546</v>
      </c>
      <c r="T735" s="13" t="str">
        <f t="shared" si="23"/>
        <v>MTH8007</v>
      </c>
      <c r="U735" s="2" t="s">
        <v>1589</v>
      </c>
      <c r="V735" s="2"/>
      <c r="W735" s="2">
        <v>3.29</v>
      </c>
      <c r="X735" s="2">
        <v>6.45</v>
      </c>
      <c r="Y735" s="2">
        <v>2.41</v>
      </c>
      <c r="Z735" s="2">
        <v>0</v>
      </c>
      <c r="AA735" s="2">
        <v>0</v>
      </c>
      <c r="AB735" s="2">
        <v>0.51</v>
      </c>
      <c r="AC735" s="3" t="str">
        <f t="shared" si="22"/>
        <v>Loose</v>
      </c>
    </row>
    <row r="736" spans="1:29" x14ac:dyDescent="0.25">
      <c r="A736" s="1" t="s">
        <v>1590</v>
      </c>
      <c r="B736" s="2" t="s">
        <v>37</v>
      </c>
      <c r="C736" s="2"/>
      <c r="D736" s="2"/>
      <c r="E736" s="2" t="s">
        <v>1586</v>
      </c>
      <c r="F736" s="2">
        <v>1</v>
      </c>
      <c r="G736" s="2">
        <v>0.12</v>
      </c>
      <c r="H736" s="2" t="s">
        <v>38</v>
      </c>
      <c r="I736" s="2" t="s">
        <v>151</v>
      </c>
      <c r="J736" s="2" t="s">
        <v>69</v>
      </c>
      <c r="K736" s="2"/>
      <c r="L736" s="2"/>
      <c r="M736" s="2"/>
      <c r="N736" s="2"/>
      <c r="O736" s="2" t="s">
        <v>77</v>
      </c>
      <c r="P736" s="2"/>
      <c r="Q736" s="2"/>
      <c r="R736" s="2">
        <v>700</v>
      </c>
      <c r="S736" s="2">
        <v>84</v>
      </c>
      <c r="T736" s="13" t="str">
        <f t="shared" si="23"/>
        <v>MTH8157</v>
      </c>
      <c r="U736" s="2" t="s">
        <v>1591</v>
      </c>
      <c r="V736" s="2"/>
      <c r="W736" s="2">
        <v>4.46</v>
      </c>
      <c r="X736" s="2">
        <v>2.15</v>
      </c>
      <c r="Y736" s="2">
        <v>1.72</v>
      </c>
      <c r="Z736" s="2">
        <v>0</v>
      </c>
      <c r="AA736" s="2">
        <v>0</v>
      </c>
      <c r="AB736" s="2">
        <v>2.0699999999999998</v>
      </c>
      <c r="AC736" s="3" t="str">
        <f t="shared" si="22"/>
        <v>Loose</v>
      </c>
    </row>
    <row r="737" spans="1:29" x14ac:dyDescent="0.25">
      <c r="A737" s="1" t="s">
        <v>1592</v>
      </c>
      <c r="B737" s="2" t="s">
        <v>29</v>
      </c>
      <c r="C737" s="2"/>
      <c r="D737" s="2"/>
      <c r="E737" s="2" t="s">
        <v>1586</v>
      </c>
      <c r="F737" s="2">
        <v>1</v>
      </c>
      <c r="G737" s="2">
        <v>0.5</v>
      </c>
      <c r="H737" s="2" t="s">
        <v>73</v>
      </c>
      <c r="I737" s="2" t="s">
        <v>50</v>
      </c>
      <c r="J737" s="2" t="s">
        <v>33</v>
      </c>
      <c r="K737" s="2"/>
      <c r="L737" s="2"/>
      <c r="M737" s="2"/>
      <c r="N737" s="2"/>
      <c r="O737" s="2" t="s">
        <v>1593</v>
      </c>
      <c r="P737" s="2"/>
      <c r="Q737" s="2"/>
      <c r="R737" s="2">
        <v>1000</v>
      </c>
      <c r="S737" s="2">
        <v>500</v>
      </c>
      <c r="T737" s="13" t="str">
        <f t="shared" si="23"/>
        <v>MTH5534</v>
      </c>
      <c r="U737" s="2" t="s">
        <v>1594</v>
      </c>
      <c r="V737" s="2"/>
      <c r="W737" s="2">
        <v>6.31</v>
      </c>
      <c r="X737" s="2">
        <v>3.62</v>
      </c>
      <c r="Y737" s="2">
        <v>2.75</v>
      </c>
      <c r="Z737" s="2">
        <v>0</v>
      </c>
      <c r="AA737" s="2">
        <v>0</v>
      </c>
      <c r="AB737" s="2">
        <v>1.74</v>
      </c>
      <c r="AC737" s="3" t="str">
        <f t="shared" si="22"/>
        <v>Loose</v>
      </c>
    </row>
    <row r="738" spans="1:29" x14ac:dyDescent="0.25">
      <c r="A738" s="1" t="s">
        <v>1595</v>
      </c>
      <c r="B738" s="2" t="s">
        <v>37</v>
      </c>
      <c r="C738" s="2"/>
      <c r="D738" s="2"/>
      <c r="E738" s="2" t="s">
        <v>1586</v>
      </c>
      <c r="F738" s="2">
        <v>1</v>
      </c>
      <c r="G738" s="2">
        <v>0.16</v>
      </c>
      <c r="H738" s="2" t="s">
        <v>38</v>
      </c>
      <c r="I738" s="2" t="s">
        <v>686</v>
      </c>
      <c r="J738" s="2" t="s">
        <v>69</v>
      </c>
      <c r="K738" s="2"/>
      <c r="L738" s="2"/>
      <c r="M738" s="2"/>
      <c r="N738" s="2"/>
      <c r="O738" s="2" t="s">
        <v>77</v>
      </c>
      <c r="P738" s="2"/>
      <c r="Q738" s="2"/>
      <c r="R738" s="2">
        <v>700</v>
      </c>
      <c r="S738" s="2">
        <v>112</v>
      </c>
      <c r="T738" s="13" t="str">
        <f t="shared" si="23"/>
        <v>MTH524A</v>
      </c>
      <c r="U738" s="2" t="s">
        <v>1596</v>
      </c>
      <c r="V738" s="2"/>
      <c r="W738" s="2">
        <v>4.58</v>
      </c>
      <c r="X738" s="2">
        <v>2.93</v>
      </c>
      <c r="Y738" s="2">
        <v>1.66</v>
      </c>
      <c r="Z738" s="2">
        <v>0</v>
      </c>
      <c r="AA738" s="2">
        <v>0</v>
      </c>
      <c r="AB738" s="2">
        <v>1.56</v>
      </c>
      <c r="AC738" s="3" t="str">
        <f t="shared" si="22"/>
        <v>Loose</v>
      </c>
    </row>
    <row r="739" spans="1:29" x14ac:dyDescent="0.25">
      <c r="A739" s="1" t="s">
        <v>1597</v>
      </c>
      <c r="B739" s="2" t="s">
        <v>37</v>
      </c>
      <c r="C739" s="2"/>
      <c r="D739" s="2"/>
      <c r="E739" s="2" t="s">
        <v>1586</v>
      </c>
      <c r="F739" s="2">
        <v>2</v>
      </c>
      <c r="G739" s="2">
        <v>0.24</v>
      </c>
      <c r="H739" s="2" t="s">
        <v>43</v>
      </c>
      <c r="I739" s="2" t="s">
        <v>68</v>
      </c>
      <c r="J739" s="2" t="s">
        <v>33</v>
      </c>
      <c r="K739" s="2"/>
      <c r="L739" s="2"/>
      <c r="M739" s="2"/>
      <c r="N739" s="2"/>
      <c r="O739" s="2"/>
      <c r="P739" s="2"/>
      <c r="Q739" s="2"/>
      <c r="R739" s="2">
        <v>1300</v>
      </c>
      <c r="S739" s="2">
        <v>312</v>
      </c>
      <c r="T739" s="13" t="str">
        <f t="shared" si="23"/>
        <v>TRPZ1180C</v>
      </c>
      <c r="U739" s="2" t="s">
        <v>1598</v>
      </c>
      <c r="V739" s="2"/>
      <c r="W739" s="2">
        <v>4.28</v>
      </c>
      <c r="X739" s="2">
        <v>2.11</v>
      </c>
      <c r="Y739" s="2">
        <v>1.59</v>
      </c>
      <c r="Z739" s="2">
        <v>0</v>
      </c>
      <c r="AA739" s="2">
        <v>0</v>
      </c>
      <c r="AB739" s="2">
        <v>2.0299999999999998</v>
      </c>
      <c r="AC739" s="3" t="str">
        <f t="shared" si="22"/>
        <v>Pair</v>
      </c>
    </row>
    <row r="740" spans="1:29" x14ac:dyDescent="0.25">
      <c r="A740" s="1" t="s">
        <v>1599</v>
      </c>
      <c r="B740" s="2" t="s">
        <v>37</v>
      </c>
      <c r="C740" s="2"/>
      <c r="D740" s="2"/>
      <c r="E740" s="2" t="s">
        <v>1586</v>
      </c>
      <c r="F740" s="2">
        <v>1</v>
      </c>
      <c r="G740" s="2">
        <v>0.57999999999999996</v>
      </c>
      <c r="H740" s="2" t="s">
        <v>38</v>
      </c>
      <c r="I740" s="2" t="s">
        <v>105</v>
      </c>
      <c r="J740" s="2" t="s">
        <v>69</v>
      </c>
      <c r="K740" s="2"/>
      <c r="L740" s="2"/>
      <c r="M740" s="2"/>
      <c r="N740" s="2"/>
      <c r="O740" s="2" t="s">
        <v>34</v>
      </c>
      <c r="P740" s="2"/>
      <c r="Q740" s="2"/>
      <c r="R740" s="2">
        <v>1500</v>
      </c>
      <c r="S740" s="2">
        <v>870</v>
      </c>
      <c r="T740" s="13" t="str">
        <f t="shared" si="23"/>
        <v>PLT7711043</v>
      </c>
      <c r="U740" s="2" t="s">
        <v>1600</v>
      </c>
      <c r="V740" s="2"/>
      <c r="W740" s="2">
        <v>7.57</v>
      </c>
      <c r="X740" s="2">
        <v>3.48</v>
      </c>
      <c r="Y740" s="2">
        <v>5.9</v>
      </c>
      <c r="Z740" s="2">
        <v>0</v>
      </c>
      <c r="AA740" s="2">
        <v>0</v>
      </c>
      <c r="AB740" s="2">
        <v>2.1800000000000002</v>
      </c>
      <c r="AC740" s="3" t="str">
        <f t="shared" si="22"/>
        <v>Loose</v>
      </c>
    </row>
    <row r="741" spans="1:29" x14ac:dyDescent="0.25">
      <c r="A741" s="1" t="s">
        <v>1601</v>
      </c>
      <c r="B741" s="2" t="s">
        <v>29</v>
      </c>
      <c r="C741" s="2"/>
      <c r="D741" s="2"/>
      <c r="E741" s="2" t="s">
        <v>1586</v>
      </c>
      <c r="F741" s="2">
        <v>1</v>
      </c>
      <c r="G741" s="2">
        <v>0.47</v>
      </c>
      <c r="H741" s="2" t="s">
        <v>43</v>
      </c>
      <c r="I741" s="2" t="s">
        <v>175</v>
      </c>
      <c r="J741" s="2" t="s">
        <v>69</v>
      </c>
      <c r="K741" s="2"/>
      <c r="L741" s="2"/>
      <c r="M741" s="2"/>
      <c r="N741" s="2"/>
      <c r="O741" s="2" t="s">
        <v>70</v>
      </c>
      <c r="P741" s="2"/>
      <c r="Q741" s="2"/>
      <c r="R741" s="2">
        <v>1724</v>
      </c>
      <c r="S741" s="2">
        <v>810.28</v>
      </c>
      <c r="T741" s="13" t="str">
        <f t="shared" si="23"/>
        <v>EZD110AA</v>
      </c>
      <c r="U741" s="2" t="s">
        <v>1602</v>
      </c>
      <c r="V741" s="2"/>
      <c r="W741" s="2">
        <v>7.93</v>
      </c>
      <c r="X741" s="2">
        <v>3.9</v>
      </c>
      <c r="Y741" s="2">
        <v>2.1800000000000002</v>
      </c>
      <c r="Z741" s="2">
        <v>0</v>
      </c>
      <c r="AA741" s="2">
        <v>0</v>
      </c>
      <c r="AB741" s="2">
        <v>2.0299999999999998</v>
      </c>
      <c r="AC741" s="3" t="str">
        <f t="shared" si="22"/>
        <v>Loose</v>
      </c>
    </row>
    <row r="742" spans="1:29" x14ac:dyDescent="0.25">
      <c r="A742" s="1" t="s">
        <v>1603</v>
      </c>
      <c r="B742" s="2" t="s">
        <v>29</v>
      </c>
      <c r="C742" s="2"/>
      <c r="D742" s="2"/>
      <c r="E742" s="2" t="s">
        <v>1586</v>
      </c>
      <c r="F742" s="2">
        <v>2</v>
      </c>
      <c r="G742" s="2">
        <v>0.56000000000000005</v>
      </c>
      <c r="H742" s="2" t="s">
        <v>38</v>
      </c>
      <c r="I742" s="2" t="s">
        <v>151</v>
      </c>
      <c r="J742" s="2" t="s">
        <v>69</v>
      </c>
      <c r="K742" s="2"/>
      <c r="L742" s="2"/>
      <c r="M742" s="2"/>
      <c r="N742" s="2"/>
      <c r="O742" s="2" t="s">
        <v>34</v>
      </c>
      <c r="P742" s="2"/>
      <c r="Q742" s="2"/>
      <c r="R742" s="2">
        <v>1100</v>
      </c>
      <c r="S742" s="2">
        <v>616</v>
      </c>
      <c r="T742" s="13" t="str">
        <f t="shared" si="23"/>
        <v>TRPZ1976</v>
      </c>
      <c r="U742" s="2" t="s">
        <v>1604</v>
      </c>
      <c r="V742" s="2"/>
      <c r="W742" s="2">
        <v>5.21</v>
      </c>
      <c r="X742" s="2">
        <v>3.51</v>
      </c>
      <c r="Y742" s="2">
        <v>2.11</v>
      </c>
      <c r="Z742" s="2">
        <v>0</v>
      </c>
      <c r="AA742" s="2">
        <v>0</v>
      </c>
      <c r="AB742" s="2">
        <v>1.48</v>
      </c>
      <c r="AC742" s="3" t="str">
        <f t="shared" si="22"/>
        <v>Pair</v>
      </c>
    </row>
    <row r="743" spans="1:29" x14ac:dyDescent="0.25">
      <c r="A743" s="1" t="s">
        <v>1605</v>
      </c>
      <c r="B743" s="2" t="s">
        <v>37</v>
      </c>
      <c r="C743" s="2"/>
      <c r="D743" s="2"/>
      <c r="E743" s="2" t="s">
        <v>1586</v>
      </c>
      <c r="F743" s="2">
        <v>1</v>
      </c>
      <c r="G743" s="2">
        <v>0.43</v>
      </c>
      <c r="H743" s="2" t="s">
        <v>396</v>
      </c>
      <c r="I743" s="2" t="s">
        <v>175</v>
      </c>
      <c r="J743" s="2" t="s">
        <v>69</v>
      </c>
      <c r="K743" s="2"/>
      <c r="L743" s="2"/>
      <c r="M743" s="2"/>
      <c r="N743" s="2"/>
      <c r="O743" s="2" t="s">
        <v>70</v>
      </c>
      <c r="P743" s="2"/>
      <c r="Q743" s="2"/>
      <c r="R743" s="2">
        <v>2000</v>
      </c>
      <c r="S743" s="2">
        <v>860</v>
      </c>
      <c r="T743" s="13" t="str">
        <f t="shared" si="23"/>
        <v>PLT1772014</v>
      </c>
      <c r="U743" s="2" t="s">
        <v>1606</v>
      </c>
      <c r="V743" s="2"/>
      <c r="W743" s="2">
        <v>5.88</v>
      </c>
      <c r="X743" s="2">
        <v>5.35</v>
      </c>
      <c r="Y743" s="2">
        <v>2.41</v>
      </c>
      <c r="Z743" s="2">
        <v>0</v>
      </c>
      <c r="AA743" s="2">
        <v>0</v>
      </c>
      <c r="AB743" s="2">
        <v>1.1000000000000001</v>
      </c>
      <c r="AC743" s="3" t="str">
        <f t="shared" si="22"/>
        <v>Loose</v>
      </c>
    </row>
    <row r="744" spans="1:29" x14ac:dyDescent="0.25">
      <c r="A744" s="1" t="s">
        <v>1607</v>
      </c>
      <c r="B744" s="2" t="s">
        <v>37</v>
      </c>
      <c r="C744" s="2"/>
      <c r="D744" s="2"/>
      <c r="E744" s="2" t="s">
        <v>1586</v>
      </c>
      <c r="F744" s="2">
        <v>2</v>
      </c>
      <c r="G744" s="2">
        <v>0.22</v>
      </c>
      <c r="H744" s="2" t="s">
        <v>38</v>
      </c>
      <c r="I744" s="2" t="s">
        <v>50</v>
      </c>
      <c r="J744" s="2" t="s">
        <v>33</v>
      </c>
      <c r="K744" s="2"/>
      <c r="L744" s="2"/>
      <c r="M744" s="2"/>
      <c r="N744" s="2"/>
      <c r="O744" s="2" t="s">
        <v>34</v>
      </c>
      <c r="P744" s="2"/>
      <c r="Q744" s="2"/>
      <c r="R744" s="2">
        <v>1100</v>
      </c>
      <c r="S744" s="2">
        <v>242</v>
      </c>
      <c r="T744" s="13" t="str">
        <f t="shared" si="23"/>
        <v>TRPZ2011</v>
      </c>
      <c r="U744" s="2" t="s">
        <v>1608</v>
      </c>
      <c r="V744" s="2"/>
      <c r="W744" s="2">
        <v>4.5999999999999996</v>
      </c>
      <c r="X744" s="2">
        <v>2.0499999999999998</v>
      </c>
      <c r="Y744" s="2">
        <v>1.56</v>
      </c>
      <c r="Z744" s="2">
        <v>0</v>
      </c>
      <c r="AA744" s="2">
        <v>0</v>
      </c>
      <c r="AB744" s="2">
        <v>2.2400000000000002</v>
      </c>
      <c r="AC744" s="3" t="str">
        <f t="shared" si="22"/>
        <v>Pair</v>
      </c>
    </row>
    <row r="745" spans="1:29" x14ac:dyDescent="0.25">
      <c r="A745" s="1" t="s">
        <v>1609</v>
      </c>
      <c r="B745" s="2" t="s">
        <v>37</v>
      </c>
      <c r="C745" s="2"/>
      <c r="D745" s="2"/>
      <c r="E745" s="2" t="s">
        <v>1586</v>
      </c>
      <c r="F745" s="2">
        <v>2</v>
      </c>
      <c r="G745" s="2">
        <v>0.24</v>
      </c>
      <c r="H745" s="2" t="s">
        <v>137</v>
      </c>
      <c r="I745" s="2" t="s">
        <v>32</v>
      </c>
      <c r="J745" s="2" t="s">
        <v>33</v>
      </c>
      <c r="K745" s="2"/>
      <c r="L745" s="2"/>
      <c r="M745" s="2"/>
      <c r="N745" s="2"/>
      <c r="O745" s="2" t="s">
        <v>70</v>
      </c>
      <c r="P745" s="2"/>
      <c r="Q745" s="2"/>
      <c r="R745" s="2">
        <v>1200</v>
      </c>
      <c r="S745" s="2">
        <v>288</v>
      </c>
      <c r="T745" s="13" t="str">
        <f t="shared" si="23"/>
        <v>TRPZ2081</v>
      </c>
      <c r="U745" s="2" t="s">
        <v>1610</v>
      </c>
      <c r="V745" s="2"/>
      <c r="W745" s="2">
        <v>4.0999999999999996</v>
      </c>
      <c r="X745" s="2">
        <v>2.2200000000000002</v>
      </c>
      <c r="Y745" s="2">
        <v>1.69</v>
      </c>
      <c r="Z745" s="2">
        <v>0</v>
      </c>
      <c r="AA745" s="2">
        <v>0</v>
      </c>
      <c r="AB745" s="2">
        <v>1.85</v>
      </c>
      <c r="AC745" s="3" t="str">
        <f t="shared" si="22"/>
        <v>Pair</v>
      </c>
    </row>
    <row r="746" spans="1:29" x14ac:dyDescent="0.25">
      <c r="A746" s="1" t="s">
        <v>1611</v>
      </c>
      <c r="B746" s="2" t="s">
        <v>37</v>
      </c>
      <c r="C746" s="2"/>
      <c r="D746" s="2"/>
      <c r="E746" s="2" t="s">
        <v>1586</v>
      </c>
      <c r="F746" s="2">
        <v>2</v>
      </c>
      <c r="G746" s="2">
        <v>0.2</v>
      </c>
      <c r="H746" s="2" t="s">
        <v>38</v>
      </c>
      <c r="I746" s="2" t="s">
        <v>50</v>
      </c>
      <c r="J746" s="2" t="s">
        <v>33</v>
      </c>
      <c r="K746" s="2"/>
      <c r="L746" s="2"/>
      <c r="M746" s="2"/>
      <c r="N746" s="2"/>
      <c r="O746" s="2" t="s">
        <v>34</v>
      </c>
      <c r="P746" s="2"/>
      <c r="Q746" s="2"/>
      <c r="R746" s="2">
        <v>1000</v>
      </c>
      <c r="S746" s="2">
        <v>200</v>
      </c>
      <c r="T746" s="13" t="str">
        <f t="shared" si="23"/>
        <v>TRPZ2190</v>
      </c>
      <c r="U746" s="2" t="s">
        <v>1612</v>
      </c>
      <c r="V746" s="2"/>
      <c r="W746" s="2">
        <v>2.17</v>
      </c>
      <c r="X746" s="2">
        <v>3.95</v>
      </c>
      <c r="Y746" s="2">
        <v>1.59</v>
      </c>
      <c r="Z746" s="2">
        <v>0</v>
      </c>
      <c r="AA746" s="2">
        <v>0</v>
      </c>
      <c r="AB746" s="2">
        <v>0.55000000000000004</v>
      </c>
      <c r="AC746" s="3" t="str">
        <f t="shared" si="22"/>
        <v>Pair</v>
      </c>
    </row>
    <row r="747" spans="1:29" x14ac:dyDescent="0.25">
      <c r="A747" s="1" t="s">
        <v>1613</v>
      </c>
      <c r="B747" s="2" t="s">
        <v>29</v>
      </c>
      <c r="C747" s="2"/>
      <c r="D747" s="2"/>
      <c r="E747" s="2" t="s">
        <v>1586</v>
      </c>
      <c r="F747" s="2">
        <v>1</v>
      </c>
      <c r="G747" s="2">
        <v>0.15</v>
      </c>
      <c r="H747" s="2" t="s">
        <v>76</v>
      </c>
      <c r="I747" s="2" t="s">
        <v>39</v>
      </c>
      <c r="J747" s="2" t="s">
        <v>33</v>
      </c>
      <c r="K747" s="2"/>
      <c r="L747" s="2"/>
      <c r="M747" s="2"/>
      <c r="N747" s="2"/>
      <c r="O747" s="2" t="s">
        <v>34</v>
      </c>
      <c r="P747" s="2"/>
      <c r="Q747" s="2"/>
      <c r="R747" s="2">
        <v>783</v>
      </c>
      <c r="S747" s="2">
        <v>117.45</v>
      </c>
      <c r="T747" s="13" t="str">
        <f t="shared" si="23"/>
        <v>SMRG04</v>
      </c>
      <c r="U747" s="2" t="s">
        <v>1614</v>
      </c>
      <c r="V747" s="2"/>
      <c r="W747" s="2">
        <v>4.6900000000000004</v>
      </c>
      <c r="X747" s="2">
        <v>2.65</v>
      </c>
      <c r="Y747" s="2">
        <v>1.52</v>
      </c>
      <c r="Z747" s="2">
        <v>0</v>
      </c>
      <c r="AA747" s="2">
        <v>0</v>
      </c>
      <c r="AB747" s="2">
        <v>1.77</v>
      </c>
      <c r="AC747" s="3" t="str">
        <f t="shared" si="22"/>
        <v>Loose</v>
      </c>
    </row>
    <row r="748" spans="1:29" x14ac:dyDescent="0.25">
      <c r="A748" s="1" t="s">
        <v>1615</v>
      </c>
      <c r="B748" s="2" t="s">
        <v>37</v>
      </c>
      <c r="C748" s="2"/>
      <c r="D748" s="2"/>
      <c r="E748" s="2" t="s">
        <v>1586</v>
      </c>
      <c r="F748" s="2">
        <v>2</v>
      </c>
      <c r="G748" s="2">
        <v>0.43</v>
      </c>
      <c r="H748" s="2" t="s">
        <v>396</v>
      </c>
      <c r="I748" s="2" t="s">
        <v>32</v>
      </c>
      <c r="J748" s="2" t="s">
        <v>33</v>
      </c>
      <c r="K748" s="2"/>
      <c r="L748" s="2"/>
      <c r="M748" s="2"/>
      <c r="N748" s="2"/>
      <c r="O748" s="2" t="s">
        <v>34</v>
      </c>
      <c r="P748" s="2"/>
      <c r="Q748" s="2"/>
      <c r="R748" s="2">
        <v>1800</v>
      </c>
      <c r="S748" s="2">
        <v>774</v>
      </c>
      <c r="T748" s="13" t="str">
        <f t="shared" si="23"/>
        <v>TRPZ2292</v>
      </c>
      <c r="U748" s="2" t="s">
        <v>1616</v>
      </c>
      <c r="V748" s="2"/>
      <c r="W748" s="2">
        <v>5.28</v>
      </c>
      <c r="X748" s="2">
        <v>2.74</v>
      </c>
      <c r="Y748" s="2">
        <v>1.9</v>
      </c>
      <c r="Z748" s="2">
        <v>0</v>
      </c>
      <c r="AA748" s="2">
        <v>0</v>
      </c>
      <c r="AB748" s="2">
        <v>1.93</v>
      </c>
      <c r="AC748" s="3" t="str">
        <f t="shared" si="22"/>
        <v>Pair</v>
      </c>
    </row>
    <row r="749" spans="1:29" x14ac:dyDescent="0.25">
      <c r="A749" s="1" t="s">
        <v>1617</v>
      </c>
      <c r="B749" s="2" t="s">
        <v>29</v>
      </c>
      <c r="C749" s="2"/>
      <c r="D749" s="2"/>
      <c r="E749" s="2" t="s">
        <v>1586</v>
      </c>
      <c r="F749" s="2">
        <v>2</v>
      </c>
      <c r="G749" s="2">
        <v>0.12</v>
      </c>
      <c r="H749" s="2" t="s">
        <v>137</v>
      </c>
      <c r="I749" s="2" t="s">
        <v>53</v>
      </c>
      <c r="J749" s="2" t="s">
        <v>33</v>
      </c>
      <c r="K749" s="2"/>
      <c r="L749" s="2"/>
      <c r="M749" s="2"/>
      <c r="N749" s="2"/>
      <c r="O749" s="2"/>
      <c r="P749" s="2"/>
      <c r="Q749" s="2"/>
      <c r="R749" s="2">
        <v>1800</v>
      </c>
      <c r="S749" s="2">
        <v>216</v>
      </c>
      <c r="T749" s="13" t="str">
        <f t="shared" si="23"/>
        <v>TRPZ2297</v>
      </c>
      <c r="U749" s="2" t="s">
        <v>1618</v>
      </c>
      <c r="V749" s="2"/>
      <c r="W749" s="2">
        <v>1.64</v>
      </c>
      <c r="X749" s="2">
        <v>3.98</v>
      </c>
      <c r="Y749" s="2">
        <v>1.1499999999999999</v>
      </c>
      <c r="Z749" s="2">
        <v>0</v>
      </c>
      <c r="AA749" s="2">
        <v>0</v>
      </c>
      <c r="AB749" s="2">
        <v>0.41</v>
      </c>
      <c r="AC749" s="3" t="str">
        <f t="shared" si="22"/>
        <v>Pair</v>
      </c>
    </row>
    <row r="750" spans="1:29" x14ac:dyDescent="0.25">
      <c r="A750" s="1" t="s">
        <v>1619</v>
      </c>
      <c r="B750" s="2" t="s">
        <v>37</v>
      </c>
      <c r="C750" s="2"/>
      <c r="D750" s="2"/>
      <c r="E750" s="2" t="s">
        <v>1586</v>
      </c>
      <c r="F750" s="2">
        <v>2</v>
      </c>
      <c r="G750" s="2">
        <v>0.56999999999999995</v>
      </c>
      <c r="H750" s="2" t="s">
        <v>67</v>
      </c>
      <c r="I750" s="2" t="s">
        <v>39</v>
      </c>
      <c r="J750" s="2" t="s">
        <v>69</v>
      </c>
      <c r="K750" s="2"/>
      <c r="L750" s="2"/>
      <c r="M750" s="2"/>
      <c r="N750" s="2"/>
      <c r="O750" s="2" t="s">
        <v>61</v>
      </c>
      <c r="P750" s="2"/>
      <c r="Q750" s="2"/>
      <c r="R750" s="2">
        <v>1300</v>
      </c>
      <c r="S750" s="2">
        <v>741</v>
      </c>
      <c r="T750" s="13" t="str">
        <f t="shared" si="23"/>
        <v>TRPZ2329C</v>
      </c>
      <c r="U750" s="2" t="s">
        <v>1620</v>
      </c>
      <c r="V750" s="2"/>
      <c r="W750" s="2">
        <v>5.56</v>
      </c>
      <c r="X750" s="2">
        <v>2.98</v>
      </c>
      <c r="Y750" s="2">
        <v>2.54</v>
      </c>
      <c r="Z750" s="2">
        <v>0</v>
      </c>
      <c r="AA750" s="2">
        <v>0</v>
      </c>
      <c r="AB750" s="2">
        <v>1.87</v>
      </c>
      <c r="AC750" s="3" t="str">
        <f t="shared" si="22"/>
        <v>Pair</v>
      </c>
    </row>
    <row r="751" spans="1:29" x14ac:dyDescent="0.25">
      <c r="A751" s="1" t="s">
        <v>1621</v>
      </c>
      <c r="B751" s="2" t="s">
        <v>37</v>
      </c>
      <c r="C751" s="2"/>
      <c r="D751" s="2"/>
      <c r="E751" s="2" t="s">
        <v>1586</v>
      </c>
      <c r="F751" s="2">
        <v>2</v>
      </c>
      <c r="G751" s="2">
        <v>0.26</v>
      </c>
      <c r="H751" s="2" t="s">
        <v>43</v>
      </c>
      <c r="I751" s="2" t="s">
        <v>50</v>
      </c>
      <c r="J751" s="2" t="s">
        <v>33</v>
      </c>
      <c r="K751" s="2"/>
      <c r="L751" s="2"/>
      <c r="M751" s="2"/>
      <c r="N751" s="2"/>
      <c r="O751" s="2"/>
      <c r="P751" s="2"/>
      <c r="Q751" s="2"/>
      <c r="R751" s="2">
        <v>1300</v>
      </c>
      <c r="S751" s="2">
        <v>338</v>
      </c>
      <c r="T751" s="13" t="str">
        <f t="shared" si="23"/>
        <v>TRPZ2332</v>
      </c>
      <c r="U751" s="2" t="s">
        <v>1622</v>
      </c>
      <c r="V751" s="2"/>
      <c r="W751" s="2">
        <v>3.65</v>
      </c>
      <c r="X751" s="2">
        <v>2.23</v>
      </c>
      <c r="Y751" s="2">
        <v>2.04</v>
      </c>
      <c r="Z751" s="2">
        <v>0</v>
      </c>
      <c r="AA751" s="2">
        <v>0</v>
      </c>
      <c r="AB751" s="2">
        <v>1.64</v>
      </c>
      <c r="AC751" s="3" t="str">
        <f t="shared" si="22"/>
        <v>Pair</v>
      </c>
    </row>
    <row r="752" spans="1:29" x14ac:dyDescent="0.25">
      <c r="A752" s="1" t="s">
        <v>1623</v>
      </c>
      <c r="B752" s="2" t="s">
        <v>37</v>
      </c>
      <c r="C752" s="2"/>
      <c r="D752" s="2"/>
      <c r="E752" s="2" t="s">
        <v>1586</v>
      </c>
      <c r="F752" s="2">
        <v>2</v>
      </c>
      <c r="G752" s="2">
        <v>0.33</v>
      </c>
      <c r="H752" s="2" t="s">
        <v>396</v>
      </c>
      <c r="I752" s="2" t="s">
        <v>50</v>
      </c>
      <c r="J752" s="2" t="s">
        <v>33</v>
      </c>
      <c r="K752" s="2"/>
      <c r="L752" s="2"/>
      <c r="M752" s="2"/>
      <c r="N752" s="2"/>
      <c r="O752" s="2"/>
      <c r="P752" s="2"/>
      <c r="Q752" s="2"/>
      <c r="R752" s="2">
        <v>1100</v>
      </c>
      <c r="S752" s="2">
        <v>363</v>
      </c>
      <c r="T752" s="13" t="str">
        <f t="shared" si="23"/>
        <v>TRPZ2356</v>
      </c>
      <c r="U752" s="2" t="s">
        <v>1624</v>
      </c>
      <c r="V752" s="2"/>
      <c r="W752" s="2">
        <v>5.37</v>
      </c>
      <c r="X752" s="2">
        <v>2.63</v>
      </c>
      <c r="Y752" s="2">
        <v>1.78</v>
      </c>
      <c r="Z752" s="2">
        <v>0</v>
      </c>
      <c r="AA752" s="2">
        <v>0</v>
      </c>
      <c r="AB752" s="2">
        <v>2.04</v>
      </c>
      <c r="AC752" s="3" t="str">
        <f t="shared" si="22"/>
        <v>Pair</v>
      </c>
    </row>
    <row r="753" spans="1:29" x14ac:dyDescent="0.25">
      <c r="A753" s="1" t="s">
        <v>1625</v>
      </c>
      <c r="B753" s="2" t="s">
        <v>37</v>
      </c>
      <c r="C753" s="2"/>
      <c r="D753" s="2"/>
      <c r="E753" s="2" t="s">
        <v>1586</v>
      </c>
      <c r="F753" s="2">
        <v>1</v>
      </c>
      <c r="G753" s="2">
        <v>0.2</v>
      </c>
      <c r="H753" s="2" t="s">
        <v>38</v>
      </c>
      <c r="I753" s="2" t="s">
        <v>1183</v>
      </c>
      <c r="J753" s="2" t="s">
        <v>69</v>
      </c>
      <c r="K753" s="2"/>
      <c r="L753" s="2"/>
      <c r="M753" s="2"/>
      <c r="N753" s="2"/>
      <c r="O753" s="2" t="s">
        <v>34</v>
      </c>
      <c r="P753" s="2"/>
      <c r="Q753" s="2"/>
      <c r="R753" s="2">
        <v>700</v>
      </c>
      <c r="S753" s="2">
        <v>140</v>
      </c>
      <c r="T753" s="13" t="str">
        <f t="shared" si="23"/>
        <v>LILK135AAAA</v>
      </c>
      <c r="U753" s="2" t="s">
        <v>1626</v>
      </c>
      <c r="V753" s="2"/>
      <c r="W753" s="2">
        <v>4.82</v>
      </c>
      <c r="X753" s="2">
        <v>1.87</v>
      </c>
      <c r="Y753" s="2">
        <v>2.75</v>
      </c>
      <c r="Z753" s="2">
        <v>0</v>
      </c>
      <c r="AA753" s="2">
        <v>0</v>
      </c>
      <c r="AB753" s="2">
        <v>2.58</v>
      </c>
      <c r="AC753" s="3" t="str">
        <f t="shared" si="22"/>
        <v>Loose</v>
      </c>
    </row>
    <row r="754" spans="1:29" x14ac:dyDescent="0.25">
      <c r="A754" s="1" t="s">
        <v>1627</v>
      </c>
      <c r="B754" s="2" t="s">
        <v>29</v>
      </c>
      <c r="C754" s="2"/>
      <c r="D754" s="2"/>
      <c r="E754" s="2" t="s">
        <v>1586</v>
      </c>
      <c r="F754" s="2">
        <v>1</v>
      </c>
      <c r="G754" s="2">
        <v>0.24</v>
      </c>
      <c r="H754" s="2" t="s">
        <v>31</v>
      </c>
      <c r="I754" s="2" t="s">
        <v>148</v>
      </c>
      <c r="J754" s="2" t="s">
        <v>69</v>
      </c>
      <c r="K754" s="2"/>
      <c r="L754" s="2"/>
      <c r="M754" s="2"/>
      <c r="N754" s="2"/>
      <c r="O754" s="2" t="s">
        <v>34</v>
      </c>
      <c r="P754" s="2"/>
      <c r="Q754" s="2"/>
      <c r="R754" s="2">
        <v>1100</v>
      </c>
      <c r="S754" s="2">
        <v>264</v>
      </c>
      <c r="T754" s="13" t="str">
        <f t="shared" si="23"/>
        <v>LILK144A</v>
      </c>
      <c r="U754" s="2" t="s">
        <v>1628</v>
      </c>
      <c r="V754" s="2"/>
      <c r="W754" s="2">
        <v>5.65</v>
      </c>
      <c r="X754" s="2">
        <v>3.07</v>
      </c>
      <c r="Y754" s="2">
        <v>1.98</v>
      </c>
      <c r="Z754" s="2">
        <v>0</v>
      </c>
      <c r="AA754" s="2">
        <v>0</v>
      </c>
      <c r="AB754" s="2">
        <v>1.84</v>
      </c>
      <c r="AC754" s="3" t="str">
        <f t="shared" si="22"/>
        <v>Loose</v>
      </c>
    </row>
    <row r="755" spans="1:29" x14ac:dyDescent="0.25">
      <c r="A755" s="1" t="s">
        <v>1629</v>
      </c>
      <c r="B755" s="2" t="s">
        <v>29</v>
      </c>
      <c r="C755" s="2"/>
      <c r="D755" s="2"/>
      <c r="E755" s="2" t="s">
        <v>1586</v>
      </c>
      <c r="F755" s="2">
        <v>1</v>
      </c>
      <c r="G755" s="2">
        <v>0.11</v>
      </c>
      <c r="H755" s="2" t="s">
        <v>38</v>
      </c>
      <c r="I755" s="2" t="s">
        <v>32</v>
      </c>
      <c r="J755" s="2" t="s">
        <v>33</v>
      </c>
      <c r="K755" s="2"/>
      <c r="L755" s="2"/>
      <c r="M755" s="2"/>
      <c r="N755" s="2"/>
      <c r="O755" s="2" t="s">
        <v>70</v>
      </c>
      <c r="P755" s="2"/>
      <c r="Q755" s="2"/>
      <c r="R755" s="2">
        <v>1784</v>
      </c>
      <c r="S755" s="2">
        <v>196.24</v>
      </c>
      <c r="T755" s="13" t="str">
        <f t="shared" si="23"/>
        <v>ADKA018AB</v>
      </c>
      <c r="U755" s="2" t="s">
        <v>1630</v>
      </c>
      <c r="V755" s="2"/>
      <c r="W755" s="2">
        <v>3.86</v>
      </c>
      <c r="X755" s="2">
        <v>2.15</v>
      </c>
      <c r="Y755" s="2">
        <v>1.62</v>
      </c>
      <c r="Z755" s="2">
        <v>0</v>
      </c>
      <c r="AA755" s="2">
        <v>0</v>
      </c>
      <c r="AB755" s="2">
        <v>1.8</v>
      </c>
      <c r="AC755" s="3" t="str">
        <f t="shared" si="22"/>
        <v>Loose</v>
      </c>
    </row>
    <row r="756" spans="1:29" x14ac:dyDescent="0.25">
      <c r="A756" s="1" t="s">
        <v>1631</v>
      </c>
      <c r="B756" s="2" t="s">
        <v>29</v>
      </c>
      <c r="C756" s="2"/>
      <c r="D756" s="2"/>
      <c r="E756" s="2" t="s">
        <v>1586</v>
      </c>
      <c r="F756" s="2">
        <v>1</v>
      </c>
      <c r="G756" s="2">
        <v>0.52</v>
      </c>
      <c r="H756" s="2" t="s">
        <v>73</v>
      </c>
      <c r="I756" s="2" t="s">
        <v>57</v>
      </c>
      <c r="J756" s="2" t="s">
        <v>33</v>
      </c>
      <c r="K756" s="2"/>
      <c r="L756" s="2" t="s">
        <v>43</v>
      </c>
      <c r="M756" s="2" t="s">
        <v>450</v>
      </c>
      <c r="N756" s="2" t="s">
        <v>421</v>
      </c>
      <c r="O756" s="2" t="s">
        <v>34</v>
      </c>
      <c r="P756" s="2"/>
      <c r="Q756" s="2">
        <v>7491760271</v>
      </c>
      <c r="R756" s="2">
        <v>2500</v>
      </c>
      <c r="S756" s="2">
        <v>1300</v>
      </c>
      <c r="T756" s="13" t="str">
        <f t="shared" si="23"/>
        <v>PLT162011A</v>
      </c>
      <c r="U756" s="2" t="s">
        <v>1632</v>
      </c>
      <c r="V756" s="2"/>
      <c r="W756" s="2">
        <v>4.46</v>
      </c>
      <c r="X756" s="2">
        <v>7.32</v>
      </c>
      <c r="Y756" s="2">
        <v>2.58</v>
      </c>
      <c r="Z756" s="2">
        <v>35.200000000000003</v>
      </c>
      <c r="AA756" s="2">
        <v>74</v>
      </c>
      <c r="AB756" s="2">
        <v>0.61</v>
      </c>
      <c r="AC756" s="3" t="str">
        <f t="shared" si="22"/>
        <v>Loose</v>
      </c>
    </row>
    <row r="757" spans="1:29" x14ac:dyDescent="0.25">
      <c r="A757" s="1" t="s">
        <v>1633</v>
      </c>
      <c r="B757" s="2" t="s">
        <v>37</v>
      </c>
      <c r="C757" s="2"/>
      <c r="D757" s="2"/>
      <c r="E757" s="2" t="s">
        <v>1586</v>
      </c>
      <c r="F757" s="2">
        <v>2</v>
      </c>
      <c r="G757" s="2">
        <v>0.28000000000000003</v>
      </c>
      <c r="H757" s="2" t="s">
        <v>38</v>
      </c>
      <c r="I757" s="2" t="s">
        <v>53</v>
      </c>
      <c r="J757" s="2" t="s">
        <v>33</v>
      </c>
      <c r="K757" s="2"/>
      <c r="L757" s="2"/>
      <c r="M757" s="2"/>
      <c r="N757" s="2"/>
      <c r="O757" s="2"/>
      <c r="P757" s="2"/>
      <c r="Q757" s="2"/>
      <c r="R757" s="2">
        <v>1600</v>
      </c>
      <c r="S757" s="2">
        <v>448</v>
      </c>
      <c r="T757" s="13" t="str">
        <f t="shared" si="23"/>
        <v>TRPZ2423</v>
      </c>
      <c r="U757" s="2" t="s">
        <v>1634</v>
      </c>
      <c r="V757" s="2"/>
      <c r="W757" s="2">
        <v>4.8099999999999996</v>
      </c>
      <c r="X757" s="2">
        <v>2.2999999999999998</v>
      </c>
      <c r="Y757" s="2">
        <v>1.6</v>
      </c>
      <c r="Z757" s="2">
        <v>0</v>
      </c>
      <c r="AA757" s="2">
        <v>0</v>
      </c>
      <c r="AB757" s="2">
        <v>2.09</v>
      </c>
      <c r="AC757" s="3" t="str">
        <f t="shared" si="22"/>
        <v>Pair</v>
      </c>
    </row>
    <row r="758" spans="1:29" x14ac:dyDescent="0.25">
      <c r="A758" s="1" t="s">
        <v>1635</v>
      </c>
      <c r="B758" s="2" t="s">
        <v>37</v>
      </c>
      <c r="C758" s="2"/>
      <c r="D758" s="2"/>
      <c r="E758" s="2" t="s">
        <v>1586</v>
      </c>
      <c r="F758" s="2">
        <v>2</v>
      </c>
      <c r="G758" s="2">
        <v>0.9</v>
      </c>
      <c r="H758" s="2" t="s">
        <v>396</v>
      </c>
      <c r="I758" s="2" t="s">
        <v>50</v>
      </c>
      <c r="J758" s="2" t="s">
        <v>33</v>
      </c>
      <c r="K758" s="2"/>
      <c r="L758" s="2"/>
      <c r="M758" s="2"/>
      <c r="N758" s="2"/>
      <c r="O758" s="2" t="s">
        <v>909</v>
      </c>
      <c r="P758" s="2"/>
      <c r="Q758" s="2"/>
      <c r="R758" s="2">
        <v>2300</v>
      </c>
      <c r="S758" s="2">
        <v>2070</v>
      </c>
      <c r="T758" s="13" t="str">
        <f t="shared" si="23"/>
        <v>TRPZ2453Q</v>
      </c>
      <c r="U758" s="2" t="s">
        <v>1636</v>
      </c>
      <c r="V758" s="2"/>
      <c r="W758" s="2">
        <v>6.04</v>
      </c>
      <c r="X758" s="2">
        <v>5.39</v>
      </c>
      <c r="Y758" s="2">
        <v>2.46</v>
      </c>
      <c r="Z758" s="2">
        <v>0</v>
      </c>
      <c r="AA758" s="2">
        <v>0</v>
      </c>
      <c r="AB758" s="2">
        <v>1.1200000000000001</v>
      </c>
      <c r="AC758" s="3" t="str">
        <f t="shared" si="22"/>
        <v>Pair</v>
      </c>
    </row>
    <row r="759" spans="1:29" x14ac:dyDescent="0.25">
      <c r="A759" s="1" t="s">
        <v>1637</v>
      </c>
      <c r="B759" s="2" t="s">
        <v>37</v>
      </c>
      <c r="C759" s="2"/>
      <c r="D759" s="2"/>
      <c r="E759" s="2" t="s">
        <v>1586</v>
      </c>
      <c r="F759" s="2">
        <v>2</v>
      </c>
      <c r="G759" s="2">
        <v>0.17</v>
      </c>
      <c r="H759" s="2" t="s">
        <v>38</v>
      </c>
      <c r="I759" s="2" t="s">
        <v>105</v>
      </c>
      <c r="J759" s="2" t="s">
        <v>69</v>
      </c>
      <c r="K759" s="2"/>
      <c r="L759" s="2"/>
      <c r="M759" s="2"/>
      <c r="N759" s="2"/>
      <c r="O759" s="2" t="s">
        <v>514</v>
      </c>
      <c r="P759" s="2"/>
      <c r="Q759" s="2"/>
      <c r="R759" s="2">
        <v>800</v>
      </c>
      <c r="S759" s="2">
        <v>136</v>
      </c>
      <c r="T759" s="13" t="str">
        <f t="shared" si="23"/>
        <v>TRPZ2467C</v>
      </c>
      <c r="U759" s="2" t="s">
        <v>1638</v>
      </c>
      <c r="V759" s="2"/>
      <c r="W759" s="2">
        <v>3.88</v>
      </c>
      <c r="X759" s="2">
        <v>2.2200000000000002</v>
      </c>
      <c r="Y759" s="2">
        <v>1.31</v>
      </c>
      <c r="Z759" s="2">
        <v>0</v>
      </c>
      <c r="AA759" s="2">
        <v>0</v>
      </c>
      <c r="AB759" s="2">
        <v>1.75</v>
      </c>
      <c r="AC759" s="3" t="str">
        <f t="shared" si="22"/>
        <v>Pair</v>
      </c>
    </row>
    <row r="760" spans="1:29" x14ac:dyDescent="0.25">
      <c r="A760" s="1" t="s">
        <v>1639</v>
      </c>
      <c r="B760" s="2" t="s">
        <v>29</v>
      </c>
      <c r="C760" s="2"/>
      <c r="D760" s="2"/>
      <c r="E760" s="2" t="s">
        <v>1586</v>
      </c>
      <c r="F760" s="2">
        <v>1</v>
      </c>
      <c r="G760" s="2">
        <v>0.72</v>
      </c>
      <c r="H760" s="2" t="s">
        <v>49</v>
      </c>
      <c r="I760" s="2" t="s">
        <v>32</v>
      </c>
      <c r="J760" s="2" t="s">
        <v>33</v>
      </c>
      <c r="K760" s="2"/>
      <c r="L760" s="2" t="s">
        <v>1205</v>
      </c>
      <c r="M760" s="2" t="s">
        <v>450</v>
      </c>
      <c r="N760" s="2" t="s">
        <v>421</v>
      </c>
      <c r="O760" s="2" t="s">
        <v>34</v>
      </c>
      <c r="P760" s="2"/>
      <c r="Q760" s="2">
        <v>2356362677</v>
      </c>
      <c r="R760" s="2">
        <v>3200</v>
      </c>
      <c r="S760" s="2">
        <v>2304</v>
      </c>
      <c r="T760" s="13" t="str">
        <f t="shared" si="23"/>
        <v>ADIA01AAAA</v>
      </c>
      <c r="U760" s="2" t="s">
        <v>1640</v>
      </c>
      <c r="V760" s="2"/>
      <c r="W760" s="2">
        <v>4.53</v>
      </c>
      <c r="X760" s="2">
        <v>7.2</v>
      </c>
      <c r="Y760" s="2">
        <v>3.1</v>
      </c>
      <c r="Z760" s="2">
        <v>43.1</v>
      </c>
      <c r="AA760" s="2">
        <v>63</v>
      </c>
      <c r="AB760" s="2">
        <v>0.63</v>
      </c>
      <c r="AC760" s="3" t="str">
        <f t="shared" si="22"/>
        <v>Loose</v>
      </c>
    </row>
    <row r="761" spans="1:29" x14ac:dyDescent="0.25">
      <c r="A761" s="1" t="s">
        <v>1641</v>
      </c>
      <c r="B761" s="2" t="s">
        <v>37</v>
      </c>
      <c r="C761" s="2"/>
      <c r="D761" s="2"/>
      <c r="E761" s="2" t="s">
        <v>1586</v>
      </c>
      <c r="F761" s="2">
        <v>2</v>
      </c>
      <c r="G761" s="2">
        <v>0.73</v>
      </c>
      <c r="H761" s="2" t="s">
        <v>38</v>
      </c>
      <c r="I761" s="2" t="s">
        <v>32</v>
      </c>
      <c r="J761" s="2" t="s">
        <v>33</v>
      </c>
      <c r="K761" s="2"/>
      <c r="L761" s="2"/>
      <c r="M761" s="2"/>
      <c r="N761" s="2"/>
      <c r="O761" s="2"/>
      <c r="P761" s="2"/>
      <c r="Q761" s="2"/>
      <c r="R761" s="2">
        <v>2500</v>
      </c>
      <c r="S761" s="2">
        <v>1825</v>
      </c>
      <c r="T761" s="13" t="str">
        <f t="shared" si="23"/>
        <v>TRPZ2494</v>
      </c>
      <c r="U761" s="2" t="s">
        <v>1642</v>
      </c>
      <c r="V761" s="2"/>
      <c r="W761" s="2">
        <v>5.86</v>
      </c>
      <c r="X761" s="2">
        <v>3.05</v>
      </c>
      <c r="Y761" s="2">
        <v>2.91</v>
      </c>
      <c r="Z761" s="2">
        <v>0</v>
      </c>
      <c r="AA761" s="2">
        <v>0</v>
      </c>
      <c r="AB761" s="2">
        <v>1.92</v>
      </c>
      <c r="AC761" s="3" t="str">
        <f t="shared" si="22"/>
        <v>Pair</v>
      </c>
    </row>
    <row r="762" spans="1:29" x14ac:dyDescent="0.25">
      <c r="A762" s="1" t="s">
        <v>1643</v>
      </c>
      <c r="B762" s="2" t="s">
        <v>37</v>
      </c>
      <c r="C762" s="2"/>
      <c r="D762" s="2"/>
      <c r="E762" s="2" t="s">
        <v>1586</v>
      </c>
      <c r="F762" s="2">
        <v>2</v>
      </c>
      <c r="G762" s="2">
        <v>0.77</v>
      </c>
      <c r="H762" s="2" t="s">
        <v>43</v>
      </c>
      <c r="I762" s="2" t="s">
        <v>57</v>
      </c>
      <c r="J762" s="2" t="s">
        <v>33</v>
      </c>
      <c r="K762" s="2"/>
      <c r="L762" s="2"/>
      <c r="M762" s="2"/>
      <c r="N762" s="2"/>
      <c r="O762" s="2" t="s">
        <v>34</v>
      </c>
      <c r="P762" s="2"/>
      <c r="Q762" s="2"/>
      <c r="R762" s="2">
        <v>2800</v>
      </c>
      <c r="S762" s="2">
        <v>2156</v>
      </c>
      <c r="T762" s="13" t="str">
        <f t="shared" si="23"/>
        <v>TRPZ2507</v>
      </c>
      <c r="U762" s="2" t="s">
        <v>1644</v>
      </c>
      <c r="V762" s="2"/>
      <c r="W762" s="2">
        <v>5.95</v>
      </c>
      <c r="X762" s="2">
        <v>3.82</v>
      </c>
      <c r="Y762" s="2">
        <v>2.2400000000000002</v>
      </c>
      <c r="Z762" s="2">
        <v>0</v>
      </c>
      <c r="AA762" s="2">
        <v>0</v>
      </c>
      <c r="AB762" s="2">
        <v>1.56</v>
      </c>
      <c r="AC762" s="3" t="str">
        <f t="shared" si="22"/>
        <v>Pair</v>
      </c>
    </row>
    <row r="763" spans="1:29" x14ac:dyDescent="0.25">
      <c r="A763" s="1" t="s">
        <v>1645</v>
      </c>
      <c r="B763" s="2" t="s">
        <v>37</v>
      </c>
      <c r="C763" s="2"/>
      <c r="D763" s="2"/>
      <c r="E763" s="2" t="s">
        <v>1586</v>
      </c>
      <c r="F763" s="2">
        <v>2</v>
      </c>
      <c r="G763" s="2">
        <v>0.77</v>
      </c>
      <c r="H763" s="2" t="s">
        <v>137</v>
      </c>
      <c r="I763" s="2" t="s">
        <v>166</v>
      </c>
      <c r="J763" s="2" t="s">
        <v>69</v>
      </c>
      <c r="K763" s="2"/>
      <c r="L763" s="2"/>
      <c r="M763" s="2"/>
      <c r="N763" s="2"/>
      <c r="O763" s="2"/>
      <c r="P763" s="2"/>
      <c r="Q763" s="2"/>
      <c r="R763" s="2">
        <v>2200</v>
      </c>
      <c r="S763" s="2">
        <v>1694</v>
      </c>
      <c r="T763" s="13" t="str">
        <f t="shared" si="23"/>
        <v>TRPZ2551</v>
      </c>
      <c r="U763" s="2" t="s">
        <v>1646</v>
      </c>
      <c r="V763" s="2"/>
      <c r="W763" s="2">
        <v>6.11</v>
      </c>
      <c r="X763" s="2">
        <v>3.8</v>
      </c>
      <c r="Y763" s="2">
        <v>2.2200000000000002</v>
      </c>
      <c r="Z763" s="2">
        <v>0</v>
      </c>
      <c r="AA763" s="2">
        <v>0</v>
      </c>
      <c r="AB763" s="2">
        <v>1.61</v>
      </c>
      <c r="AC763" s="3" t="str">
        <f t="shared" si="22"/>
        <v>Pair</v>
      </c>
    </row>
    <row r="764" spans="1:29" x14ac:dyDescent="0.25">
      <c r="A764" s="1" t="s">
        <v>1647</v>
      </c>
      <c r="B764" s="2" t="s">
        <v>29</v>
      </c>
      <c r="C764" s="2"/>
      <c r="D764" s="2"/>
      <c r="E764" s="2" t="s">
        <v>1586</v>
      </c>
      <c r="F764" s="2">
        <v>2</v>
      </c>
      <c r="G764" s="2">
        <v>1.39</v>
      </c>
      <c r="H764" s="2" t="s">
        <v>43</v>
      </c>
      <c r="I764" s="2" t="s">
        <v>166</v>
      </c>
      <c r="J764" s="2" t="s">
        <v>69</v>
      </c>
      <c r="K764" s="2"/>
      <c r="L764" s="2"/>
      <c r="M764" s="2"/>
      <c r="N764" s="2"/>
      <c r="O764" s="2" t="s">
        <v>34</v>
      </c>
      <c r="P764" s="2"/>
      <c r="Q764" s="2"/>
      <c r="R764" s="2">
        <v>2600</v>
      </c>
      <c r="S764" s="2">
        <v>3614</v>
      </c>
      <c r="T764" s="13" t="str">
        <f t="shared" si="23"/>
        <v>TRPZ2553</v>
      </c>
      <c r="U764" s="2" t="s">
        <v>1648</v>
      </c>
      <c r="V764" s="2"/>
      <c r="W764" s="2">
        <v>6.9</v>
      </c>
      <c r="X764" s="2">
        <v>4.71</v>
      </c>
      <c r="Y764" s="2">
        <v>2.93</v>
      </c>
      <c r="Z764" s="2">
        <v>0</v>
      </c>
      <c r="AA764" s="2">
        <v>0</v>
      </c>
      <c r="AB764" s="2">
        <v>1.46</v>
      </c>
      <c r="AC764" s="3" t="str">
        <f t="shared" si="22"/>
        <v>Pair</v>
      </c>
    </row>
    <row r="765" spans="1:29" x14ac:dyDescent="0.25">
      <c r="A765" s="1" t="s">
        <v>1649</v>
      </c>
      <c r="B765" s="2" t="s">
        <v>37</v>
      </c>
      <c r="C765" s="2"/>
      <c r="D765" s="2"/>
      <c r="E765" s="2" t="s">
        <v>1586</v>
      </c>
      <c r="F765" s="2">
        <v>2</v>
      </c>
      <c r="G765" s="2">
        <v>0.53</v>
      </c>
      <c r="H765" s="2" t="s">
        <v>396</v>
      </c>
      <c r="I765" s="2" t="s">
        <v>166</v>
      </c>
      <c r="J765" s="2" t="s">
        <v>69</v>
      </c>
      <c r="K765" s="2"/>
      <c r="L765" s="2"/>
      <c r="M765" s="2"/>
      <c r="N765" s="2"/>
      <c r="O765" s="2" t="s">
        <v>34</v>
      </c>
      <c r="P765" s="2"/>
      <c r="Q765" s="2"/>
      <c r="R765" s="2">
        <v>1300</v>
      </c>
      <c r="S765" s="2">
        <v>689</v>
      </c>
      <c r="T765" s="13" t="str">
        <f t="shared" si="23"/>
        <v>TRPZ2574</v>
      </c>
      <c r="U765" s="2" t="s">
        <v>1650</v>
      </c>
      <c r="V765" s="2"/>
      <c r="W765" s="2">
        <v>5.74</v>
      </c>
      <c r="X765" s="2">
        <v>2.96</v>
      </c>
      <c r="Y765" s="2">
        <v>2.15</v>
      </c>
      <c r="Z765" s="2">
        <v>0</v>
      </c>
      <c r="AA765" s="2">
        <v>0</v>
      </c>
      <c r="AB765" s="2">
        <v>1.94</v>
      </c>
      <c r="AC765" s="3" t="str">
        <f t="shared" si="22"/>
        <v>Pair</v>
      </c>
    </row>
    <row r="766" spans="1:29" x14ac:dyDescent="0.25">
      <c r="A766" s="1" t="s">
        <v>1651</v>
      </c>
      <c r="B766" s="2" t="s">
        <v>37</v>
      </c>
      <c r="C766" s="2"/>
      <c r="D766" s="2"/>
      <c r="E766" s="2" t="s">
        <v>1586</v>
      </c>
      <c r="F766" s="2">
        <v>2</v>
      </c>
      <c r="G766" s="2">
        <v>1.05</v>
      </c>
      <c r="H766" s="2" t="s">
        <v>38</v>
      </c>
      <c r="I766" s="2" t="s">
        <v>166</v>
      </c>
      <c r="J766" s="2" t="s">
        <v>69</v>
      </c>
      <c r="K766" s="2"/>
      <c r="L766" s="2"/>
      <c r="M766" s="2"/>
      <c r="N766" s="2"/>
      <c r="O766" s="2" t="s">
        <v>34</v>
      </c>
      <c r="P766" s="2"/>
      <c r="Q766" s="2"/>
      <c r="R766" s="2">
        <v>3400</v>
      </c>
      <c r="S766" s="2">
        <v>3570</v>
      </c>
      <c r="T766" s="13" t="str">
        <f t="shared" si="23"/>
        <v>TRPZ2578</v>
      </c>
      <c r="U766" s="2" t="s">
        <v>1652</v>
      </c>
      <c r="V766" s="2"/>
      <c r="W766" s="2">
        <v>7.71</v>
      </c>
      <c r="X766" s="2">
        <v>4.32</v>
      </c>
      <c r="Y766" s="2">
        <v>2.4900000000000002</v>
      </c>
      <c r="Z766" s="2">
        <v>0</v>
      </c>
      <c r="AA766" s="2">
        <v>0</v>
      </c>
      <c r="AB766" s="2">
        <v>1.78</v>
      </c>
      <c r="AC766" s="3" t="str">
        <f t="shared" si="22"/>
        <v>Pair</v>
      </c>
    </row>
    <row r="767" spans="1:29" x14ac:dyDescent="0.25">
      <c r="A767" s="1" t="s">
        <v>1653</v>
      </c>
      <c r="B767" s="2" t="s">
        <v>29</v>
      </c>
      <c r="C767" s="2"/>
      <c r="D767" s="2"/>
      <c r="E767" s="2" t="s">
        <v>1586</v>
      </c>
      <c r="F767" s="2">
        <v>2</v>
      </c>
      <c r="G767" s="2">
        <v>0.7</v>
      </c>
      <c r="H767" s="2" t="s">
        <v>137</v>
      </c>
      <c r="I767" s="2" t="s">
        <v>166</v>
      </c>
      <c r="J767" s="2" t="s">
        <v>69</v>
      </c>
      <c r="K767" s="2"/>
      <c r="L767" s="2"/>
      <c r="M767" s="2"/>
      <c r="N767" s="2"/>
      <c r="O767" s="2" t="s">
        <v>34</v>
      </c>
      <c r="P767" s="2"/>
      <c r="Q767" s="2"/>
      <c r="R767" s="2">
        <v>1700</v>
      </c>
      <c r="S767" s="2">
        <v>1190</v>
      </c>
      <c r="T767" s="13" t="str">
        <f t="shared" si="23"/>
        <v>TRPZ2581</v>
      </c>
      <c r="U767" s="2" t="s">
        <v>1654</v>
      </c>
      <c r="V767" s="2"/>
      <c r="W767" s="2">
        <v>6.36</v>
      </c>
      <c r="X767" s="2">
        <v>3.24</v>
      </c>
      <c r="Y767" s="2">
        <v>2.2599999999999998</v>
      </c>
      <c r="Z767" s="2">
        <v>0</v>
      </c>
      <c r="AA767" s="2">
        <v>0</v>
      </c>
      <c r="AB767" s="2">
        <v>1.96</v>
      </c>
      <c r="AC767" s="3" t="str">
        <f t="shared" si="22"/>
        <v>Pair</v>
      </c>
    </row>
    <row r="768" spans="1:29" x14ac:dyDescent="0.25">
      <c r="A768" s="1" t="s">
        <v>1655</v>
      </c>
      <c r="B768" s="2" t="s">
        <v>37</v>
      </c>
      <c r="C768" s="2"/>
      <c r="D768" s="2"/>
      <c r="E768" s="2" t="s">
        <v>1586</v>
      </c>
      <c r="F768" s="2">
        <v>2</v>
      </c>
      <c r="G768" s="2">
        <v>0.56999999999999995</v>
      </c>
      <c r="H768" s="2" t="s">
        <v>396</v>
      </c>
      <c r="I768" s="2" t="s">
        <v>32</v>
      </c>
      <c r="J768" s="2" t="s">
        <v>33</v>
      </c>
      <c r="K768" s="2"/>
      <c r="L768" s="2"/>
      <c r="M768" s="2"/>
      <c r="N768" s="2"/>
      <c r="O768" s="2" t="s">
        <v>70</v>
      </c>
      <c r="P768" s="2"/>
      <c r="Q768" s="2"/>
      <c r="R768" s="2">
        <v>2400</v>
      </c>
      <c r="S768" s="2">
        <v>1368</v>
      </c>
      <c r="T768" s="13" t="str">
        <f t="shared" si="23"/>
        <v>TRPZ2602</v>
      </c>
      <c r="U768" s="2" t="s">
        <v>1656</v>
      </c>
      <c r="V768" s="2"/>
      <c r="W768" s="2">
        <v>5.85</v>
      </c>
      <c r="X768" s="2">
        <v>3.37</v>
      </c>
      <c r="Y768" s="2">
        <v>1.92</v>
      </c>
      <c r="Z768" s="2">
        <v>0</v>
      </c>
      <c r="AA768" s="2">
        <v>0</v>
      </c>
      <c r="AB768" s="2">
        <v>1.74</v>
      </c>
      <c r="AC768" s="3" t="str">
        <f t="shared" si="22"/>
        <v>Pair</v>
      </c>
    </row>
    <row r="769" spans="1:29" x14ac:dyDescent="0.25">
      <c r="A769" s="1" t="s">
        <v>1657</v>
      </c>
      <c r="B769" s="2" t="s">
        <v>37</v>
      </c>
      <c r="C769" s="2"/>
      <c r="D769" s="2"/>
      <c r="E769" s="2" t="s">
        <v>1586</v>
      </c>
      <c r="F769" s="2">
        <v>2</v>
      </c>
      <c r="G769" s="2">
        <v>0.93</v>
      </c>
      <c r="H769" s="2" t="s">
        <v>73</v>
      </c>
      <c r="I769" s="2" t="s">
        <v>50</v>
      </c>
      <c r="J769" s="2" t="s">
        <v>33</v>
      </c>
      <c r="K769" s="2"/>
      <c r="L769" s="2"/>
      <c r="M769" s="2"/>
      <c r="N769" s="2"/>
      <c r="O769" s="2"/>
      <c r="P769" s="2"/>
      <c r="Q769" s="2"/>
      <c r="R769" s="2">
        <v>1700</v>
      </c>
      <c r="S769" s="2">
        <v>1581</v>
      </c>
      <c r="T769" s="13" t="str">
        <f t="shared" si="23"/>
        <v>TRPZ2606</v>
      </c>
      <c r="U769" s="2" t="s">
        <v>1658</v>
      </c>
      <c r="V769" s="2"/>
      <c r="W769" s="2">
        <v>6.6</v>
      </c>
      <c r="X769" s="2">
        <v>3.53</v>
      </c>
      <c r="Y769" s="2">
        <v>2.61</v>
      </c>
      <c r="Z769" s="2">
        <v>0</v>
      </c>
      <c r="AA769" s="2">
        <v>0</v>
      </c>
      <c r="AB769" s="2">
        <v>1.87</v>
      </c>
      <c r="AC769" s="3" t="str">
        <f t="shared" si="22"/>
        <v>Pair</v>
      </c>
    </row>
    <row r="770" spans="1:29" x14ac:dyDescent="0.25">
      <c r="A770" s="1" t="s">
        <v>1659</v>
      </c>
      <c r="B770" s="2" t="s">
        <v>29</v>
      </c>
      <c r="C770" s="2"/>
      <c r="D770" s="2"/>
      <c r="E770" s="2" t="s">
        <v>1586</v>
      </c>
      <c r="F770" s="2">
        <v>1</v>
      </c>
      <c r="G770" s="2">
        <v>0.77</v>
      </c>
      <c r="H770" s="2" t="s">
        <v>49</v>
      </c>
      <c r="I770" s="2" t="s">
        <v>32</v>
      </c>
      <c r="J770" s="2" t="s">
        <v>33</v>
      </c>
      <c r="K770" s="2"/>
      <c r="L770" s="2" t="s">
        <v>43</v>
      </c>
      <c r="M770" s="2" t="s">
        <v>43</v>
      </c>
      <c r="N770" s="2" t="s">
        <v>421</v>
      </c>
      <c r="O770" s="2" t="s">
        <v>34</v>
      </c>
      <c r="P770" s="2"/>
      <c r="Q770" s="2">
        <v>7413319524</v>
      </c>
      <c r="R770" s="2">
        <v>3000</v>
      </c>
      <c r="S770" s="2">
        <v>2310</v>
      </c>
      <c r="T770" s="13" t="str">
        <f t="shared" si="23"/>
        <v>ORY004A</v>
      </c>
      <c r="U770" s="2" t="s">
        <v>1660</v>
      </c>
      <c r="V770" s="2"/>
      <c r="W770" s="2">
        <v>4.08</v>
      </c>
      <c r="X770" s="2">
        <v>9.19</v>
      </c>
      <c r="Y770" s="2">
        <v>2.71</v>
      </c>
      <c r="Z770" s="2">
        <v>29.5</v>
      </c>
      <c r="AA770" s="2">
        <v>76</v>
      </c>
      <c r="AB770" s="2">
        <v>0.44</v>
      </c>
      <c r="AC770" s="3" t="str">
        <f t="shared" ref="AC770:AC833" si="24">IF(F770=2,"Pair","Loose")</f>
        <v>Loose</v>
      </c>
    </row>
    <row r="771" spans="1:29" x14ac:dyDescent="0.25">
      <c r="A771" s="1" t="s">
        <v>1661</v>
      </c>
      <c r="B771" s="2" t="s">
        <v>29</v>
      </c>
      <c r="C771" s="2"/>
      <c r="D771" s="2"/>
      <c r="E771" s="2" t="s">
        <v>1586</v>
      </c>
      <c r="F771" s="2">
        <v>2</v>
      </c>
      <c r="G771" s="2">
        <v>0.25</v>
      </c>
      <c r="H771" s="2" t="s">
        <v>43</v>
      </c>
      <c r="I771" s="2" t="s">
        <v>50</v>
      </c>
      <c r="J771" s="2" t="s">
        <v>33</v>
      </c>
      <c r="K771" s="2"/>
      <c r="L771" s="2"/>
      <c r="M771" s="2"/>
      <c r="N771" s="2"/>
      <c r="O771" s="2" t="s">
        <v>58</v>
      </c>
      <c r="P771" s="2"/>
      <c r="Q771" s="2"/>
      <c r="R771" s="2">
        <v>1100</v>
      </c>
      <c r="S771" s="2">
        <v>275</v>
      </c>
      <c r="T771" s="13" t="str">
        <f t="shared" si="23"/>
        <v>TRPZ2641</v>
      </c>
      <c r="U771" s="2" t="s">
        <v>1662</v>
      </c>
      <c r="V771" s="2"/>
      <c r="W771" s="2">
        <v>4.7699999999999996</v>
      </c>
      <c r="X771" s="2">
        <v>2.25</v>
      </c>
      <c r="Y771" s="2">
        <v>1.6</v>
      </c>
      <c r="Z771" s="2">
        <v>0</v>
      </c>
      <c r="AA771" s="2">
        <v>0</v>
      </c>
      <c r="AB771" s="2">
        <v>2.12</v>
      </c>
      <c r="AC771" s="3" t="str">
        <f t="shared" si="24"/>
        <v>Pair</v>
      </c>
    </row>
    <row r="772" spans="1:29" x14ac:dyDescent="0.25">
      <c r="A772" s="1" t="s">
        <v>1663</v>
      </c>
      <c r="B772" s="2" t="s">
        <v>37</v>
      </c>
      <c r="C772" s="2"/>
      <c r="D772" s="2"/>
      <c r="E772" s="2" t="s">
        <v>1586</v>
      </c>
      <c r="F772" s="2">
        <v>2</v>
      </c>
      <c r="G772" s="2">
        <v>0.36</v>
      </c>
      <c r="H772" s="2" t="s">
        <v>31</v>
      </c>
      <c r="I772" s="2" t="s">
        <v>57</v>
      </c>
      <c r="J772" s="2" t="s">
        <v>33</v>
      </c>
      <c r="K772" s="2"/>
      <c r="L772" s="2"/>
      <c r="M772" s="2"/>
      <c r="N772" s="2"/>
      <c r="O772" s="2"/>
      <c r="P772" s="2"/>
      <c r="Q772" s="2"/>
      <c r="R772" s="2">
        <v>1700</v>
      </c>
      <c r="S772" s="2">
        <v>612</v>
      </c>
      <c r="T772" s="13" t="str">
        <f t="shared" si="23"/>
        <v>TRPZ2639C</v>
      </c>
      <c r="U772" s="2" t="s">
        <v>1664</v>
      </c>
      <c r="V772" s="2"/>
      <c r="W772" s="2">
        <v>4.9800000000000004</v>
      </c>
      <c r="X772" s="2">
        <v>2.69</v>
      </c>
      <c r="Y772" s="2">
        <v>1.9</v>
      </c>
      <c r="Z772" s="2">
        <v>0</v>
      </c>
      <c r="AA772" s="2">
        <v>0</v>
      </c>
      <c r="AB772" s="2">
        <v>1.85</v>
      </c>
      <c r="AC772" s="3" t="str">
        <f t="shared" si="24"/>
        <v>Pair</v>
      </c>
    </row>
    <row r="773" spans="1:29" x14ac:dyDescent="0.25">
      <c r="A773" s="1" t="s">
        <v>1665</v>
      </c>
      <c r="B773" s="2" t="s">
        <v>37</v>
      </c>
      <c r="C773" s="2"/>
      <c r="D773" s="2"/>
      <c r="E773" s="2" t="s">
        <v>1586</v>
      </c>
      <c r="F773" s="2">
        <v>2</v>
      </c>
      <c r="G773" s="2">
        <v>0.77</v>
      </c>
      <c r="H773" s="2" t="s">
        <v>137</v>
      </c>
      <c r="I773" s="2" t="s">
        <v>32</v>
      </c>
      <c r="J773" s="2" t="s">
        <v>397</v>
      </c>
      <c r="K773" s="2"/>
      <c r="L773" s="2"/>
      <c r="M773" s="2"/>
      <c r="N773" s="2"/>
      <c r="O773" s="2"/>
      <c r="P773" s="2"/>
      <c r="Q773" s="2"/>
      <c r="R773" s="2">
        <v>3900</v>
      </c>
      <c r="S773" s="2">
        <v>3003</v>
      </c>
      <c r="T773" s="13" t="str">
        <f t="shared" si="23"/>
        <v>TRPZ2645</v>
      </c>
      <c r="U773" s="2" t="s">
        <v>1666</v>
      </c>
      <c r="V773" s="2"/>
      <c r="W773" s="2">
        <v>3.22</v>
      </c>
      <c r="X773" s="2">
        <v>7</v>
      </c>
      <c r="Y773" s="2">
        <v>2.21</v>
      </c>
      <c r="Z773" s="2">
        <v>0</v>
      </c>
      <c r="AA773" s="2">
        <v>0</v>
      </c>
      <c r="AB773" s="2">
        <v>0.46</v>
      </c>
      <c r="AC773" s="3" t="str">
        <f t="shared" si="24"/>
        <v>Pair</v>
      </c>
    </row>
    <row r="774" spans="1:29" x14ac:dyDescent="0.25">
      <c r="A774" s="1" t="s">
        <v>1667</v>
      </c>
      <c r="B774" s="2" t="s">
        <v>37</v>
      </c>
      <c r="C774" s="2"/>
      <c r="D774" s="2"/>
      <c r="E774" s="2" t="s">
        <v>1586</v>
      </c>
      <c r="F774" s="2">
        <v>2</v>
      </c>
      <c r="G774" s="2">
        <v>0.18</v>
      </c>
      <c r="H774" s="2" t="s">
        <v>137</v>
      </c>
      <c r="I774" s="2" t="s">
        <v>57</v>
      </c>
      <c r="J774" s="2" t="s">
        <v>33</v>
      </c>
      <c r="K774" s="2"/>
      <c r="L774" s="2"/>
      <c r="M774" s="2"/>
      <c r="N774" s="2"/>
      <c r="O774" s="2" t="s">
        <v>34</v>
      </c>
      <c r="P774" s="2"/>
      <c r="Q774" s="2"/>
      <c r="R774" s="2">
        <v>1600</v>
      </c>
      <c r="S774" s="2">
        <v>288</v>
      </c>
      <c r="T774" s="13" t="str">
        <f t="shared" si="23"/>
        <v>TRPZ2651</v>
      </c>
      <c r="U774" s="2" t="s">
        <v>1668</v>
      </c>
      <c r="V774" s="2"/>
      <c r="W774" s="2">
        <v>4.38</v>
      </c>
      <c r="X774" s="2">
        <v>2.33</v>
      </c>
      <c r="Y774" s="2">
        <v>1.48</v>
      </c>
      <c r="Z774" s="2">
        <v>0</v>
      </c>
      <c r="AA774" s="2">
        <v>0</v>
      </c>
      <c r="AB774" s="2">
        <v>1.88</v>
      </c>
      <c r="AC774" s="3" t="str">
        <f t="shared" si="24"/>
        <v>Pair</v>
      </c>
    </row>
    <row r="775" spans="1:29" x14ac:dyDescent="0.25">
      <c r="A775" s="1" t="s">
        <v>1669</v>
      </c>
      <c r="B775" s="2" t="s">
        <v>29</v>
      </c>
      <c r="C775" s="2"/>
      <c r="D775" s="2"/>
      <c r="E775" s="2" t="s">
        <v>1586</v>
      </c>
      <c r="F775" s="2">
        <v>2</v>
      </c>
      <c r="G775" s="2">
        <v>0.21</v>
      </c>
      <c r="H775" s="2" t="s">
        <v>43</v>
      </c>
      <c r="I775" s="2" t="s">
        <v>57</v>
      </c>
      <c r="J775" s="2" t="s">
        <v>33</v>
      </c>
      <c r="K775" s="2"/>
      <c r="L775" s="2"/>
      <c r="M775" s="2"/>
      <c r="N775" s="2"/>
      <c r="O775" s="2"/>
      <c r="P775" s="2"/>
      <c r="Q775" s="2"/>
      <c r="R775" s="2">
        <v>1300</v>
      </c>
      <c r="S775" s="2">
        <v>273</v>
      </c>
      <c r="T775" s="13" t="str">
        <f t="shared" ref="T775:T838" si="25">IF(OR(TRIM(A775&amp;"")="",TRIM(A775&amp;"")="0"),"",HYPERLINK("https://gs.gsdiamonds.com/StoneDetails.aspx?name=" &amp; _xlfn.ENCODEURL(TRIM(A775&amp;"")), TRIM(A775&amp;"")))</f>
        <v>TRPZ2678</v>
      </c>
      <c r="U775" s="2" t="s">
        <v>1670</v>
      </c>
      <c r="V775" s="2"/>
      <c r="W775" s="2">
        <v>4.3899999999999997</v>
      </c>
      <c r="X775" s="2">
        <v>2.54</v>
      </c>
      <c r="Y775" s="2">
        <v>1.33</v>
      </c>
      <c r="Z775" s="2">
        <v>0</v>
      </c>
      <c r="AA775" s="2">
        <v>0</v>
      </c>
      <c r="AB775" s="2">
        <v>1.73</v>
      </c>
      <c r="AC775" s="3" t="str">
        <f t="shared" si="24"/>
        <v>Pair</v>
      </c>
    </row>
    <row r="776" spans="1:29" x14ac:dyDescent="0.25">
      <c r="A776" s="1" t="s">
        <v>1671</v>
      </c>
      <c r="B776" s="2" t="s">
        <v>37</v>
      </c>
      <c r="C776" s="2"/>
      <c r="D776" s="2"/>
      <c r="E776" s="2" t="s">
        <v>1586</v>
      </c>
      <c r="F776" s="2">
        <v>2</v>
      </c>
      <c r="G776" s="2">
        <v>0.4</v>
      </c>
      <c r="H776" s="2" t="s">
        <v>31</v>
      </c>
      <c r="I776" s="2" t="s">
        <v>50</v>
      </c>
      <c r="J776" s="2" t="s">
        <v>33</v>
      </c>
      <c r="K776" s="2"/>
      <c r="L776" s="2"/>
      <c r="M776" s="2"/>
      <c r="N776" s="2"/>
      <c r="O776" s="2"/>
      <c r="P776" s="2"/>
      <c r="Q776" s="2"/>
      <c r="R776" s="2">
        <v>1300</v>
      </c>
      <c r="S776" s="2">
        <v>520</v>
      </c>
      <c r="T776" s="13" t="str">
        <f t="shared" si="25"/>
        <v>TRPZ2681</v>
      </c>
      <c r="U776" s="2" t="s">
        <v>1672</v>
      </c>
      <c r="V776" s="2"/>
      <c r="W776" s="2">
        <v>5.27</v>
      </c>
      <c r="X776" s="2">
        <v>2.61</v>
      </c>
      <c r="Y776" s="2">
        <v>1.83</v>
      </c>
      <c r="Z776" s="2">
        <v>0</v>
      </c>
      <c r="AA776" s="2">
        <v>0</v>
      </c>
      <c r="AB776" s="2">
        <v>2.02</v>
      </c>
      <c r="AC776" s="3" t="str">
        <f t="shared" si="24"/>
        <v>Pair</v>
      </c>
    </row>
    <row r="777" spans="1:29" x14ac:dyDescent="0.25">
      <c r="A777" s="1" t="s">
        <v>1673</v>
      </c>
      <c r="B777" s="2" t="s">
        <v>29</v>
      </c>
      <c r="C777" s="2"/>
      <c r="D777" s="2"/>
      <c r="E777" s="2" t="s">
        <v>1586</v>
      </c>
      <c r="F777" s="2">
        <v>2</v>
      </c>
      <c r="G777" s="2">
        <v>0.27</v>
      </c>
      <c r="H777" s="2" t="s">
        <v>137</v>
      </c>
      <c r="I777" s="2" t="s">
        <v>57</v>
      </c>
      <c r="J777" s="2" t="s">
        <v>33</v>
      </c>
      <c r="K777" s="2"/>
      <c r="L777" s="2"/>
      <c r="M777" s="2"/>
      <c r="N777" s="2"/>
      <c r="O777" s="2"/>
      <c r="P777" s="2"/>
      <c r="Q777" s="2"/>
      <c r="R777" s="2">
        <v>2100</v>
      </c>
      <c r="S777" s="2">
        <v>567</v>
      </c>
      <c r="T777" s="13" t="str">
        <f t="shared" si="25"/>
        <v>TRPZ2684</v>
      </c>
      <c r="U777" s="2" t="s">
        <v>1674</v>
      </c>
      <c r="V777" s="2"/>
      <c r="W777" s="2">
        <v>5.5</v>
      </c>
      <c r="X777" s="2">
        <v>2.17</v>
      </c>
      <c r="Y777" s="2">
        <v>1.67</v>
      </c>
      <c r="Z777" s="2">
        <v>0</v>
      </c>
      <c r="AA777" s="2">
        <v>0</v>
      </c>
      <c r="AB777" s="2">
        <v>2.5299999999999998</v>
      </c>
      <c r="AC777" s="3" t="str">
        <f t="shared" si="24"/>
        <v>Pair</v>
      </c>
    </row>
    <row r="778" spans="1:29" x14ac:dyDescent="0.25">
      <c r="A778" s="1" t="s">
        <v>1675</v>
      </c>
      <c r="B778" s="2" t="s">
        <v>37</v>
      </c>
      <c r="C778" s="2"/>
      <c r="D778" s="2"/>
      <c r="E778" s="2" t="s">
        <v>1586</v>
      </c>
      <c r="F778" s="2">
        <v>2</v>
      </c>
      <c r="G778" s="2">
        <v>0.74</v>
      </c>
      <c r="H778" s="2" t="s">
        <v>43</v>
      </c>
      <c r="I778" s="2" t="s">
        <v>57</v>
      </c>
      <c r="J778" s="2" t="s">
        <v>33</v>
      </c>
      <c r="K778" s="2"/>
      <c r="L778" s="2"/>
      <c r="M778" s="2"/>
      <c r="N778" s="2"/>
      <c r="O778" s="2" t="s">
        <v>61</v>
      </c>
      <c r="P778" s="2"/>
      <c r="Q778" s="2"/>
      <c r="R778" s="2">
        <v>2800</v>
      </c>
      <c r="S778" s="2">
        <v>2072</v>
      </c>
      <c r="T778" s="13" t="str">
        <f t="shared" si="25"/>
        <v>TRPZ2696</v>
      </c>
      <c r="U778" s="2" t="s">
        <v>1676</v>
      </c>
      <c r="V778" s="2"/>
      <c r="W778" s="2">
        <v>6.33</v>
      </c>
      <c r="X778" s="2">
        <v>3.85</v>
      </c>
      <c r="Y778" s="2">
        <v>2.2000000000000002</v>
      </c>
      <c r="Z778" s="2">
        <v>0</v>
      </c>
      <c r="AA778" s="2">
        <v>0</v>
      </c>
      <c r="AB778" s="2">
        <v>1.64</v>
      </c>
      <c r="AC778" s="3" t="str">
        <f t="shared" si="24"/>
        <v>Pair</v>
      </c>
    </row>
    <row r="779" spans="1:29" x14ac:dyDescent="0.25">
      <c r="A779" s="1" t="s">
        <v>1677</v>
      </c>
      <c r="B779" s="2" t="s">
        <v>29</v>
      </c>
      <c r="C779" s="2"/>
      <c r="D779" s="2"/>
      <c r="E779" s="2" t="s">
        <v>1586</v>
      </c>
      <c r="F779" s="2">
        <v>2</v>
      </c>
      <c r="G779" s="2">
        <v>0.76</v>
      </c>
      <c r="H779" s="2" t="s">
        <v>396</v>
      </c>
      <c r="I779" s="2" t="s">
        <v>50</v>
      </c>
      <c r="J779" s="2" t="s">
        <v>33</v>
      </c>
      <c r="K779" s="2"/>
      <c r="L779" s="2"/>
      <c r="M779" s="2"/>
      <c r="N779" s="2"/>
      <c r="O779" s="2" t="s">
        <v>34</v>
      </c>
      <c r="P779" s="2"/>
      <c r="Q779" s="2"/>
      <c r="R779" s="2">
        <v>3500</v>
      </c>
      <c r="S779" s="2">
        <v>2660</v>
      </c>
      <c r="T779" s="13" t="str">
        <f t="shared" si="25"/>
        <v>TRPZ2703</v>
      </c>
      <c r="U779" s="2" t="s">
        <v>1678</v>
      </c>
      <c r="V779" s="2"/>
      <c r="W779" s="2">
        <v>7.9</v>
      </c>
      <c r="X779" s="2">
        <v>3.46</v>
      </c>
      <c r="Y779" s="2">
        <v>1.98</v>
      </c>
      <c r="Z779" s="2">
        <v>0</v>
      </c>
      <c r="AA779" s="2">
        <v>0</v>
      </c>
      <c r="AB779" s="2">
        <v>2.2799999999999998</v>
      </c>
      <c r="AC779" s="3" t="str">
        <f t="shared" si="24"/>
        <v>Pair</v>
      </c>
    </row>
    <row r="780" spans="1:29" x14ac:dyDescent="0.25">
      <c r="A780" s="1" t="s">
        <v>1679</v>
      </c>
      <c r="B780" s="2" t="s">
        <v>37</v>
      </c>
      <c r="C780" s="2"/>
      <c r="D780" s="2"/>
      <c r="E780" s="2" t="s">
        <v>1586</v>
      </c>
      <c r="F780" s="2">
        <v>2</v>
      </c>
      <c r="G780" s="2">
        <v>0.35</v>
      </c>
      <c r="H780" s="2" t="s">
        <v>396</v>
      </c>
      <c r="I780" s="2" t="s">
        <v>53</v>
      </c>
      <c r="J780" s="2" t="s">
        <v>33</v>
      </c>
      <c r="K780" s="2"/>
      <c r="L780" s="2"/>
      <c r="M780" s="2"/>
      <c r="N780" s="2"/>
      <c r="O780" s="2" t="s">
        <v>34</v>
      </c>
      <c r="P780" s="2"/>
      <c r="Q780" s="2"/>
      <c r="R780" s="2">
        <v>2100</v>
      </c>
      <c r="S780" s="2">
        <v>735</v>
      </c>
      <c r="T780" s="13" t="str">
        <f t="shared" si="25"/>
        <v>TRPZ2704</v>
      </c>
      <c r="U780" s="2" t="s">
        <v>1680</v>
      </c>
      <c r="V780" s="2"/>
      <c r="W780" s="2">
        <v>4.78</v>
      </c>
      <c r="X780" s="2">
        <v>2.71</v>
      </c>
      <c r="Y780" s="2">
        <v>1.88</v>
      </c>
      <c r="Z780" s="2">
        <v>0</v>
      </c>
      <c r="AA780" s="2">
        <v>0</v>
      </c>
      <c r="AB780" s="2">
        <v>1.76</v>
      </c>
      <c r="AC780" s="3" t="str">
        <f t="shared" si="24"/>
        <v>Pair</v>
      </c>
    </row>
    <row r="781" spans="1:29" x14ac:dyDescent="0.25">
      <c r="A781" s="1" t="s">
        <v>1681</v>
      </c>
      <c r="B781" s="2" t="s">
        <v>37</v>
      </c>
      <c r="C781" s="2"/>
      <c r="D781" s="2"/>
      <c r="E781" s="2" t="s">
        <v>1586</v>
      </c>
      <c r="F781" s="2">
        <v>2</v>
      </c>
      <c r="G781" s="2">
        <v>0.65</v>
      </c>
      <c r="H781" s="2" t="s">
        <v>137</v>
      </c>
      <c r="I781" s="2" t="s">
        <v>68</v>
      </c>
      <c r="J781" s="2" t="s">
        <v>33</v>
      </c>
      <c r="K781" s="2"/>
      <c r="L781" s="2"/>
      <c r="M781" s="2"/>
      <c r="N781" s="2"/>
      <c r="O781" s="2" t="s">
        <v>909</v>
      </c>
      <c r="P781" s="2"/>
      <c r="Q781" s="2"/>
      <c r="R781" s="2">
        <v>3000</v>
      </c>
      <c r="S781" s="2">
        <v>1950</v>
      </c>
      <c r="T781" s="13" t="str">
        <f t="shared" si="25"/>
        <v>TRPZ2708</v>
      </c>
      <c r="U781" s="2" t="s">
        <v>1682</v>
      </c>
      <c r="V781" s="2"/>
      <c r="W781" s="2">
        <v>5.71</v>
      </c>
      <c r="X781" s="2">
        <v>3.76</v>
      </c>
      <c r="Y781" s="2">
        <v>2.15</v>
      </c>
      <c r="Z781" s="2">
        <v>0</v>
      </c>
      <c r="AA781" s="2">
        <v>0</v>
      </c>
      <c r="AB781" s="2">
        <v>1.52</v>
      </c>
      <c r="AC781" s="3" t="str">
        <f t="shared" si="24"/>
        <v>Pair</v>
      </c>
    </row>
    <row r="782" spans="1:29" x14ac:dyDescent="0.25">
      <c r="A782" s="1" t="s">
        <v>1683</v>
      </c>
      <c r="B782" s="2" t="s">
        <v>37</v>
      </c>
      <c r="C782" s="2"/>
      <c r="D782" s="2"/>
      <c r="E782" s="2" t="s">
        <v>1586</v>
      </c>
      <c r="F782" s="2">
        <v>2</v>
      </c>
      <c r="G782" s="2">
        <v>0.4</v>
      </c>
      <c r="H782" s="2" t="s">
        <v>49</v>
      </c>
      <c r="I782" s="2" t="s">
        <v>57</v>
      </c>
      <c r="J782" s="2" t="s">
        <v>33</v>
      </c>
      <c r="K782" s="2"/>
      <c r="L782" s="2"/>
      <c r="M782" s="2"/>
      <c r="N782" s="2"/>
      <c r="O782" s="2"/>
      <c r="P782" s="2"/>
      <c r="Q782" s="2"/>
      <c r="R782" s="2">
        <v>1700</v>
      </c>
      <c r="S782" s="2">
        <v>680</v>
      </c>
      <c r="T782" s="13" t="str">
        <f t="shared" si="25"/>
        <v>TRPZ2710</v>
      </c>
      <c r="U782" s="2" t="s">
        <v>1684</v>
      </c>
      <c r="V782" s="2"/>
      <c r="W782" s="2">
        <v>5.0199999999999996</v>
      </c>
      <c r="X782" s="2">
        <v>2.84</v>
      </c>
      <c r="Y782" s="2">
        <v>2.0099999999999998</v>
      </c>
      <c r="Z782" s="2">
        <v>0</v>
      </c>
      <c r="AA782" s="2">
        <v>0</v>
      </c>
      <c r="AB782" s="2">
        <v>1.77</v>
      </c>
      <c r="AC782" s="3" t="str">
        <f t="shared" si="24"/>
        <v>Pair</v>
      </c>
    </row>
    <row r="783" spans="1:29" x14ac:dyDescent="0.25">
      <c r="A783" s="1" t="s">
        <v>1685</v>
      </c>
      <c r="B783" s="2" t="s">
        <v>37</v>
      </c>
      <c r="C783" s="2"/>
      <c r="D783" s="2"/>
      <c r="E783" s="2" t="s">
        <v>1586</v>
      </c>
      <c r="F783" s="2">
        <v>2</v>
      </c>
      <c r="G783" s="2">
        <v>0.4</v>
      </c>
      <c r="H783" s="2" t="s">
        <v>396</v>
      </c>
      <c r="I783" s="2" t="s">
        <v>39</v>
      </c>
      <c r="J783" s="2" t="s">
        <v>33</v>
      </c>
      <c r="K783" s="2"/>
      <c r="L783" s="2"/>
      <c r="M783" s="2"/>
      <c r="N783" s="2"/>
      <c r="O783" s="2" t="s">
        <v>34</v>
      </c>
      <c r="P783" s="2"/>
      <c r="Q783" s="2"/>
      <c r="R783" s="2">
        <v>2200</v>
      </c>
      <c r="S783" s="2">
        <v>880</v>
      </c>
      <c r="T783" s="13" t="str">
        <f t="shared" si="25"/>
        <v>TRPZ2711</v>
      </c>
      <c r="U783" s="2" t="s">
        <v>1686</v>
      </c>
      <c r="V783" s="2"/>
      <c r="W783" s="2">
        <v>5.0199999999999996</v>
      </c>
      <c r="X783" s="2">
        <v>2.9</v>
      </c>
      <c r="Y783" s="2">
        <v>1.94</v>
      </c>
      <c r="Z783" s="2">
        <v>0</v>
      </c>
      <c r="AA783" s="2">
        <v>0</v>
      </c>
      <c r="AB783" s="2">
        <v>1.73</v>
      </c>
      <c r="AC783" s="3" t="str">
        <f t="shared" si="24"/>
        <v>Pair</v>
      </c>
    </row>
    <row r="784" spans="1:29" x14ac:dyDescent="0.25">
      <c r="A784" s="1" t="s">
        <v>1687</v>
      </c>
      <c r="B784" s="2" t="s">
        <v>37</v>
      </c>
      <c r="C784" s="2"/>
      <c r="D784" s="2"/>
      <c r="E784" s="2" t="s">
        <v>1586</v>
      </c>
      <c r="F784" s="2">
        <v>2</v>
      </c>
      <c r="G784" s="2">
        <v>0.2</v>
      </c>
      <c r="H784" s="2" t="s">
        <v>396</v>
      </c>
      <c r="I784" s="2" t="s">
        <v>39</v>
      </c>
      <c r="J784" s="2" t="s">
        <v>33</v>
      </c>
      <c r="K784" s="2"/>
      <c r="L784" s="2"/>
      <c r="M784" s="2"/>
      <c r="N784" s="2"/>
      <c r="O784" s="2" t="s">
        <v>34</v>
      </c>
      <c r="P784" s="2"/>
      <c r="Q784" s="2"/>
      <c r="R784" s="2">
        <v>1700</v>
      </c>
      <c r="S784" s="2">
        <v>340</v>
      </c>
      <c r="T784" s="13" t="str">
        <f t="shared" si="25"/>
        <v>TRPZ2714</v>
      </c>
      <c r="U784" s="2" t="s">
        <v>1688</v>
      </c>
      <c r="V784" s="2"/>
      <c r="W784" s="2">
        <v>4.05</v>
      </c>
      <c r="X784" s="2">
        <v>2.2400000000000002</v>
      </c>
      <c r="Y784" s="2">
        <v>1.55</v>
      </c>
      <c r="Z784" s="2">
        <v>0</v>
      </c>
      <c r="AA784" s="2">
        <v>0</v>
      </c>
      <c r="AB784" s="2">
        <v>1.81</v>
      </c>
      <c r="AC784" s="3" t="str">
        <f t="shared" si="24"/>
        <v>Pair</v>
      </c>
    </row>
    <row r="785" spans="1:29" x14ac:dyDescent="0.25">
      <c r="A785" s="1" t="s">
        <v>1689</v>
      </c>
      <c r="B785" s="2" t="s">
        <v>37</v>
      </c>
      <c r="C785" s="2"/>
      <c r="D785" s="2"/>
      <c r="E785" s="2" t="s">
        <v>1586</v>
      </c>
      <c r="F785" s="2">
        <v>2</v>
      </c>
      <c r="G785" s="2">
        <v>0.17</v>
      </c>
      <c r="H785" s="2" t="s">
        <v>137</v>
      </c>
      <c r="I785" s="2" t="s">
        <v>32</v>
      </c>
      <c r="J785" s="2" t="s">
        <v>33</v>
      </c>
      <c r="K785" s="2"/>
      <c r="L785" s="2"/>
      <c r="M785" s="2"/>
      <c r="N785" s="2"/>
      <c r="O785" s="2"/>
      <c r="P785" s="2"/>
      <c r="Q785" s="2"/>
      <c r="R785" s="2">
        <v>1200</v>
      </c>
      <c r="S785" s="2">
        <v>204</v>
      </c>
      <c r="T785" s="13" t="str">
        <f t="shared" si="25"/>
        <v>TRPZ2723</v>
      </c>
      <c r="U785" s="2" t="s">
        <v>1690</v>
      </c>
      <c r="V785" s="2"/>
      <c r="W785" s="2">
        <v>4.01</v>
      </c>
      <c r="X785" s="2">
        <v>1.72</v>
      </c>
      <c r="Y785" s="2">
        <v>1.47</v>
      </c>
      <c r="Z785" s="2">
        <v>0</v>
      </c>
      <c r="AA785" s="2">
        <v>0</v>
      </c>
      <c r="AB785" s="2">
        <v>2.33</v>
      </c>
      <c r="AC785" s="3" t="str">
        <f t="shared" si="24"/>
        <v>Pair</v>
      </c>
    </row>
    <row r="786" spans="1:29" x14ac:dyDescent="0.25">
      <c r="A786" s="1" t="s">
        <v>1691</v>
      </c>
      <c r="B786" s="2" t="s">
        <v>37</v>
      </c>
      <c r="C786" s="2"/>
      <c r="D786" s="2"/>
      <c r="E786" s="2" t="s">
        <v>1586</v>
      </c>
      <c r="F786" s="2">
        <v>2</v>
      </c>
      <c r="G786" s="2">
        <v>0.16</v>
      </c>
      <c r="H786" s="2" t="s">
        <v>43</v>
      </c>
      <c r="I786" s="2" t="s">
        <v>32</v>
      </c>
      <c r="J786" s="2" t="s">
        <v>33</v>
      </c>
      <c r="K786" s="2"/>
      <c r="L786" s="2"/>
      <c r="M786" s="2"/>
      <c r="N786" s="2"/>
      <c r="O786" s="2"/>
      <c r="P786" s="2"/>
      <c r="Q786" s="2"/>
      <c r="R786" s="2">
        <v>1200</v>
      </c>
      <c r="S786" s="2">
        <v>192</v>
      </c>
      <c r="T786" s="13" t="str">
        <f t="shared" si="25"/>
        <v>TRPZ2726</v>
      </c>
      <c r="U786" s="2" t="s">
        <v>1692</v>
      </c>
      <c r="V786" s="2"/>
      <c r="W786" s="2">
        <v>3.17</v>
      </c>
      <c r="X786" s="2">
        <v>2.04</v>
      </c>
      <c r="Y786" s="2">
        <v>1.76</v>
      </c>
      <c r="Z786" s="2">
        <v>0</v>
      </c>
      <c r="AA786" s="2">
        <v>0</v>
      </c>
      <c r="AB786" s="2">
        <v>1.55</v>
      </c>
      <c r="AC786" s="3" t="str">
        <f t="shared" si="24"/>
        <v>Pair</v>
      </c>
    </row>
    <row r="787" spans="1:29" x14ac:dyDescent="0.25">
      <c r="A787" s="1" t="s">
        <v>1693</v>
      </c>
      <c r="B787" s="2" t="s">
        <v>29</v>
      </c>
      <c r="C787" s="2"/>
      <c r="D787" s="2"/>
      <c r="E787" s="2" t="s">
        <v>1586</v>
      </c>
      <c r="F787" s="2">
        <v>1</v>
      </c>
      <c r="G787" s="2">
        <v>0.45</v>
      </c>
      <c r="H787" s="2" t="s">
        <v>67</v>
      </c>
      <c r="I787" s="2" t="s">
        <v>53</v>
      </c>
      <c r="J787" s="2" t="s">
        <v>69</v>
      </c>
      <c r="K787" s="2"/>
      <c r="L787" s="2" t="s">
        <v>43</v>
      </c>
      <c r="M787" s="2" t="s">
        <v>43</v>
      </c>
      <c r="N787" s="2" t="s">
        <v>421</v>
      </c>
      <c r="O787" s="2" t="s">
        <v>58</v>
      </c>
      <c r="P787" s="2"/>
      <c r="Q787" s="2">
        <v>7402943518</v>
      </c>
      <c r="R787" s="2">
        <v>3000</v>
      </c>
      <c r="S787" s="2">
        <v>1350</v>
      </c>
      <c r="T787" s="13" t="str">
        <f t="shared" si="25"/>
        <v>LDRL011AA</v>
      </c>
      <c r="U787" s="2" t="s">
        <v>1694</v>
      </c>
      <c r="V787" s="2"/>
      <c r="W787" s="2">
        <v>3.68</v>
      </c>
      <c r="X787" s="2">
        <v>7.7</v>
      </c>
      <c r="Y787" s="2">
        <v>2.14</v>
      </c>
      <c r="Z787" s="2">
        <v>27.8</v>
      </c>
      <c r="AA787" s="2">
        <v>75</v>
      </c>
      <c r="AB787" s="2">
        <v>0.48</v>
      </c>
      <c r="AC787" s="3" t="str">
        <f t="shared" si="24"/>
        <v>Loose</v>
      </c>
    </row>
    <row r="788" spans="1:29" x14ac:dyDescent="0.25">
      <c r="A788" s="1" t="s">
        <v>1695</v>
      </c>
      <c r="B788" s="2" t="s">
        <v>29</v>
      </c>
      <c r="C788" s="2"/>
      <c r="D788" s="2"/>
      <c r="E788" s="2" t="s">
        <v>1586</v>
      </c>
      <c r="F788" s="2">
        <v>1</v>
      </c>
      <c r="G788" s="2">
        <v>0.16</v>
      </c>
      <c r="H788" s="2" t="s">
        <v>49</v>
      </c>
      <c r="I788" s="2" t="s">
        <v>32</v>
      </c>
      <c r="J788" s="2" t="s">
        <v>33</v>
      </c>
      <c r="K788" s="2"/>
      <c r="L788" s="2"/>
      <c r="M788" s="2"/>
      <c r="N788" s="2"/>
      <c r="O788" s="2" t="s">
        <v>61</v>
      </c>
      <c r="P788" s="2"/>
      <c r="Q788" s="2"/>
      <c r="R788" s="2">
        <v>870</v>
      </c>
      <c r="S788" s="2">
        <v>139.19999999999999</v>
      </c>
      <c r="T788" s="13" t="str">
        <f t="shared" si="25"/>
        <v>LDRL010AAA</v>
      </c>
      <c r="U788" s="2" t="s">
        <v>1696</v>
      </c>
      <c r="V788" s="2"/>
      <c r="W788" s="2">
        <v>4.78</v>
      </c>
      <c r="X788" s="2">
        <v>2.48</v>
      </c>
      <c r="Y788" s="2">
        <v>1.69</v>
      </c>
      <c r="Z788" s="2">
        <v>0</v>
      </c>
      <c r="AA788" s="2">
        <v>0</v>
      </c>
      <c r="AB788" s="2">
        <v>1.93</v>
      </c>
      <c r="AC788" s="3" t="str">
        <f t="shared" si="24"/>
        <v>Loose</v>
      </c>
    </row>
    <row r="789" spans="1:29" x14ac:dyDescent="0.25">
      <c r="A789" s="1" t="s">
        <v>1697</v>
      </c>
      <c r="B789" s="2" t="s">
        <v>37</v>
      </c>
      <c r="C789" s="2"/>
      <c r="D789" s="2"/>
      <c r="E789" s="2" t="s">
        <v>1586</v>
      </c>
      <c r="F789" s="2">
        <v>2</v>
      </c>
      <c r="G789" s="2">
        <v>0.38</v>
      </c>
      <c r="H789" s="2" t="s">
        <v>38</v>
      </c>
      <c r="I789" s="2" t="s">
        <v>57</v>
      </c>
      <c r="J789" s="2" t="s">
        <v>33</v>
      </c>
      <c r="K789" s="2"/>
      <c r="L789" s="2"/>
      <c r="M789" s="2"/>
      <c r="N789" s="2"/>
      <c r="O789" s="2" t="s">
        <v>70</v>
      </c>
      <c r="P789" s="2"/>
      <c r="Q789" s="2"/>
      <c r="R789" s="2">
        <v>2100</v>
      </c>
      <c r="S789" s="2">
        <v>798</v>
      </c>
      <c r="T789" s="13" t="str">
        <f t="shared" si="25"/>
        <v>TRPZ2733</v>
      </c>
      <c r="U789" s="2" t="s">
        <v>1698</v>
      </c>
      <c r="V789" s="2"/>
      <c r="W789" s="2">
        <v>5.0199999999999996</v>
      </c>
      <c r="X789" s="2">
        <v>2.65</v>
      </c>
      <c r="Y789" s="2">
        <v>1.87</v>
      </c>
      <c r="Z789" s="2">
        <v>0</v>
      </c>
      <c r="AA789" s="2">
        <v>0</v>
      </c>
      <c r="AB789" s="2">
        <v>1.89</v>
      </c>
      <c r="AC789" s="3" t="str">
        <f t="shared" si="24"/>
        <v>Pair</v>
      </c>
    </row>
    <row r="790" spans="1:29" x14ac:dyDescent="0.25">
      <c r="A790" s="1" t="s">
        <v>1699</v>
      </c>
      <c r="B790" s="2" t="s">
        <v>29</v>
      </c>
      <c r="C790" s="2"/>
      <c r="D790" s="2"/>
      <c r="E790" s="2" t="s">
        <v>1586</v>
      </c>
      <c r="F790" s="2">
        <v>2</v>
      </c>
      <c r="G790" s="2">
        <v>0.2</v>
      </c>
      <c r="H790" s="2" t="s">
        <v>396</v>
      </c>
      <c r="I790" s="2" t="s">
        <v>53</v>
      </c>
      <c r="J790" s="2" t="s">
        <v>33</v>
      </c>
      <c r="K790" s="2"/>
      <c r="L790" s="2"/>
      <c r="M790" s="2"/>
      <c r="N790" s="2"/>
      <c r="O790" s="2" t="s">
        <v>34</v>
      </c>
      <c r="P790" s="2"/>
      <c r="Q790" s="2"/>
      <c r="R790" s="2">
        <v>1600</v>
      </c>
      <c r="S790" s="2">
        <v>320</v>
      </c>
      <c r="T790" s="13" t="str">
        <f t="shared" si="25"/>
        <v>TRPZ2737</v>
      </c>
      <c r="U790" s="2" t="s">
        <v>1700</v>
      </c>
      <c r="V790" s="2"/>
      <c r="W790" s="2">
        <v>4.03</v>
      </c>
      <c r="X790" s="2">
        <v>2.15</v>
      </c>
      <c r="Y790" s="2">
        <v>1.72</v>
      </c>
      <c r="Z790" s="2">
        <v>0</v>
      </c>
      <c r="AA790" s="2">
        <v>0</v>
      </c>
      <c r="AB790" s="2">
        <v>1.87</v>
      </c>
      <c r="AC790" s="3" t="str">
        <f t="shared" si="24"/>
        <v>Pair</v>
      </c>
    </row>
    <row r="791" spans="1:29" x14ac:dyDescent="0.25">
      <c r="A791" s="1" t="s">
        <v>1701</v>
      </c>
      <c r="B791" s="2" t="s">
        <v>37</v>
      </c>
      <c r="C791" s="2"/>
      <c r="D791" s="2"/>
      <c r="E791" s="2" t="s">
        <v>1586</v>
      </c>
      <c r="F791" s="2">
        <v>2</v>
      </c>
      <c r="G791" s="2">
        <v>0.65</v>
      </c>
      <c r="H791" s="2" t="s">
        <v>137</v>
      </c>
      <c r="I791" s="2" t="s">
        <v>32</v>
      </c>
      <c r="J791" s="2" t="s">
        <v>397</v>
      </c>
      <c r="K791" s="2"/>
      <c r="L791" s="2"/>
      <c r="M791" s="2"/>
      <c r="N791" s="2"/>
      <c r="O791" s="2"/>
      <c r="P791" s="2"/>
      <c r="Q791" s="2"/>
      <c r="R791" s="2">
        <v>2400</v>
      </c>
      <c r="S791" s="2">
        <v>1560</v>
      </c>
      <c r="T791" s="13" t="str">
        <f t="shared" si="25"/>
        <v>TRPZ2743</v>
      </c>
      <c r="U791" s="2" t="s">
        <v>1702</v>
      </c>
      <c r="V791" s="2"/>
      <c r="W791" s="2">
        <v>6.28</v>
      </c>
      <c r="X791" s="2">
        <v>3.39</v>
      </c>
      <c r="Y791" s="2">
        <v>2.1800000000000002</v>
      </c>
      <c r="Z791" s="2">
        <v>0</v>
      </c>
      <c r="AA791" s="2">
        <v>0</v>
      </c>
      <c r="AB791" s="2">
        <v>1.85</v>
      </c>
      <c r="AC791" s="3" t="str">
        <f t="shared" si="24"/>
        <v>Pair</v>
      </c>
    </row>
    <row r="792" spans="1:29" x14ac:dyDescent="0.25">
      <c r="A792" s="1" t="s">
        <v>1703</v>
      </c>
      <c r="B792" s="2" t="s">
        <v>37</v>
      </c>
      <c r="C792" s="2"/>
      <c r="D792" s="2"/>
      <c r="E792" s="2" t="s">
        <v>1586</v>
      </c>
      <c r="F792" s="2">
        <v>2</v>
      </c>
      <c r="G792" s="2">
        <v>0.65</v>
      </c>
      <c r="H792" s="2" t="s">
        <v>396</v>
      </c>
      <c r="I792" s="2" t="s">
        <v>32</v>
      </c>
      <c r="J792" s="2" t="s">
        <v>33</v>
      </c>
      <c r="K792" s="2"/>
      <c r="L792" s="2"/>
      <c r="M792" s="2"/>
      <c r="N792" s="2"/>
      <c r="O792" s="2" t="s">
        <v>61</v>
      </c>
      <c r="P792" s="2"/>
      <c r="Q792" s="2"/>
      <c r="R792" s="2">
        <v>2500</v>
      </c>
      <c r="S792" s="2">
        <v>1625</v>
      </c>
      <c r="T792" s="13" t="str">
        <f t="shared" si="25"/>
        <v>TRPZ2745</v>
      </c>
      <c r="U792" s="2" t="s">
        <v>1704</v>
      </c>
      <c r="V792" s="2"/>
      <c r="W792" s="2">
        <v>6.26</v>
      </c>
      <c r="X792" s="2">
        <v>3.24</v>
      </c>
      <c r="Y792" s="2">
        <v>2.35</v>
      </c>
      <c r="Z792" s="2">
        <v>0</v>
      </c>
      <c r="AA792" s="2">
        <v>0</v>
      </c>
      <c r="AB792" s="2">
        <v>1.93</v>
      </c>
      <c r="AC792" s="3" t="str">
        <f t="shared" si="24"/>
        <v>Pair</v>
      </c>
    </row>
    <row r="793" spans="1:29" x14ac:dyDescent="0.25">
      <c r="A793" s="1" t="s">
        <v>1705</v>
      </c>
      <c r="B793" s="2" t="s">
        <v>29</v>
      </c>
      <c r="C793" s="2"/>
      <c r="D793" s="2"/>
      <c r="E793" s="2" t="s">
        <v>1586</v>
      </c>
      <c r="F793" s="2">
        <v>2</v>
      </c>
      <c r="G793" s="2">
        <v>0.27</v>
      </c>
      <c r="H793" s="2" t="s">
        <v>396</v>
      </c>
      <c r="I793" s="2" t="s">
        <v>57</v>
      </c>
      <c r="J793" s="2" t="s">
        <v>33</v>
      </c>
      <c r="K793" s="2"/>
      <c r="L793" s="2"/>
      <c r="M793" s="2"/>
      <c r="N793" s="2"/>
      <c r="O793" s="2"/>
      <c r="P793" s="2"/>
      <c r="Q793" s="2"/>
      <c r="R793" s="2">
        <v>2000</v>
      </c>
      <c r="S793" s="2">
        <v>540</v>
      </c>
      <c r="T793" s="13" t="str">
        <f t="shared" si="25"/>
        <v>TRPZ2753</v>
      </c>
      <c r="U793" s="2" t="s">
        <v>1706</v>
      </c>
      <c r="V793" s="2"/>
      <c r="W793" s="2">
        <v>4.82</v>
      </c>
      <c r="X793" s="2">
        <v>2.54</v>
      </c>
      <c r="Y793" s="2">
        <v>1.55</v>
      </c>
      <c r="Z793" s="2">
        <v>0</v>
      </c>
      <c r="AA793" s="2">
        <v>0</v>
      </c>
      <c r="AB793" s="2">
        <v>1.9</v>
      </c>
      <c r="AC793" s="3" t="str">
        <f t="shared" si="24"/>
        <v>Pair</v>
      </c>
    </row>
    <row r="794" spans="1:29" x14ac:dyDescent="0.25">
      <c r="A794" s="1" t="s">
        <v>1707</v>
      </c>
      <c r="B794" s="2" t="s">
        <v>29</v>
      </c>
      <c r="C794" s="2"/>
      <c r="D794" s="2"/>
      <c r="E794" s="2" t="s">
        <v>1586</v>
      </c>
      <c r="F794" s="2">
        <v>1</v>
      </c>
      <c r="G794" s="2">
        <v>0.35</v>
      </c>
      <c r="H794" s="2" t="s">
        <v>76</v>
      </c>
      <c r="I794" s="2" t="s">
        <v>32</v>
      </c>
      <c r="J794" s="2" t="s">
        <v>33</v>
      </c>
      <c r="K794" s="2"/>
      <c r="L794" s="2"/>
      <c r="M794" s="2"/>
      <c r="N794" s="2"/>
      <c r="O794" s="2" t="s">
        <v>70</v>
      </c>
      <c r="P794" s="2"/>
      <c r="Q794" s="2"/>
      <c r="R794" s="2">
        <v>1600</v>
      </c>
      <c r="S794" s="2">
        <v>560</v>
      </c>
      <c r="T794" s="13" t="str">
        <f t="shared" si="25"/>
        <v>OR15AAA</v>
      </c>
      <c r="U794" s="2" t="s">
        <v>1708</v>
      </c>
      <c r="V794" s="2"/>
      <c r="W794" s="2">
        <v>7.16</v>
      </c>
      <c r="X794" s="2">
        <v>3.59</v>
      </c>
      <c r="Y794" s="2">
        <v>1.87</v>
      </c>
      <c r="Z794" s="2">
        <v>0</v>
      </c>
      <c r="AA794" s="2">
        <v>0</v>
      </c>
      <c r="AB794" s="2">
        <v>1.99</v>
      </c>
      <c r="AC794" s="3" t="str">
        <f t="shared" si="24"/>
        <v>Loose</v>
      </c>
    </row>
    <row r="795" spans="1:29" x14ac:dyDescent="0.25">
      <c r="A795" s="1" t="s">
        <v>1709</v>
      </c>
      <c r="B795" s="2" t="s">
        <v>37</v>
      </c>
      <c r="C795" s="2"/>
      <c r="D795" s="2"/>
      <c r="E795" s="2" t="s">
        <v>1586</v>
      </c>
      <c r="F795" s="2">
        <v>2</v>
      </c>
      <c r="G795" s="2">
        <v>0.24</v>
      </c>
      <c r="H795" s="2" t="s">
        <v>137</v>
      </c>
      <c r="I795" s="2" t="s">
        <v>32</v>
      </c>
      <c r="J795" s="2" t="s">
        <v>33</v>
      </c>
      <c r="K795" s="2"/>
      <c r="L795" s="2"/>
      <c r="M795" s="2"/>
      <c r="N795" s="2"/>
      <c r="O795" s="2"/>
      <c r="P795" s="2"/>
      <c r="Q795" s="2"/>
      <c r="R795" s="2">
        <v>1800</v>
      </c>
      <c r="S795" s="2">
        <v>432</v>
      </c>
      <c r="T795" s="13" t="str">
        <f t="shared" si="25"/>
        <v>TRPZ2759</v>
      </c>
      <c r="U795" s="2" t="s">
        <v>1710</v>
      </c>
      <c r="V795" s="2"/>
      <c r="W795" s="2">
        <v>4.96</v>
      </c>
      <c r="X795" s="2">
        <v>2.4900000000000002</v>
      </c>
      <c r="Y795" s="2">
        <v>1.34</v>
      </c>
      <c r="Z795" s="2">
        <v>0</v>
      </c>
      <c r="AA795" s="2">
        <v>0</v>
      </c>
      <c r="AB795" s="2">
        <v>1.99</v>
      </c>
      <c r="AC795" s="3" t="str">
        <f t="shared" si="24"/>
        <v>Pair</v>
      </c>
    </row>
    <row r="796" spans="1:29" x14ac:dyDescent="0.25">
      <c r="A796" s="1" t="s">
        <v>1711</v>
      </c>
      <c r="B796" s="2" t="s">
        <v>29</v>
      </c>
      <c r="C796" s="2"/>
      <c r="D796" s="2"/>
      <c r="E796" s="2" t="s">
        <v>1586</v>
      </c>
      <c r="F796" s="2">
        <v>1</v>
      </c>
      <c r="G796" s="2">
        <v>0.2</v>
      </c>
      <c r="H796" s="2" t="s">
        <v>49</v>
      </c>
      <c r="I796" s="2" t="s">
        <v>32</v>
      </c>
      <c r="J796" s="2" t="s">
        <v>33</v>
      </c>
      <c r="K796" s="2"/>
      <c r="L796" s="2"/>
      <c r="M796" s="2"/>
      <c r="N796" s="2"/>
      <c r="O796" s="2" t="s">
        <v>58</v>
      </c>
      <c r="P796" s="2"/>
      <c r="Q796" s="2"/>
      <c r="R796" s="2">
        <v>1372</v>
      </c>
      <c r="S796" s="2">
        <v>274.39999999999998</v>
      </c>
      <c r="T796" s="13" t="str">
        <f t="shared" si="25"/>
        <v>OR26AAA</v>
      </c>
      <c r="U796" s="2" t="s">
        <v>1712</v>
      </c>
      <c r="V796" s="2"/>
      <c r="W796" s="2">
        <v>4.9400000000000004</v>
      </c>
      <c r="X796" s="2">
        <v>2.76</v>
      </c>
      <c r="Y796" s="2">
        <v>1.86</v>
      </c>
      <c r="Z796" s="2">
        <v>0</v>
      </c>
      <c r="AA796" s="2">
        <v>0</v>
      </c>
      <c r="AB796" s="2">
        <v>1.79</v>
      </c>
      <c r="AC796" s="3" t="str">
        <f t="shared" si="24"/>
        <v>Loose</v>
      </c>
    </row>
    <row r="797" spans="1:29" x14ac:dyDescent="0.25">
      <c r="A797" s="1" t="s">
        <v>1713</v>
      </c>
      <c r="B797" s="2" t="s">
        <v>29</v>
      </c>
      <c r="C797" s="2"/>
      <c r="D797" s="2"/>
      <c r="E797" s="2" t="s">
        <v>1586</v>
      </c>
      <c r="F797" s="2">
        <v>2</v>
      </c>
      <c r="G797" s="2">
        <v>0.32</v>
      </c>
      <c r="H797" s="2" t="s">
        <v>38</v>
      </c>
      <c r="I797" s="2" t="s">
        <v>50</v>
      </c>
      <c r="J797" s="2" t="s">
        <v>33</v>
      </c>
      <c r="K797" s="2"/>
      <c r="L797" s="2"/>
      <c r="M797" s="2"/>
      <c r="N797" s="2"/>
      <c r="O797" s="2" t="s">
        <v>34</v>
      </c>
      <c r="P797" s="2"/>
      <c r="Q797" s="2"/>
      <c r="R797" s="2">
        <v>1300</v>
      </c>
      <c r="S797" s="2">
        <v>416</v>
      </c>
      <c r="T797" s="13" t="str">
        <f t="shared" si="25"/>
        <v>TRPZ2766</v>
      </c>
      <c r="U797" s="2" t="s">
        <v>1714</v>
      </c>
      <c r="V797" s="2"/>
      <c r="W797" s="2">
        <v>5.57</v>
      </c>
      <c r="X797" s="2">
        <v>2.36</v>
      </c>
      <c r="Y797" s="2">
        <v>1.85</v>
      </c>
      <c r="Z797" s="2">
        <v>0</v>
      </c>
      <c r="AA797" s="2">
        <v>0</v>
      </c>
      <c r="AB797" s="2">
        <v>2.36</v>
      </c>
      <c r="AC797" s="3" t="str">
        <f t="shared" si="24"/>
        <v>Pair</v>
      </c>
    </row>
    <row r="798" spans="1:29" x14ac:dyDescent="0.25">
      <c r="A798" s="1" t="s">
        <v>1715</v>
      </c>
      <c r="B798" s="2" t="s">
        <v>29</v>
      </c>
      <c r="C798" s="2"/>
      <c r="D798" s="2"/>
      <c r="E798" s="2" t="s">
        <v>1586</v>
      </c>
      <c r="F798" s="2">
        <v>1</v>
      </c>
      <c r="G798" s="2">
        <v>0.24</v>
      </c>
      <c r="H798" s="2" t="s">
        <v>67</v>
      </c>
      <c r="I798" s="2" t="s">
        <v>32</v>
      </c>
      <c r="J798" s="2" t="s">
        <v>69</v>
      </c>
      <c r="K798" s="2"/>
      <c r="L798" s="2"/>
      <c r="M798" s="2"/>
      <c r="N798" s="2"/>
      <c r="O798" s="2" t="s">
        <v>61</v>
      </c>
      <c r="P798" s="2"/>
      <c r="Q798" s="2"/>
      <c r="R798" s="2">
        <v>1700</v>
      </c>
      <c r="S798" s="2">
        <v>408</v>
      </c>
      <c r="T798" s="13" t="str">
        <f t="shared" si="25"/>
        <v>OR16AAA</v>
      </c>
      <c r="U798" s="2" t="s">
        <v>1716</v>
      </c>
      <c r="V798" s="2"/>
      <c r="W798" s="2">
        <v>5.99</v>
      </c>
      <c r="X798" s="2">
        <v>2.94</v>
      </c>
      <c r="Y798" s="2">
        <v>1.77</v>
      </c>
      <c r="Z798" s="2">
        <v>0</v>
      </c>
      <c r="AA798" s="2">
        <v>0</v>
      </c>
      <c r="AB798" s="2">
        <v>2.04</v>
      </c>
      <c r="AC798" s="3" t="str">
        <f t="shared" si="24"/>
        <v>Loose</v>
      </c>
    </row>
    <row r="799" spans="1:29" x14ac:dyDescent="0.25">
      <c r="A799" s="1" t="s">
        <v>1717</v>
      </c>
      <c r="B799" s="2" t="s">
        <v>29</v>
      </c>
      <c r="C799" s="2"/>
      <c r="D799" s="2"/>
      <c r="E799" s="2" t="s">
        <v>1586</v>
      </c>
      <c r="F799" s="2">
        <v>1</v>
      </c>
      <c r="G799" s="2">
        <v>0.28999999999999998</v>
      </c>
      <c r="H799" s="2" t="s">
        <v>76</v>
      </c>
      <c r="I799" s="2" t="s">
        <v>166</v>
      </c>
      <c r="J799" s="2" t="s">
        <v>69</v>
      </c>
      <c r="K799" s="2"/>
      <c r="L799" s="2"/>
      <c r="M799" s="2"/>
      <c r="N799" s="2"/>
      <c r="O799" s="2" t="s">
        <v>34</v>
      </c>
      <c r="P799" s="2"/>
      <c r="Q799" s="2"/>
      <c r="R799" s="2">
        <v>935</v>
      </c>
      <c r="S799" s="2">
        <v>271.14999999999998</v>
      </c>
      <c r="T799" s="13" t="str">
        <f t="shared" si="25"/>
        <v>NR090AAA</v>
      </c>
      <c r="U799" s="2" t="s">
        <v>1718</v>
      </c>
      <c r="V799" s="2"/>
      <c r="W799" s="2">
        <v>6.5</v>
      </c>
      <c r="X799" s="2">
        <v>3.27</v>
      </c>
      <c r="Y799" s="2">
        <v>1.82</v>
      </c>
      <c r="Z799" s="2">
        <v>0</v>
      </c>
      <c r="AA799" s="2">
        <v>0</v>
      </c>
      <c r="AB799" s="2">
        <v>1.99</v>
      </c>
      <c r="AC799" s="3" t="str">
        <f t="shared" si="24"/>
        <v>Loose</v>
      </c>
    </row>
    <row r="800" spans="1:29" x14ac:dyDescent="0.25">
      <c r="A800" s="1" t="s">
        <v>1719</v>
      </c>
      <c r="B800" s="2" t="s">
        <v>29</v>
      </c>
      <c r="C800" s="2"/>
      <c r="D800" s="2"/>
      <c r="E800" s="2" t="s">
        <v>1586</v>
      </c>
      <c r="F800" s="2">
        <v>1</v>
      </c>
      <c r="G800" s="2">
        <v>0.45</v>
      </c>
      <c r="H800" s="2" t="s">
        <v>73</v>
      </c>
      <c r="I800" s="2" t="s">
        <v>32</v>
      </c>
      <c r="J800" s="2" t="s">
        <v>33</v>
      </c>
      <c r="K800" s="2"/>
      <c r="L800" s="2"/>
      <c r="M800" s="2"/>
      <c r="N800" s="2"/>
      <c r="O800" s="2" t="s">
        <v>70</v>
      </c>
      <c r="P800" s="2"/>
      <c r="Q800" s="2"/>
      <c r="R800" s="2">
        <v>2600</v>
      </c>
      <c r="S800" s="2">
        <v>1170</v>
      </c>
      <c r="T800" s="13" t="str">
        <f t="shared" si="25"/>
        <v>NR086AAA</v>
      </c>
      <c r="U800" s="2" t="s">
        <v>1720</v>
      </c>
      <c r="V800" s="2"/>
      <c r="W800" s="2">
        <v>7.55</v>
      </c>
      <c r="X800" s="2">
        <v>3.78</v>
      </c>
      <c r="Y800" s="2">
        <v>2.21</v>
      </c>
      <c r="Z800" s="2">
        <v>0</v>
      </c>
      <c r="AA800" s="2">
        <v>0</v>
      </c>
      <c r="AB800" s="2">
        <v>2</v>
      </c>
      <c r="AC800" s="3" t="str">
        <f t="shared" si="24"/>
        <v>Loose</v>
      </c>
    </row>
    <row r="801" spans="1:29" x14ac:dyDescent="0.25">
      <c r="A801" s="1" t="s">
        <v>1721</v>
      </c>
      <c r="B801" s="2" t="s">
        <v>29</v>
      </c>
      <c r="C801" s="2"/>
      <c r="D801" s="2"/>
      <c r="E801" s="2" t="s">
        <v>1586</v>
      </c>
      <c r="F801" s="2">
        <v>1</v>
      </c>
      <c r="G801" s="2">
        <v>0.5</v>
      </c>
      <c r="H801" s="2" t="s">
        <v>137</v>
      </c>
      <c r="I801" s="2" t="s">
        <v>32</v>
      </c>
      <c r="J801" s="2" t="s">
        <v>397</v>
      </c>
      <c r="K801" s="2"/>
      <c r="L801" s="2" t="s">
        <v>43</v>
      </c>
      <c r="M801" s="2" t="s">
        <v>450</v>
      </c>
      <c r="N801" s="2" t="s">
        <v>421</v>
      </c>
      <c r="O801" s="2" t="s">
        <v>61</v>
      </c>
      <c r="P801" s="2"/>
      <c r="Q801" s="2">
        <v>5443121694</v>
      </c>
      <c r="R801" s="2">
        <v>3700</v>
      </c>
      <c r="S801" s="2">
        <v>1850</v>
      </c>
      <c r="T801" s="13" t="str">
        <f t="shared" si="25"/>
        <v>NR039AAAA</v>
      </c>
      <c r="U801" s="2" t="s">
        <v>1722</v>
      </c>
      <c r="V801" s="2"/>
      <c r="W801" s="2">
        <v>3.81</v>
      </c>
      <c r="X801" s="2">
        <v>7.28</v>
      </c>
      <c r="Y801" s="2">
        <v>2.37</v>
      </c>
      <c r="Z801" s="2">
        <v>32.6</v>
      </c>
      <c r="AA801" s="2">
        <v>68</v>
      </c>
      <c r="AB801" s="2">
        <v>0.52</v>
      </c>
      <c r="AC801" s="3" t="str">
        <f t="shared" si="24"/>
        <v>Loose</v>
      </c>
    </row>
    <row r="802" spans="1:29" x14ac:dyDescent="0.25">
      <c r="A802" s="1" t="s">
        <v>1723</v>
      </c>
      <c r="B802" s="2" t="s">
        <v>29</v>
      </c>
      <c r="C802" s="2"/>
      <c r="D802" s="2"/>
      <c r="E802" s="2" t="s">
        <v>1586</v>
      </c>
      <c r="F802" s="2">
        <v>1</v>
      </c>
      <c r="G802" s="2">
        <v>0.17</v>
      </c>
      <c r="H802" s="2" t="s">
        <v>38</v>
      </c>
      <c r="I802" s="2" t="s">
        <v>148</v>
      </c>
      <c r="J802" s="2" t="s">
        <v>69</v>
      </c>
      <c r="K802" s="2"/>
      <c r="L802" s="2"/>
      <c r="M802" s="2"/>
      <c r="N802" s="2"/>
      <c r="O802" s="2" t="s">
        <v>34</v>
      </c>
      <c r="P802" s="2"/>
      <c r="Q802" s="2"/>
      <c r="R802" s="2">
        <v>250</v>
      </c>
      <c r="S802" s="2">
        <v>42.5</v>
      </c>
      <c r="T802" s="13" t="str">
        <f t="shared" si="25"/>
        <v>OR25BAAA</v>
      </c>
      <c r="U802" s="2" t="s">
        <v>1724</v>
      </c>
      <c r="V802" s="2"/>
      <c r="W802" s="2">
        <v>5</v>
      </c>
      <c r="X802" s="2">
        <v>2.6</v>
      </c>
      <c r="Y802" s="2">
        <v>1.77</v>
      </c>
      <c r="Z802" s="2">
        <v>0</v>
      </c>
      <c r="AA802" s="2">
        <v>0</v>
      </c>
      <c r="AB802" s="2">
        <v>1.92</v>
      </c>
      <c r="AC802" s="3" t="str">
        <f t="shared" si="24"/>
        <v>Loose</v>
      </c>
    </row>
    <row r="803" spans="1:29" x14ac:dyDescent="0.25">
      <c r="A803" s="1" t="s">
        <v>1725</v>
      </c>
      <c r="B803" s="2" t="s">
        <v>29</v>
      </c>
      <c r="C803" s="2"/>
      <c r="D803" s="2"/>
      <c r="E803" s="2" t="s">
        <v>1586</v>
      </c>
      <c r="F803" s="2">
        <v>2</v>
      </c>
      <c r="G803" s="2">
        <v>0.55000000000000004</v>
      </c>
      <c r="H803" s="2" t="s">
        <v>43</v>
      </c>
      <c r="I803" s="2" t="s">
        <v>53</v>
      </c>
      <c r="J803" s="2" t="s">
        <v>397</v>
      </c>
      <c r="K803" s="2"/>
      <c r="L803" s="2"/>
      <c r="M803" s="2"/>
      <c r="N803" s="2"/>
      <c r="O803" s="2" t="s">
        <v>58</v>
      </c>
      <c r="P803" s="2"/>
      <c r="Q803" s="2"/>
      <c r="R803" s="2">
        <v>2800</v>
      </c>
      <c r="S803" s="2">
        <v>1540</v>
      </c>
      <c r="T803" s="13" t="str">
        <f t="shared" si="25"/>
        <v>TRPZ2781</v>
      </c>
      <c r="U803" s="2" t="s">
        <v>1726</v>
      </c>
      <c r="V803" s="2"/>
      <c r="W803" s="2">
        <v>6.18</v>
      </c>
      <c r="X803" s="2">
        <v>3.19</v>
      </c>
      <c r="Y803" s="2">
        <v>1.86</v>
      </c>
      <c r="Z803" s="2">
        <v>0</v>
      </c>
      <c r="AA803" s="2">
        <v>0</v>
      </c>
      <c r="AB803" s="2">
        <v>1.94</v>
      </c>
      <c r="AC803" s="3" t="str">
        <f t="shared" si="24"/>
        <v>Pair</v>
      </c>
    </row>
    <row r="804" spans="1:29" x14ac:dyDescent="0.25">
      <c r="A804" s="1" t="s">
        <v>1727</v>
      </c>
      <c r="B804" s="2" t="s">
        <v>29</v>
      </c>
      <c r="C804" s="2"/>
      <c r="D804" s="2"/>
      <c r="E804" s="2" t="s">
        <v>1586</v>
      </c>
      <c r="F804" s="2">
        <v>1</v>
      </c>
      <c r="G804" s="2">
        <v>0.36</v>
      </c>
      <c r="H804" s="2" t="s">
        <v>396</v>
      </c>
      <c r="I804" s="2" t="s">
        <v>53</v>
      </c>
      <c r="J804" s="2" t="s">
        <v>397</v>
      </c>
      <c r="K804" s="2"/>
      <c r="L804" s="2" t="s">
        <v>450</v>
      </c>
      <c r="M804" s="2" t="s">
        <v>450</v>
      </c>
      <c r="N804" s="2" t="s">
        <v>421</v>
      </c>
      <c r="O804" s="2" t="s">
        <v>58</v>
      </c>
      <c r="P804" s="2"/>
      <c r="Q804" s="2">
        <v>2457240302</v>
      </c>
      <c r="R804" s="2">
        <v>3200</v>
      </c>
      <c r="S804" s="2">
        <v>1152</v>
      </c>
      <c r="T804" s="13" t="str">
        <f t="shared" si="25"/>
        <v>NR051AAA</v>
      </c>
      <c r="U804" s="2" t="s">
        <v>1728</v>
      </c>
      <c r="V804" s="2"/>
      <c r="W804" s="2">
        <v>3.43</v>
      </c>
      <c r="X804" s="2">
        <v>6.78</v>
      </c>
      <c r="Y804" s="2">
        <v>2.19</v>
      </c>
      <c r="Z804" s="2">
        <v>32.299999999999997</v>
      </c>
      <c r="AA804" s="2">
        <v>66</v>
      </c>
      <c r="AB804" s="2">
        <v>0.51</v>
      </c>
      <c r="AC804" s="3" t="str">
        <f t="shared" si="24"/>
        <v>Loose</v>
      </c>
    </row>
    <row r="805" spans="1:29" x14ac:dyDescent="0.25">
      <c r="A805" s="1" t="s">
        <v>1729</v>
      </c>
      <c r="B805" s="2" t="s">
        <v>37</v>
      </c>
      <c r="C805" s="2"/>
      <c r="D805" s="2"/>
      <c r="E805" s="2" t="s">
        <v>1586</v>
      </c>
      <c r="F805" s="2">
        <v>2</v>
      </c>
      <c r="G805" s="2">
        <v>1.25</v>
      </c>
      <c r="H805" s="2" t="s">
        <v>43</v>
      </c>
      <c r="I805" s="2" t="s">
        <v>50</v>
      </c>
      <c r="J805" s="2" t="s">
        <v>33</v>
      </c>
      <c r="K805" s="2"/>
      <c r="L805" s="2"/>
      <c r="M805" s="2"/>
      <c r="N805" s="2"/>
      <c r="O805" s="2"/>
      <c r="P805" s="2"/>
      <c r="Q805" s="2"/>
      <c r="R805" s="2">
        <v>3700</v>
      </c>
      <c r="S805" s="2">
        <v>4625</v>
      </c>
      <c r="T805" s="13" t="str">
        <f t="shared" si="25"/>
        <v>TRPZ2795</v>
      </c>
      <c r="U805" s="2" t="s">
        <v>1730</v>
      </c>
      <c r="V805" s="2"/>
      <c r="W805" s="2">
        <v>4.55</v>
      </c>
      <c r="X805" s="2">
        <v>7.89</v>
      </c>
      <c r="Y805" s="2">
        <v>2.67</v>
      </c>
      <c r="Z805" s="2">
        <v>0</v>
      </c>
      <c r="AA805" s="2">
        <v>0</v>
      </c>
      <c r="AB805" s="2">
        <v>0.57999999999999996</v>
      </c>
      <c r="AC805" s="3" t="str">
        <f t="shared" si="24"/>
        <v>Pair</v>
      </c>
    </row>
    <row r="806" spans="1:29" x14ac:dyDescent="0.25">
      <c r="A806" s="1" t="s">
        <v>1731</v>
      </c>
      <c r="B806" s="2" t="s">
        <v>29</v>
      </c>
      <c r="C806" s="2"/>
      <c r="D806" s="2"/>
      <c r="E806" s="2" t="s">
        <v>1586</v>
      </c>
      <c r="F806" s="2">
        <v>1</v>
      </c>
      <c r="G806" s="2">
        <v>0.45</v>
      </c>
      <c r="H806" s="2" t="s">
        <v>43</v>
      </c>
      <c r="I806" s="2" t="s">
        <v>148</v>
      </c>
      <c r="J806" s="2" t="s">
        <v>69</v>
      </c>
      <c r="K806" s="2"/>
      <c r="L806" s="2"/>
      <c r="M806" s="2"/>
      <c r="N806" s="2"/>
      <c r="O806" s="2" t="s">
        <v>58</v>
      </c>
      <c r="P806" s="2"/>
      <c r="Q806" s="2"/>
      <c r="R806" s="2">
        <v>800</v>
      </c>
      <c r="S806" s="2">
        <v>360</v>
      </c>
      <c r="T806" s="13" t="str">
        <f t="shared" si="25"/>
        <v>MN13AAA</v>
      </c>
      <c r="U806" s="2" t="s">
        <v>1732</v>
      </c>
      <c r="V806" s="2"/>
      <c r="W806" s="2">
        <v>7.94</v>
      </c>
      <c r="X806" s="2">
        <v>3.84</v>
      </c>
      <c r="Y806" s="2">
        <v>2.04</v>
      </c>
      <c r="Z806" s="2">
        <v>0</v>
      </c>
      <c r="AA806" s="2">
        <v>0</v>
      </c>
      <c r="AB806" s="2">
        <v>2.0699999999999998</v>
      </c>
      <c r="AC806" s="3" t="str">
        <f t="shared" si="24"/>
        <v>Loose</v>
      </c>
    </row>
    <row r="807" spans="1:29" x14ac:dyDescent="0.25">
      <c r="A807" s="1" t="s">
        <v>1733</v>
      </c>
      <c r="B807" s="2" t="s">
        <v>29</v>
      </c>
      <c r="C807" s="2"/>
      <c r="D807" s="2"/>
      <c r="E807" s="2" t="s">
        <v>1586</v>
      </c>
      <c r="F807" s="2">
        <v>2</v>
      </c>
      <c r="G807" s="2">
        <v>0.62</v>
      </c>
      <c r="H807" s="2" t="s">
        <v>38</v>
      </c>
      <c r="I807" s="2" t="s">
        <v>39</v>
      </c>
      <c r="J807" s="2" t="s">
        <v>33</v>
      </c>
      <c r="K807" s="2"/>
      <c r="L807" s="2"/>
      <c r="M807" s="2"/>
      <c r="N807" s="2"/>
      <c r="O807" s="2" t="s">
        <v>46</v>
      </c>
      <c r="P807" s="2"/>
      <c r="Q807" s="2"/>
      <c r="R807" s="2">
        <v>2800</v>
      </c>
      <c r="S807" s="2">
        <v>1736</v>
      </c>
      <c r="T807" s="13" t="str">
        <f t="shared" si="25"/>
        <v>TRPZ2808</v>
      </c>
      <c r="U807" s="2" t="s">
        <v>1734</v>
      </c>
      <c r="V807" s="2"/>
      <c r="W807" s="2">
        <v>5.45</v>
      </c>
      <c r="X807" s="2">
        <v>3.34</v>
      </c>
      <c r="Y807" s="2">
        <v>2.2799999999999998</v>
      </c>
      <c r="Z807" s="2">
        <v>0</v>
      </c>
      <c r="AA807" s="2">
        <v>0</v>
      </c>
      <c r="AB807" s="2">
        <v>1.63</v>
      </c>
      <c r="AC807" s="3" t="str">
        <f t="shared" si="24"/>
        <v>Pair</v>
      </c>
    </row>
    <row r="808" spans="1:29" x14ac:dyDescent="0.25">
      <c r="A808" s="1" t="s">
        <v>1735</v>
      </c>
      <c r="B808" s="2" t="s">
        <v>29</v>
      </c>
      <c r="C808" s="2"/>
      <c r="D808" s="2"/>
      <c r="E808" s="2" t="s">
        <v>1586</v>
      </c>
      <c r="F808" s="2">
        <v>2</v>
      </c>
      <c r="G808" s="2">
        <v>0.56999999999999995</v>
      </c>
      <c r="H808" s="2" t="s">
        <v>137</v>
      </c>
      <c r="I808" s="2" t="s">
        <v>57</v>
      </c>
      <c r="J808" s="2" t="s">
        <v>33</v>
      </c>
      <c r="K808" s="2"/>
      <c r="L808" s="2"/>
      <c r="M808" s="2"/>
      <c r="N808" s="2"/>
      <c r="O808" s="2" t="s">
        <v>58</v>
      </c>
      <c r="P808" s="2"/>
      <c r="Q808" s="2"/>
      <c r="R808" s="2">
        <v>3200</v>
      </c>
      <c r="S808" s="2">
        <v>1824</v>
      </c>
      <c r="T808" s="13" t="str">
        <f t="shared" si="25"/>
        <v>TRPZ2810</v>
      </c>
      <c r="U808" s="2" t="s">
        <v>1736</v>
      </c>
      <c r="V808" s="2"/>
      <c r="W808" s="2">
        <v>3.43</v>
      </c>
      <c r="X808" s="2">
        <v>5.98</v>
      </c>
      <c r="Y808" s="2">
        <v>1.96</v>
      </c>
      <c r="Z808" s="2">
        <v>0</v>
      </c>
      <c r="AA808" s="2">
        <v>0</v>
      </c>
      <c r="AB808" s="2">
        <v>0.56999999999999995</v>
      </c>
      <c r="AC808" s="3" t="str">
        <f t="shared" si="24"/>
        <v>Pair</v>
      </c>
    </row>
    <row r="809" spans="1:29" x14ac:dyDescent="0.25">
      <c r="A809" s="1" t="s">
        <v>1737</v>
      </c>
      <c r="B809" s="2" t="s">
        <v>29</v>
      </c>
      <c r="C809" s="2"/>
      <c r="D809" s="2"/>
      <c r="E809" s="2" t="s">
        <v>1586</v>
      </c>
      <c r="F809" s="2">
        <v>1</v>
      </c>
      <c r="G809" s="2">
        <v>0.17</v>
      </c>
      <c r="H809" s="2" t="s">
        <v>137</v>
      </c>
      <c r="I809" s="2" t="s">
        <v>32</v>
      </c>
      <c r="J809" s="2" t="s">
        <v>33</v>
      </c>
      <c r="K809" s="2"/>
      <c r="L809" s="2"/>
      <c r="M809" s="2"/>
      <c r="N809" s="2"/>
      <c r="O809" s="2" t="s">
        <v>58</v>
      </c>
      <c r="P809" s="2"/>
      <c r="Q809" s="2"/>
      <c r="R809" s="2">
        <v>770</v>
      </c>
      <c r="S809" s="2">
        <v>130.9</v>
      </c>
      <c r="T809" s="13" t="str">
        <f t="shared" si="25"/>
        <v>LZ09AA</v>
      </c>
      <c r="U809" s="2" t="s">
        <v>1738</v>
      </c>
      <c r="V809" s="2"/>
      <c r="W809" s="2">
        <v>5.0999999999999996</v>
      </c>
      <c r="X809" s="2">
        <v>2.76</v>
      </c>
      <c r="Y809" s="2">
        <v>1.62</v>
      </c>
      <c r="Z809" s="2">
        <v>0</v>
      </c>
      <c r="AA809" s="2">
        <v>0</v>
      </c>
      <c r="AB809" s="2">
        <v>1.85</v>
      </c>
      <c r="AC809" s="3" t="str">
        <f t="shared" si="24"/>
        <v>Loose</v>
      </c>
    </row>
    <row r="810" spans="1:29" x14ac:dyDescent="0.25">
      <c r="A810" s="1" t="s">
        <v>1739</v>
      </c>
      <c r="B810" s="2" t="s">
        <v>29</v>
      </c>
      <c r="C810" s="2"/>
      <c r="D810" s="2"/>
      <c r="E810" s="2" t="s">
        <v>1586</v>
      </c>
      <c r="F810" s="2">
        <v>1</v>
      </c>
      <c r="G810" s="2">
        <v>0.38</v>
      </c>
      <c r="H810" s="2" t="s">
        <v>43</v>
      </c>
      <c r="I810" s="2" t="s">
        <v>50</v>
      </c>
      <c r="J810" s="2" t="s">
        <v>33</v>
      </c>
      <c r="K810" s="2"/>
      <c r="L810" s="2"/>
      <c r="M810" s="2"/>
      <c r="N810" s="2"/>
      <c r="O810" s="2" t="s">
        <v>46</v>
      </c>
      <c r="P810" s="2"/>
      <c r="Q810" s="2"/>
      <c r="R810" s="2">
        <v>1270</v>
      </c>
      <c r="S810" s="2">
        <v>482.6</v>
      </c>
      <c r="T810" s="13" t="str">
        <f t="shared" si="25"/>
        <v>YL051AAAA</v>
      </c>
      <c r="U810" s="2" t="s">
        <v>1740</v>
      </c>
      <c r="V810" s="2"/>
      <c r="W810" s="2">
        <v>7.02</v>
      </c>
      <c r="X810" s="2">
        <v>3.19</v>
      </c>
      <c r="Y810" s="2">
        <v>2.16</v>
      </c>
      <c r="Z810" s="2">
        <v>0</v>
      </c>
      <c r="AA810" s="2">
        <v>0</v>
      </c>
      <c r="AB810" s="2">
        <v>2.2000000000000002</v>
      </c>
      <c r="AC810" s="3" t="str">
        <f t="shared" si="24"/>
        <v>Loose</v>
      </c>
    </row>
    <row r="811" spans="1:29" x14ac:dyDescent="0.25">
      <c r="A811" s="1" t="s">
        <v>1741</v>
      </c>
      <c r="B811" s="2" t="s">
        <v>37</v>
      </c>
      <c r="C811" s="2"/>
      <c r="D811" s="2"/>
      <c r="E811" s="2" t="s">
        <v>1586</v>
      </c>
      <c r="F811" s="2">
        <v>2</v>
      </c>
      <c r="G811" s="2">
        <v>0.65</v>
      </c>
      <c r="H811" s="2" t="s">
        <v>38</v>
      </c>
      <c r="I811" s="2" t="s">
        <v>57</v>
      </c>
      <c r="J811" s="2" t="s">
        <v>397</v>
      </c>
      <c r="K811" s="2"/>
      <c r="L811" s="2"/>
      <c r="M811" s="2"/>
      <c r="N811" s="2"/>
      <c r="O811" s="2"/>
      <c r="P811" s="2"/>
      <c r="Q811" s="2"/>
      <c r="R811" s="2">
        <v>3000</v>
      </c>
      <c r="S811" s="2">
        <v>1950</v>
      </c>
      <c r="T811" s="13" t="str">
        <f t="shared" si="25"/>
        <v>TRPZ2811</v>
      </c>
      <c r="U811" s="2" t="s">
        <v>1742</v>
      </c>
      <c r="V811" s="2"/>
      <c r="W811" s="2">
        <v>6.64</v>
      </c>
      <c r="X811" s="2">
        <v>3.13</v>
      </c>
      <c r="Y811" s="2">
        <v>2.21</v>
      </c>
      <c r="Z811" s="2">
        <v>0</v>
      </c>
      <c r="AA811" s="2">
        <v>0</v>
      </c>
      <c r="AB811" s="2">
        <v>2.12</v>
      </c>
      <c r="AC811" s="3" t="str">
        <f t="shared" si="24"/>
        <v>Pair</v>
      </c>
    </row>
    <row r="812" spans="1:29" x14ac:dyDescent="0.25">
      <c r="A812" s="1" t="s">
        <v>1743</v>
      </c>
      <c r="B812" s="2" t="s">
        <v>29</v>
      </c>
      <c r="C812" s="2"/>
      <c r="D812" s="2"/>
      <c r="E812" s="2" t="s">
        <v>1586</v>
      </c>
      <c r="F812" s="2">
        <v>2</v>
      </c>
      <c r="G812" s="2">
        <v>0.38</v>
      </c>
      <c r="H812" s="2" t="s">
        <v>43</v>
      </c>
      <c r="I812" s="2" t="s">
        <v>32</v>
      </c>
      <c r="J812" s="2" t="s">
        <v>33</v>
      </c>
      <c r="K812" s="2"/>
      <c r="L812" s="2"/>
      <c r="M812" s="2"/>
      <c r="N812" s="2"/>
      <c r="O812" s="2"/>
      <c r="P812" s="2"/>
      <c r="Q812" s="2"/>
      <c r="R812" s="2">
        <v>2100</v>
      </c>
      <c r="S812" s="2">
        <v>798</v>
      </c>
      <c r="T812" s="13" t="str">
        <f t="shared" si="25"/>
        <v>TRPZ2813</v>
      </c>
      <c r="U812" s="2" t="s">
        <v>1744</v>
      </c>
      <c r="V812" s="2"/>
      <c r="W812" s="2">
        <v>5.52</v>
      </c>
      <c r="X812" s="2">
        <v>2.61</v>
      </c>
      <c r="Y812" s="2">
        <v>1.71</v>
      </c>
      <c r="Z812" s="2">
        <v>0</v>
      </c>
      <c r="AA812" s="2">
        <v>0</v>
      </c>
      <c r="AB812" s="2">
        <v>2.11</v>
      </c>
      <c r="AC812" s="3" t="str">
        <f t="shared" si="24"/>
        <v>Pair</v>
      </c>
    </row>
    <row r="813" spans="1:29" x14ac:dyDescent="0.25">
      <c r="A813" s="1" t="s">
        <v>1745</v>
      </c>
      <c r="B813" s="2" t="s">
        <v>29</v>
      </c>
      <c r="C813" s="2"/>
      <c r="D813" s="2"/>
      <c r="E813" s="2" t="s">
        <v>1586</v>
      </c>
      <c r="F813" s="2">
        <v>2</v>
      </c>
      <c r="G813" s="2">
        <v>0.35</v>
      </c>
      <c r="H813" s="2" t="s">
        <v>43</v>
      </c>
      <c r="I813" s="2" t="s">
        <v>53</v>
      </c>
      <c r="J813" s="2" t="s">
        <v>33</v>
      </c>
      <c r="K813" s="2"/>
      <c r="L813" s="2"/>
      <c r="M813" s="2"/>
      <c r="N813" s="2"/>
      <c r="O813" s="2" t="s">
        <v>34</v>
      </c>
      <c r="P813" s="2"/>
      <c r="Q813" s="2"/>
      <c r="R813" s="2">
        <v>2100</v>
      </c>
      <c r="S813" s="2">
        <v>735</v>
      </c>
      <c r="T813" s="13" t="str">
        <f t="shared" si="25"/>
        <v>TRPZ2814</v>
      </c>
      <c r="U813" s="2" t="s">
        <v>1746</v>
      </c>
      <c r="V813" s="2"/>
      <c r="W813" s="2">
        <v>4.97</v>
      </c>
      <c r="X813" s="2">
        <v>2.93</v>
      </c>
      <c r="Y813" s="2">
        <v>1.67</v>
      </c>
      <c r="Z813" s="2">
        <v>0</v>
      </c>
      <c r="AA813" s="2">
        <v>0</v>
      </c>
      <c r="AB813" s="2">
        <v>1.7</v>
      </c>
      <c r="AC813" s="3" t="str">
        <f t="shared" si="24"/>
        <v>Pair</v>
      </c>
    </row>
    <row r="814" spans="1:29" x14ac:dyDescent="0.25">
      <c r="A814" s="1" t="s">
        <v>1747</v>
      </c>
      <c r="B814" s="2" t="s">
        <v>29</v>
      </c>
      <c r="C814" s="2"/>
      <c r="D814" s="2"/>
      <c r="E814" s="2" t="s">
        <v>1586</v>
      </c>
      <c r="F814" s="2">
        <v>2</v>
      </c>
      <c r="G814" s="2">
        <v>0.47</v>
      </c>
      <c r="H814" s="2" t="s">
        <v>396</v>
      </c>
      <c r="I814" s="2" t="s">
        <v>53</v>
      </c>
      <c r="J814" s="2" t="s">
        <v>33</v>
      </c>
      <c r="K814" s="2"/>
      <c r="L814" s="2"/>
      <c r="M814" s="2"/>
      <c r="N814" s="2"/>
      <c r="O814" s="2"/>
      <c r="P814" s="2"/>
      <c r="Q814" s="2"/>
      <c r="R814" s="2">
        <v>2300</v>
      </c>
      <c r="S814" s="2">
        <v>1081</v>
      </c>
      <c r="T814" s="13" t="str">
        <f t="shared" si="25"/>
        <v>TRPZ2816</v>
      </c>
      <c r="U814" s="2" t="s">
        <v>1748</v>
      </c>
      <c r="V814" s="2"/>
      <c r="W814" s="2">
        <v>5.29</v>
      </c>
      <c r="X814" s="2">
        <v>3.04</v>
      </c>
      <c r="Y814" s="2">
        <v>1.92</v>
      </c>
      <c r="Z814" s="2">
        <v>0</v>
      </c>
      <c r="AA814" s="2">
        <v>0</v>
      </c>
      <c r="AB814" s="2">
        <v>1.74</v>
      </c>
      <c r="AC814" s="3" t="str">
        <f t="shared" si="24"/>
        <v>Pair</v>
      </c>
    </row>
    <row r="815" spans="1:29" x14ac:dyDescent="0.25">
      <c r="A815" s="1" t="s">
        <v>1749</v>
      </c>
      <c r="B815" s="2" t="s">
        <v>29</v>
      </c>
      <c r="C815" s="2"/>
      <c r="D815" s="2"/>
      <c r="E815" s="2" t="s">
        <v>1586</v>
      </c>
      <c r="F815" s="2">
        <v>2</v>
      </c>
      <c r="G815" s="2">
        <v>0.7</v>
      </c>
      <c r="H815" s="2" t="s">
        <v>31</v>
      </c>
      <c r="I815" s="2" t="s">
        <v>32</v>
      </c>
      <c r="J815" s="2" t="s">
        <v>397</v>
      </c>
      <c r="K815" s="2"/>
      <c r="L815" s="2"/>
      <c r="M815" s="2"/>
      <c r="N815" s="2"/>
      <c r="O815" s="2" t="s">
        <v>58</v>
      </c>
      <c r="P815" s="2"/>
      <c r="Q815" s="2"/>
      <c r="R815" s="2">
        <v>2700</v>
      </c>
      <c r="S815" s="2">
        <v>1890</v>
      </c>
      <c r="T815" s="13" t="str">
        <f t="shared" si="25"/>
        <v>TRPZ2822</v>
      </c>
      <c r="U815" s="2" t="s">
        <v>1750</v>
      </c>
      <c r="V815" s="2"/>
      <c r="W815" s="2">
        <v>6.67</v>
      </c>
      <c r="X815" s="2">
        <v>3.27</v>
      </c>
      <c r="Y815" s="2">
        <v>2.17</v>
      </c>
      <c r="Z815" s="2">
        <v>0</v>
      </c>
      <c r="AA815" s="2">
        <v>0</v>
      </c>
      <c r="AB815" s="2">
        <v>2.04</v>
      </c>
      <c r="AC815" s="3" t="str">
        <f t="shared" si="24"/>
        <v>Pair</v>
      </c>
    </row>
    <row r="816" spans="1:29" x14ac:dyDescent="0.25">
      <c r="A816" s="1" t="s">
        <v>1751</v>
      </c>
      <c r="B816" s="2" t="s">
        <v>29</v>
      </c>
      <c r="C816" s="2"/>
      <c r="D816" s="2"/>
      <c r="E816" s="2" t="s">
        <v>1586</v>
      </c>
      <c r="F816" s="2">
        <v>1</v>
      </c>
      <c r="G816" s="2">
        <v>0.8</v>
      </c>
      <c r="H816" s="2" t="s">
        <v>38</v>
      </c>
      <c r="I816" s="2" t="s">
        <v>53</v>
      </c>
      <c r="J816" s="2" t="s">
        <v>397</v>
      </c>
      <c r="K816" s="2"/>
      <c r="L816" s="2" t="s">
        <v>43</v>
      </c>
      <c r="M816" s="2" t="s">
        <v>43</v>
      </c>
      <c r="N816" s="2" t="s">
        <v>421</v>
      </c>
      <c r="O816" s="2" t="s">
        <v>70</v>
      </c>
      <c r="P816" s="2"/>
      <c r="Q816" s="2">
        <v>7461725965</v>
      </c>
      <c r="R816" s="2">
        <v>5000</v>
      </c>
      <c r="S816" s="2">
        <v>4000</v>
      </c>
      <c r="T816" s="13" t="str">
        <f t="shared" si="25"/>
        <v>AMM02ABAAAA</v>
      </c>
      <c r="U816" s="2" t="s">
        <v>1752</v>
      </c>
      <c r="V816" s="2"/>
      <c r="W816" s="2">
        <v>4.46</v>
      </c>
      <c r="X816" s="2">
        <v>7.67</v>
      </c>
      <c r="Y816" s="2">
        <v>3.09</v>
      </c>
      <c r="Z816" s="2">
        <v>40.299999999999997</v>
      </c>
      <c r="AA816" s="2">
        <v>35</v>
      </c>
      <c r="AB816" s="2">
        <v>0.57999999999999996</v>
      </c>
      <c r="AC816" s="3" t="str">
        <f t="shared" si="24"/>
        <v>Loose</v>
      </c>
    </row>
    <row r="817" spans="1:29" x14ac:dyDescent="0.25">
      <c r="A817" s="1" t="s">
        <v>1753</v>
      </c>
      <c r="B817" s="2" t="s">
        <v>29</v>
      </c>
      <c r="C817" s="2"/>
      <c r="D817" s="2"/>
      <c r="E817" s="2" t="s">
        <v>1586</v>
      </c>
      <c r="F817" s="2">
        <v>2</v>
      </c>
      <c r="G817" s="2">
        <v>0.66</v>
      </c>
      <c r="H817" s="2" t="s">
        <v>43</v>
      </c>
      <c r="I817" s="2" t="s">
        <v>53</v>
      </c>
      <c r="J817" s="2" t="s">
        <v>33</v>
      </c>
      <c r="K817" s="2"/>
      <c r="L817" s="2"/>
      <c r="M817" s="2"/>
      <c r="N817" s="2"/>
      <c r="O817" s="2"/>
      <c r="P817" s="2"/>
      <c r="Q817" s="2"/>
      <c r="R817" s="2">
        <v>2600</v>
      </c>
      <c r="S817" s="2">
        <v>1716</v>
      </c>
      <c r="T817" s="13" t="str">
        <f t="shared" si="25"/>
        <v>TRPZ2821</v>
      </c>
      <c r="U817" s="2" t="s">
        <v>1754</v>
      </c>
      <c r="V817" s="2"/>
      <c r="W817" s="2">
        <v>5.82</v>
      </c>
      <c r="X817" s="2">
        <v>3.33</v>
      </c>
      <c r="Y817" s="2">
        <v>2.35</v>
      </c>
      <c r="Z817" s="2">
        <v>0</v>
      </c>
      <c r="AA817" s="2">
        <v>0</v>
      </c>
      <c r="AB817" s="2">
        <v>1.75</v>
      </c>
      <c r="AC817" s="3" t="str">
        <f t="shared" si="24"/>
        <v>Pair</v>
      </c>
    </row>
    <row r="818" spans="1:29" x14ac:dyDescent="0.25">
      <c r="A818" s="1" t="s">
        <v>1755</v>
      </c>
      <c r="B818" s="2" t="s">
        <v>29</v>
      </c>
      <c r="C818" s="2"/>
      <c r="D818" s="2"/>
      <c r="E818" s="2" t="s">
        <v>1586</v>
      </c>
      <c r="F818" s="2">
        <v>1</v>
      </c>
      <c r="G818" s="2">
        <v>0.37</v>
      </c>
      <c r="H818" s="2" t="s">
        <v>76</v>
      </c>
      <c r="I818" s="2" t="s">
        <v>57</v>
      </c>
      <c r="J818" s="2" t="s">
        <v>33</v>
      </c>
      <c r="K818" s="2"/>
      <c r="L818" s="2"/>
      <c r="M818" s="2"/>
      <c r="N818" s="2"/>
      <c r="O818" s="2" t="s">
        <v>70</v>
      </c>
      <c r="P818" s="2"/>
      <c r="Q818" s="2"/>
      <c r="R818" s="2">
        <v>979</v>
      </c>
      <c r="S818" s="2">
        <v>362.23</v>
      </c>
      <c r="T818" s="13" t="str">
        <f t="shared" si="25"/>
        <v>LVP047A</v>
      </c>
      <c r="U818" s="2" t="s">
        <v>1756</v>
      </c>
      <c r="V818" s="2"/>
      <c r="W818" s="2">
        <v>6.12</v>
      </c>
      <c r="X818" s="2">
        <v>3.63</v>
      </c>
      <c r="Y818" s="2">
        <v>2.2400000000000002</v>
      </c>
      <c r="Z818" s="2">
        <v>0</v>
      </c>
      <c r="AA818" s="2">
        <v>0</v>
      </c>
      <c r="AB818" s="2">
        <v>1.69</v>
      </c>
      <c r="AC818" s="3" t="str">
        <f t="shared" si="24"/>
        <v>Loose</v>
      </c>
    </row>
    <row r="819" spans="1:29" x14ac:dyDescent="0.25">
      <c r="A819" s="1" t="s">
        <v>1757</v>
      </c>
      <c r="B819" s="2" t="s">
        <v>37</v>
      </c>
      <c r="C819" s="2"/>
      <c r="D819" s="2"/>
      <c r="E819" s="2" t="s">
        <v>1586</v>
      </c>
      <c r="F819" s="2">
        <v>2</v>
      </c>
      <c r="G819" s="2">
        <v>0.63</v>
      </c>
      <c r="H819" s="2" t="s">
        <v>396</v>
      </c>
      <c r="I819" s="2" t="s">
        <v>39</v>
      </c>
      <c r="J819" s="2" t="s">
        <v>33</v>
      </c>
      <c r="K819" s="2"/>
      <c r="L819" s="2"/>
      <c r="M819" s="2"/>
      <c r="N819" s="2"/>
      <c r="O819" s="2" t="s">
        <v>909</v>
      </c>
      <c r="P819" s="2"/>
      <c r="Q819" s="2"/>
      <c r="R819" s="2">
        <v>2900</v>
      </c>
      <c r="S819" s="2">
        <v>1827</v>
      </c>
      <c r="T819" s="13" t="str">
        <f t="shared" si="25"/>
        <v>TRPZ2827</v>
      </c>
      <c r="U819" s="2" t="s">
        <v>1758</v>
      </c>
      <c r="V819" s="2"/>
      <c r="W819" s="2">
        <v>5.72</v>
      </c>
      <c r="X819" s="2">
        <v>3.41</v>
      </c>
      <c r="Y819" s="2">
        <v>2.23</v>
      </c>
      <c r="Z819" s="2">
        <v>0</v>
      </c>
      <c r="AA819" s="2">
        <v>0</v>
      </c>
      <c r="AB819" s="2">
        <v>1.68</v>
      </c>
      <c r="AC819" s="3" t="str">
        <f t="shared" si="24"/>
        <v>Pair</v>
      </c>
    </row>
    <row r="820" spans="1:29" x14ac:dyDescent="0.25">
      <c r="A820" s="1" t="s">
        <v>1759</v>
      </c>
      <c r="B820" s="2" t="s">
        <v>29</v>
      </c>
      <c r="C820" s="2"/>
      <c r="D820" s="2"/>
      <c r="E820" s="2" t="s">
        <v>1586</v>
      </c>
      <c r="F820" s="2">
        <v>2</v>
      </c>
      <c r="G820" s="2">
        <v>0.57999999999999996</v>
      </c>
      <c r="H820" s="2" t="s">
        <v>43</v>
      </c>
      <c r="I820" s="2" t="s">
        <v>32</v>
      </c>
      <c r="J820" s="2" t="s">
        <v>33</v>
      </c>
      <c r="K820" s="2"/>
      <c r="L820" s="2"/>
      <c r="M820" s="2"/>
      <c r="N820" s="2"/>
      <c r="O820" s="2" t="s">
        <v>58</v>
      </c>
      <c r="P820" s="2"/>
      <c r="Q820" s="2"/>
      <c r="R820" s="2">
        <v>2300</v>
      </c>
      <c r="S820" s="2">
        <v>1334</v>
      </c>
      <c r="T820" s="13" t="str">
        <f t="shared" si="25"/>
        <v>TRPZ2830</v>
      </c>
      <c r="U820" s="2" t="s">
        <v>1760</v>
      </c>
      <c r="V820" s="2"/>
      <c r="W820" s="2">
        <v>5.83</v>
      </c>
      <c r="X820" s="2">
        <v>3.29</v>
      </c>
      <c r="Y820" s="2">
        <v>2.15</v>
      </c>
      <c r="Z820" s="2">
        <v>0</v>
      </c>
      <c r="AA820" s="2">
        <v>0</v>
      </c>
      <c r="AB820" s="2">
        <v>1.77</v>
      </c>
      <c r="AC820" s="3" t="str">
        <f t="shared" si="24"/>
        <v>Pair</v>
      </c>
    </row>
    <row r="821" spans="1:29" x14ac:dyDescent="0.25">
      <c r="A821" s="1" t="s">
        <v>1761</v>
      </c>
      <c r="B821" s="2" t="s">
        <v>29</v>
      </c>
      <c r="C821" s="2"/>
      <c r="D821" s="2"/>
      <c r="E821" s="2" t="s">
        <v>1586</v>
      </c>
      <c r="F821" s="2">
        <v>1</v>
      </c>
      <c r="G821" s="2">
        <v>0.74</v>
      </c>
      <c r="H821" s="2" t="s">
        <v>73</v>
      </c>
      <c r="I821" s="2" t="s">
        <v>50</v>
      </c>
      <c r="J821" s="2" t="s">
        <v>33</v>
      </c>
      <c r="K821" s="2"/>
      <c r="L821" s="2" t="s">
        <v>450</v>
      </c>
      <c r="M821" s="2" t="s">
        <v>43</v>
      </c>
      <c r="N821" s="2" t="s">
        <v>421</v>
      </c>
      <c r="O821" s="2" t="s">
        <v>34</v>
      </c>
      <c r="P821" s="2"/>
      <c r="Q821" s="2">
        <v>1467965066</v>
      </c>
      <c r="R821" s="2">
        <v>3000</v>
      </c>
      <c r="S821" s="2">
        <v>2220</v>
      </c>
      <c r="T821" s="13" t="str">
        <f t="shared" si="25"/>
        <v>BLL007AAAAA</v>
      </c>
      <c r="U821" s="2" t="s">
        <v>1762</v>
      </c>
      <c r="V821" s="2"/>
      <c r="W821" s="2">
        <v>4.08</v>
      </c>
      <c r="X821" s="2">
        <v>9.35</v>
      </c>
      <c r="Y821" s="2">
        <v>2.46</v>
      </c>
      <c r="Z821" s="2">
        <v>26.3</v>
      </c>
      <c r="AA821" s="2">
        <v>28</v>
      </c>
      <c r="AB821" s="2">
        <v>0.44</v>
      </c>
      <c r="AC821" s="3" t="str">
        <f t="shared" si="24"/>
        <v>Loose</v>
      </c>
    </row>
    <row r="822" spans="1:29" x14ac:dyDescent="0.25">
      <c r="A822" s="1" t="s">
        <v>1763</v>
      </c>
      <c r="B822" s="2" t="s">
        <v>29</v>
      </c>
      <c r="C822" s="2"/>
      <c r="D822" s="2"/>
      <c r="E822" s="2" t="s">
        <v>1586</v>
      </c>
      <c r="F822" s="2">
        <v>1</v>
      </c>
      <c r="G822" s="2">
        <v>0.5</v>
      </c>
      <c r="H822" s="2" t="s">
        <v>49</v>
      </c>
      <c r="I822" s="2" t="s">
        <v>166</v>
      </c>
      <c r="J822" s="2" t="s">
        <v>69</v>
      </c>
      <c r="K822" s="2"/>
      <c r="L822" s="2"/>
      <c r="M822" s="2"/>
      <c r="N822" s="2"/>
      <c r="O822" s="2" t="s">
        <v>34</v>
      </c>
      <c r="P822" s="2"/>
      <c r="Q822" s="2"/>
      <c r="R822" s="2">
        <v>1800</v>
      </c>
      <c r="S822" s="2">
        <v>900</v>
      </c>
      <c r="T822" s="13" t="str">
        <f t="shared" si="25"/>
        <v>BLL011AAAAA</v>
      </c>
      <c r="U822" s="2" t="s">
        <v>1764</v>
      </c>
      <c r="V822" s="2"/>
      <c r="W822" s="2">
        <v>8</v>
      </c>
      <c r="X822" s="2">
        <v>3.88</v>
      </c>
      <c r="Y822" s="2">
        <v>2.14</v>
      </c>
      <c r="Z822" s="2">
        <v>0</v>
      </c>
      <c r="AA822" s="2">
        <v>0</v>
      </c>
      <c r="AB822" s="2">
        <v>2.06</v>
      </c>
      <c r="AC822" s="3" t="str">
        <f t="shared" si="24"/>
        <v>Loose</v>
      </c>
    </row>
    <row r="823" spans="1:29" x14ac:dyDescent="0.25">
      <c r="A823" s="1" t="s">
        <v>1765</v>
      </c>
      <c r="B823" s="2" t="s">
        <v>37</v>
      </c>
      <c r="C823" s="2"/>
      <c r="D823" s="2"/>
      <c r="E823" s="2" t="s">
        <v>1586</v>
      </c>
      <c r="F823" s="2">
        <v>2</v>
      </c>
      <c r="G823" s="2">
        <v>0.99</v>
      </c>
      <c r="H823" s="2" t="s">
        <v>137</v>
      </c>
      <c r="I823" s="2" t="s">
        <v>57</v>
      </c>
      <c r="J823" s="2" t="s">
        <v>33</v>
      </c>
      <c r="K823" s="2"/>
      <c r="L823" s="2"/>
      <c r="M823" s="2"/>
      <c r="N823" s="2"/>
      <c r="O823" s="2" t="s">
        <v>70</v>
      </c>
      <c r="P823" s="2"/>
      <c r="Q823" s="2"/>
      <c r="R823" s="2">
        <v>3700</v>
      </c>
      <c r="S823" s="2">
        <v>3663</v>
      </c>
      <c r="T823" s="13" t="str">
        <f t="shared" si="25"/>
        <v>TRPZ1212C</v>
      </c>
      <c r="U823" s="2" t="s">
        <v>1766</v>
      </c>
      <c r="V823" s="2"/>
      <c r="W823" s="2">
        <v>3.9</v>
      </c>
      <c r="X823" s="2">
        <v>6.8</v>
      </c>
      <c r="Y823" s="2">
        <v>2.44</v>
      </c>
      <c r="Z823" s="2">
        <v>0</v>
      </c>
      <c r="AA823" s="2">
        <v>0</v>
      </c>
      <c r="AB823" s="2">
        <v>0.56999999999999995</v>
      </c>
      <c r="AC823" s="3" t="str">
        <f t="shared" si="24"/>
        <v>Pair</v>
      </c>
    </row>
    <row r="824" spans="1:29" x14ac:dyDescent="0.25">
      <c r="A824" s="1" t="s">
        <v>1767</v>
      </c>
      <c r="B824" s="2" t="s">
        <v>29</v>
      </c>
      <c r="C824" s="2"/>
      <c r="D824" s="2"/>
      <c r="E824" s="2" t="s">
        <v>1586</v>
      </c>
      <c r="F824" s="2">
        <v>2</v>
      </c>
      <c r="G824" s="2">
        <v>0.59</v>
      </c>
      <c r="H824" s="2" t="s">
        <v>49</v>
      </c>
      <c r="I824" s="2" t="s">
        <v>32</v>
      </c>
      <c r="J824" s="2" t="s">
        <v>33</v>
      </c>
      <c r="K824" s="2"/>
      <c r="L824" s="2"/>
      <c r="M824" s="2"/>
      <c r="N824" s="2"/>
      <c r="O824" s="2" t="s">
        <v>61</v>
      </c>
      <c r="P824" s="2"/>
      <c r="Q824" s="2"/>
      <c r="R824" s="2">
        <v>1700</v>
      </c>
      <c r="S824" s="2">
        <v>1003</v>
      </c>
      <c r="T824" s="13" t="str">
        <f t="shared" si="25"/>
        <v>TRPZ1213C</v>
      </c>
      <c r="U824" s="2" t="s">
        <v>1768</v>
      </c>
      <c r="V824" s="2"/>
      <c r="W824" s="2">
        <v>5.55</v>
      </c>
      <c r="X824" s="2">
        <v>3.21</v>
      </c>
      <c r="Y824" s="2">
        <v>2.17</v>
      </c>
      <c r="Z824" s="2">
        <v>0</v>
      </c>
      <c r="AA824" s="2">
        <v>0</v>
      </c>
      <c r="AB824" s="2">
        <v>1.73</v>
      </c>
      <c r="AC824" s="3" t="str">
        <f t="shared" si="24"/>
        <v>Pair</v>
      </c>
    </row>
    <row r="825" spans="1:29" x14ac:dyDescent="0.25">
      <c r="A825" s="1" t="s">
        <v>1769</v>
      </c>
      <c r="B825" s="2" t="s">
        <v>37</v>
      </c>
      <c r="C825" s="2"/>
      <c r="D825" s="2"/>
      <c r="E825" s="2" t="s">
        <v>1586</v>
      </c>
      <c r="F825" s="2">
        <v>2</v>
      </c>
      <c r="G825" s="2">
        <v>0.73</v>
      </c>
      <c r="H825" s="2" t="s">
        <v>137</v>
      </c>
      <c r="I825" s="2" t="s">
        <v>32</v>
      </c>
      <c r="J825" s="2" t="s">
        <v>33</v>
      </c>
      <c r="K825" s="2"/>
      <c r="L825" s="2"/>
      <c r="M825" s="2"/>
      <c r="N825" s="2"/>
      <c r="O825" s="2" t="s">
        <v>70</v>
      </c>
      <c r="P825" s="2"/>
      <c r="Q825" s="2"/>
      <c r="R825" s="2">
        <v>2100</v>
      </c>
      <c r="S825" s="2">
        <v>1533</v>
      </c>
      <c r="T825" s="13" t="str">
        <f t="shared" si="25"/>
        <v>TRPZ2832</v>
      </c>
      <c r="U825" s="2" t="s">
        <v>1770</v>
      </c>
      <c r="V825" s="2"/>
      <c r="W825" s="2">
        <v>5.98</v>
      </c>
      <c r="X825" s="2">
        <v>3.43</v>
      </c>
      <c r="Y825" s="2">
        <v>2.44</v>
      </c>
      <c r="Z825" s="2">
        <v>0</v>
      </c>
      <c r="AA825" s="2">
        <v>0</v>
      </c>
      <c r="AB825" s="2">
        <v>1.74</v>
      </c>
      <c r="AC825" s="3" t="str">
        <f t="shared" si="24"/>
        <v>Pair</v>
      </c>
    </row>
    <row r="826" spans="1:29" x14ac:dyDescent="0.25">
      <c r="A826" s="1" t="s">
        <v>1771</v>
      </c>
      <c r="B826" s="2" t="s">
        <v>29</v>
      </c>
      <c r="C826" s="2"/>
      <c r="D826" s="2"/>
      <c r="E826" s="2" t="s">
        <v>1586</v>
      </c>
      <c r="F826" s="2">
        <v>2</v>
      </c>
      <c r="G826" s="2">
        <v>0.66</v>
      </c>
      <c r="H826" s="2" t="s">
        <v>137</v>
      </c>
      <c r="I826" s="2" t="s">
        <v>57</v>
      </c>
      <c r="J826" s="2" t="s">
        <v>33</v>
      </c>
      <c r="K826" s="2"/>
      <c r="L826" s="2"/>
      <c r="M826" s="2"/>
      <c r="N826" s="2"/>
      <c r="O826" s="2"/>
      <c r="P826" s="2"/>
      <c r="Q826" s="2"/>
      <c r="R826" s="2">
        <v>2300</v>
      </c>
      <c r="S826" s="2">
        <v>1518</v>
      </c>
      <c r="T826" s="13" t="str">
        <f t="shared" si="25"/>
        <v>TRPZ2833</v>
      </c>
      <c r="U826" s="2" t="s">
        <v>1772</v>
      </c>
      <c r="V826" s="2"/>
      <c r="W826" s="2">
        <v>5.75</v>
      </c>
      <c r="X826" s="2">
        <v>3.19</v>
      </c>
      <c r="Y826" s="2">
        <v>2.35</v>
      </c>
      <c r="Z826" s="2">
        <v>0</v>
      </c>
      <c r="AA826" s="2">
        <v>0</v>
      </c>
      <c r="AB826" s="2">
        <v>1.8</v>
      </c>
      <c r="AC826" s="3" t="str">
        <f t="shared" si="24"/>
        <v>Pair</v>
      </c>
    </row>
    <row r="827" spans="1:29" x14ac:dyDescent="0.25">
      <c r="A827" s="1" t="s">
        <v>1773</v>
      </c>
      <c r="B827" s="2" t="s">
        <v>29</v>
      </c>
      <c r="C827" s="2"/>
      <c r="D827" s="2"/>
      <c r="E827" s="2" t="s">
        <v>1586</v>
      </c>
      <c r="F827" s="2">
        <v>1</v>
      </c>
      <c r="G827" s="2">
        <v>0.61</v>
      </c>
      <c r="H827" s="2" t="s">
        <v>31</v>
      </c>
      <c r="I827" s="2" t="s">
        <v>50</v>
      </c>
      <c r="J827" s="2" t="s">
        <v>33</v>
      </c>
      <c r="K827" s="2"/>
      <c r="L827" s="2"/>
      <c r="M827" s="2"/>
      <c r="N827" s="2"/>
      <c r="O827" s="2" t="s">
        <v>46</v>
      </c>
      <c r="P827" s="2"/>
      <c r="Q827" s="2"/>
      <c r="R827" s="2">
        <v>2600</v>
      </c>
      <c r="S827" s="2">
        <v>1586</v>
      </c>
      <c r="T827" s="13" t="str">
        <f t="shared" si="25"/>
        <v>LVP058AAAAA</v>
      </c>
      <c r="U827" s="2" t="s">
        <v>1774</v>
      </c>
      <c r="V827" s="2"/>
      <c r="W827" s="2">
        <v>8.44</v>
      </c>
      <c r="X827" s="2">
        <v>4.1500000000000004</v>
      </c>
      <c r="Y827" s="2">
        <v>2.52</v>
      </c>
      <c r="Z827" s="2">
        <v>0</v>
      </c>
      <c r="AA827" s="2">
        <v>0</v>
      </c>
      <c r="AB827" s="2">
        <v>2.0299999999999998</v>
      </c>
      <c r="AC827" s="3" t="str">
        <f t="shared" si="24"/>
        <v>Loose</v>
      </c>
    </row>
    <row r="828" spans="1:29" x14ac:dyDescent="0.25">
      <c r="A828" s="1" t="s">
        <v>1775</v>
      </c>
      <c r="B828" s="2" t="s">
        <v>37</v>
      </c>
      <c r="C828" s="2"/>
      <c r="D828" s="2"/>
      <c r="E828" s="2" t="s">
        <v>1586</v>
      </c>
      <c r="F828" s="2">
        <v>2</v>
      </c>
      <c r="G828" s="2">
        <v>0.61</v>
      </c>
      <c r="H828" s="2" t="s">
        <v>43</v>
      </c>
      <c r="I828" s="2" t="s">
        <v>57</v>
      </c>
      <c r="J828" s="2" t="s">
        <v>397</v>
      </c>
      <c r="K828" s="2"/>
      <c r="L828" s="2"/>
      <c r="M828" s="2"/>
      <c r="N828" s="2"/>
      <c r="O828" s="2" t="s">
        <v>58</v>
      </c>
      <c r="P828" s="2"/>
      <c r="Q828" s="2"/>
      <c r="R828" s="2">
        <v>2600</v>
      </c>
      <c r="S828" s="2">
        <v>1586</v>
      </c>
      <c r="T828" s="13" t="str">
        <f t="shared" si="25"/>
        <v>TRPZ2834</v>
      </c>
      <c r="U828" s="2" t="s">
        <v>1776</v>
      </c>
      <c r="V828" s="2"/>
      <c r="W828" s="2">
        <v>6.55</v>
      </c>
      <c r="X828" s="2">
        <v>3.32</v>
      </c>
      <c r="Y828" s="2">
        <v>2.02</v>
      </c>
      <c r="Z828" s="2">
        <v>0</v>
      </c>
      <c r="AA828" s="2">
        <v>0</v>
      </c>
      <c r="AB828" s="2">
        <v>1.97</v>
      </c>
      <c r="AC828" s="3" t="str">
        <f t="shared" si="24"/>
        <v>Pair</v>
      </c>
    </row>
    <row r="829" spans="1:29" x14ac:dyDescent="0.25">
      <c r="A829" s="1" t="s">
        <v>1777</v>
      </c>
      <c r="B829" s="2" t="s">
        <v>37</v>
      </c>
      <c r="C829" s="2"/>
      <c r="D829" s="2"/>
      <c r="E829" s="2" t="s">
        <v>1586</v>
      </c>
      <c r="F829" s="2">
        <v>2</v>
      </c>
      <c r="G829" s="2">
        <v>0.59</v>
      </c>
      <c r="H829" s="2" t="s">
        <v>43</v>
      </c>
      <c r="I829" s="2" t="s">
        <v>32</v>
      </c>
      <c r="J829" s="2" t="s">
        <v>397</v>
      </c>
      <c r="K829" s="2"/>
      <c r="L829" s="2"/>
      <c r="M829" s="2"/>
      <c r="N829" s="2"/>
      <c r="O829" s="2"/>
      <c r="P829" s="2"/>
      <c r="Q829" s="2"/>
      <c r="R829" s="2">
        <v>2400</v>
      </c>
      <c r="S829" s="2">
        <v>1416</v>
      </c>
      <c r="T829" s="13" t="str">
        <f t="shared" si="25"/>
        <v>TRPZ2836</v>
      </c>
      <c r="U829" s="2" t="s">
        <v>1778</v>
      </c>
      <c r="V829" s="2"/>
      <c r="W829" s="2">
        <v>6.2</v>
      </c>
      <c r="X829" s="2">
        <v>3.27</v>
      </c>
      <c r="Y829" s="2">
        <v>2.09</v>
      </c>
      <c r="Z829" s="2">
        <v>0</v>
      </c>
      <c r="AA829" s="2">
        <v>0</v>
      </c>
      <c r="AB829" s="2">
        <v>1.9</v>
      </c>
      <c r="AC829" s="3" t="str">
        <f t="shared" si="24"/>
        <v>Pair</v>
      </c>
    </row>
    <row r="830" spans="1:29" x14ac:dyDescent="0.25">
      <c r="A830" s="1" t="s">
        <v>1779</v>
      </c>
      <c r="B830" s="2" t="s">
        <v>29</v>
      </c>
      <c r="C830" s="2"/>
      <c r="D830" s="2"/>
      <c r="E830" s="2" t="s">
        <v>1586</v>
      </c>
      <c r="F830" s="2">
        <v>2</v>
      </c>
      <c r="G830" s="2">
        <v>0.61</v>
      </c>
      <c r="H830" s="2" t="s">
        <v>43</v>
      </c>
      <c r="I830" s="2" t="s">
        <v>57</v>
      </c>
      <c r="J830" s="2" t="s">
        <v>397</v>
      </c>
      <c r="K830" s="2"/>
      <c r="L830" s="2"/>
      <c r="M830" s="2"/>
      <c r="N830" s="2"/>
      <c r="O830" s="2" t="s">
        <v>58</v>
      </c>
      <c r="P830" s="2"/>
      <c r="Q830" s="2"/>
      <c r="R830" s="2">
        <v>2600</v>
      </c>
      <c r="S830" s="2">
        <v>1586</v>
      </c>
      <c r="T830" s="13" t="str">
        <f t="shared" si="25"/>
        <v>TRPZ2837</v>
      </c>
      <c r="U830" s="2" t="s">
        <v>1780</v>
      </c>
      <c r="V830" s="2"/>
      <c r="W830" s="2">
        <v>6.18</v>
      </c>
      <c r="X830" s="2">
        <v>3.28</v>
      </c>
      <c r="Y830" s="2">
        <v>2.0699999999999998</v>
      </c>
      <c r="Z830" s="2">
        <v>0</v>
      </c>
      <c r="AA830" s="2">
        <v>0</v>
      </c>
      <c r="AB830" s="2">
        <v>1.88</v>
      </c>
      <c r="AC830" s="3" t="str">
        <f t="shared" si="24"/>
        <v>Pair</v>
      </c>
    </row>
    <row r="831" spans="1:29" x14ac:dyDescent="0.25">
      <c r="A831" s="1" t="s">
        <v>1781</v>
      </c>
      <c r="B831" s="2" t="s">
        <v>37</v>
      </c>
      <c r="C831" s="2"/>
      <c r="D831" s="2"/>
      <c r="E831" s="2" t="s">
        <v>1586</v>
      </c>
      <c r="F831" s="2">
        <v>2</v>
      </c>
      <c r="G831" s="2">
        <v>0.62</v>
      </c>
      <c r="H831" s="2" t="s">
        <v>396</v>
      </c>
      <c r="I831" s="2" t="s">
        <v>57</v>
      </c>
      <c r="J831" s="2" t="s">
        <v>33</v>
      </c>
      <c r="K831" s="2"/>
      <c r="L831" s="2"/>
      <c r="M831" s="2"/>
      <c r="N831" s="2"/>
      <c r="O831" s="2"/>
      <c r="P831" s="2"/>
      <c r="Q831" s="2"/>
      <c r="R831" s="2">
        <v>2600</v>
      </c>
      <c r="S831" s="2">
        <v>1612</v>
      </c>
      <c r="T831" s="13" t="str">
        <f t="shared" si="25"/>
        <v>TRPZ2838</v>
      </c>
      <c r="U831" s="2" t="s">
        <v>1782</v>
      </c>
      <c r="V831" s="2"/>
      <c r="W831" s="2">
        <v>5.88</v>
      </c>
      <c r="X831" s="2">
        <v>3.44</v>
      </c>
      <c r="Y831" s="2">
        <v>2.2200000000000002</v>
      </c>
      <c r="Z831" s="2">
        <v>0</v>
      </c>
      <c r="AA831" s="2">
        <v>0</v>
      </c>
      <c r="AB831" s="2">
        <v>1.71</v>
      </c>
      <c r="AC831" s="3" t="str">
        <f t="shared" si="24"/>
        <v>Pair</v>
      </c>
    </row>
    <row r="832" spans="1:29" x14ac:dyDescent="0.25">
      <c r="A832" s="1" t="s">
        <v>1783</v>
      </c>
      <c r="B832" s="2" t="s">
        <v>29</v>
      </c>
      <c r="C832" s="2"/>
      <c r="D832" s="2"/>
      <c r="E832" s="2" t="s">
        <v>1586</v>
      </c>
      <c r="F832" s="2">
        <v>1</v>
      </c>
      <c r="G832" s="2">
        <v>0.65</v>
      </c>
      <c r="H832" s="2" t="s">
        <v>43</v>
      </c>
      <c r="I832" s="2" t="s">
        <v>53</v>
      </c>
      <c r="J832" s="2" t="s">
        <v>397</v>
      </c>
      <c r="K832" s="2"/>
      <c r="L832" s="2" t="s">
        <v>450</v>
      </c>
      <c r="M832" s="2" t="s">
        <v>43</v>
      </c>
      <c r="N832" s="2" t="s">
        <v>421</v>
      </c>
      <c r="O832" s="2" t="s">
        <v>58</v>
      </c>
      <c r="P832" s="2"/>
      <c r="Q832" s="2">
        <v>2476939897</v>
      </c>
      <c r="R832" s="2">
        <v>4000</v>
      </c>
      <c r="S832" s="2">
        <v>2600</v>
      </c>
      <c r="T832" s="13" t="str">
        <f t="shared" si="25"/>
        <v>LVP056AAAAA</v>
      </c>
      <c r="U832" s="2" t="s">
        <v>1784</v>
      </c>
      <c r="V832" s="2"/>
      <c r="W832" s="2">
        <v>3.99</v>
      </c>
      <c r="X832" s="2">
        <v>7.95</v>
      </c>
      <c r="Y832" s="2">
        <v>2.78</v>
      </c>
      <c r="Z832" s="2">
        <v>35</v>
      </c>
      <c r="AA832" s="2">
        <v>72</v>
      </c>
      <c r="AB832" s="2">
        <v>0.5</v>
      </c>
      <c r="AC832" s="3" t="str">
        <f t="shared" si="24"/>
        <v>Loose</v>
      </c>
    </row>
    <row r="833" spans="1:29" x14ac:dyDescent="0.25">
      <c r="A833" s="1" t="s">
        <v>1785</v>
      </c>
      <c r="B833" s="2" t="s">
        <v>29</v>
      </c>
      <c r="C833" s="2"/>
      <c r="D833" s="2"/>
      <c r="E833" s="2" t="s">
        <v>1586</v>
      </c>
      <c r="F833" s="2">
        <v>1</v>
      </c>
      <c r="G833" s="2">
        <v>0.88</v>
      </c>
      <c r="H833" s="2" t="s">
        <v>73</v>
      </c>
      <c r="I833" s="2" t="s">
        <v>53</v>
      </c>
      <c r="J833" s="2" t="s">
        <v>33</v>
      </c>
      <c r="K833" s="2"/>
      <c r="L833" s="2" t="s">
        <v>450</v>
      </c>
      <c r="M833" s="2" t="s">
        <v>43</v>
      </c>
      <c r="N833" s="2" t="s">
        <v>421</v>
      </c>
      <c r="O833" s="2" t="s">
        <v>58</v>
      </c>
      <c r="P833" s="2"/>
      <c r="Q833" s="2">
        <v>2477893801</v>
      </c>
      <c r="R833" s="2">
        <v>4000</v>
      </c>
      <c r="S833" s="2">
        <v>3520</v>
      </c>
      <c r="T833" s="13" t="str">
        <f t="shared" si="25"/>
        <v>LVP057AAAA</v>
      </c>
      <c r="U833" s="2" t="s">
        <v>1786</v>
      </c>
      <c r="V833" s="2"/>
      <c r="W833" s="2">
        <v>4.5199999999999996</v>
      </c>
      <c r="X833" s="2">
        <v>8.2100000000000009</v>
      </c>
      <c r="Y833" s="2">
        <v>3.4</v>
      </c>
      <c r="Z833" s="2">
        <v>41.4</v>
      </c>
      <c r="AA833" s="2">
        <v>68</v>
      </c>
      <c r="AB833" s="2">
        <v>0.55000000000000004</v>
      </c>
      <c r="AC833" s="3" t="str">
        <f t="shared" si="24"/>
        <v>Loose</v>
      </c>
    </row>
    <row r="834" spans="1:29" x14ac:dyDescent="0.25">
      <c r="A834" s="1" t="s">
        <v>1787</v>
      </c>
      <c r="B834" s="2" t="s">
        <v>29</v>
      </c>
      <c r="C834" s="2"/>
      <c r="D834" s="2"/>
      <c r="E834" s="2" t="s">
        <v>1586</v>
      </c>
      <c r="F834" s="2">
        <v>2</v>
      </c>
      <c r="G834" s="2">
        <v>0.54</v>
      </c>
      <c r="H834" s="2" t="s">
        <v>396</v>
      </c>
      <c r="I834" s="2" t="s">
        <v>57</v>
      </c>
      <c r="J834" s="2" t="s">
        <v>397</v>
      </c>
      <c r="K834" s="2"/>
      <c r="L834" s="2"/>
      <c r="M834" s="2"/>
      <c r="N834" s="2"/>
      <c r="O834" s="2" t="s">
        <v>34</v>
      </c>
      <c r="P834" s="2"/>
      <c r="Q834" s="2"/>
      <c r="R834" s="2">
        <v>2900</v>
      </c>
      <c r="S834" s="2">
        <v>1566</v>
      </c>
      <c r="T834" s="13" t="str">
        <f t="shared" si="25"/>
        <v>TRPZ2840</v>
      </c>
      <c r="U834" s="2" t="s">
        <v>1788</v>
      </c>
      <c r="V834" s="2"/>
      <c r="W834" s="2">
        <v>2.84</v>
      </c>
      <c r="X834" s="2">
        <v>6.15</v>
      </c>
      <c r="Y834" s="2">
        <v>2.14</v>
      </c>
      <c r="Z834" s="2">
        <v>0</v>
      </c>
      <c r="AA834" s="2">
        <v>0</v>
      </c>
      <c r="AB834" s="2">
        <v>0.46</v>
      </c>
      <c r="AC834" s="3" t="str">
        <f t="shared" ref="AC834:AC897" si="26">IF(F834=2,"Pair","Loose")</f>
        <v>Pair</v>
      </c>
    </row>
    <row r="835" spans="1:29" x14ac:dyDescent="0.25">
      <c r="A835" s="1" t="s">
        <v>1789</v>
      </c>
      <c r="B835" s="2" t="s">
        <v>29</v>
      </c>
      <c r="C835" s="2"/>
      <c r="D835" s="2"/>
      <c r="E835" s="2" t="s">
        <v>1586</v>
      </c>
      <c r="F835" s="2">
        <v>2</v>
      </c>
      <c r="G835" s="2">
        <v>0.65</v>
      </c>
      <c r="H835" s="2" t="s">
        <v>137</v>
      </c>
      <c r="I835" s="2" t="s">
        <v>39</v>
      </c>
      <c r="J835" s="2" t="s">
        <v>33</v>
      </c>
      <c r="K835" s="2"/>
      <c r="L835" s="2"/>
      <c r="M835" s="2"/>
      <c r="N835" s="2"/>
      <c r="O835" s="2" t="s">
        <v>514</v>
      </c>
      <c r="P835" s="2"/>
      <c r="Q835" s="2"/>
      <c r="R835" s="2">
        <v>3100</v>
      </c>
      <c r="S835" s="2">
        <v>2015</v>
      </c>
      <c r="T835" s="13" t="str">
        <f t="shared" si="25"/>
        <v>TRPZ2842</v>
      </c>
      <c r="U835" s="2" t="s">
        <v>1790</v>
      </c>
      <c r="V835" s="2"/>
      <c r="W835" s="2">
        <v>3.28</v>
      </c>
      <c r="X835" s="2">
        <v>6.58</v>
      </c>
      <c r="Y835" s="2">
        <v>2.08</v>
      </c>
      <c r="Z835" s="2">
        <v>0</v>
      </c>
      <c r="AA835" s="2">
        <v>0</v>
      </c>
      <c r="AB835" s="2">
        <v>0.5</v>
      </c>
      <c r="AC835" s="3" t="str">
        <f t="shared" si="26"/>
        <v>Pair</v>
      </c>
    </row>
    <row r="836" spans="1:29" x14ac:dyDescent="0.25">
      <c r="A836" s="1" t="s">
        <v>1791</v>
      </c>
      <c r="B836" s="2" t="s">
        <v>29</v>
      </c>
      <c r="C836" s="2"/>
      <c r="D836" s="2"/>
      <c r="E836" s="2" t="s">
        <v>1586</v>
      </c>
      <c r="F836" s="2">
        <v>2</v>
      </c>
      <c r="G836" s="2">
        <v>0.5</v>
      </c>
      <c r="H836" s="2" t="s">
        <v>137</v>
      </c>
      <c r="I836" s="2" t="s">
        <v>53</v>
      </c>
      <c r="J836" s="2" t="s">
        <v>33</v>
      </c>
      <c r="K836" s="2"/>
      <c r="L836" s="2"/>
      <c r="M836" s="2"/>
      <c r="N836" s="2"/>
      <c r="O836" s="2"/>
      <c r="P836" s="2"/>
      <c r="Q836" s="2"/>
      <c r="R836" s="2">
        <v>2800</v>
      </c>
      <c r="S836" s="2">
        <v>1400</v>
      </c>
      <c r="T836" s="13" t="str">
        <f t="shared" si="25"/>
        <v>TRPZ2844</v>
      </c>
      <c r="U836" s="2" t="s">
        <v>1792</v>
      </c>
      <c r="V836" s="2"/>
      <c r="W836" s="2">
        <v>5.98</v>
      </c>
      <c r="X836" s="2">
        <v>2.91</v>
      </c>
      <c r="Y836" s="2">
        <v>1.92</v>
      </c>
      <c r="Z836" s="2">
        <v>0</v>
      </c>
      <c r="AA836" s="2">
        <v>0</v>
      </c>
      <c r="AB836" s="2">
        <v>2.0499999999999998</v>
      </c>
      <c r="AC836" s="3" t="str">
        <f t="shared" si="26"/>
        <v>Pair</v>
      </c>
    </row>
    <row r="837" spans="1:29" x14ac:dyDescent="0.25">
      <c r="A837" s="1" t="s">
        <v>1793</v>
      </c>
      <c r="B837" s="2" t="s">
        <v>37</v>
      </c>
      <c r="C837" s="2"/>
      <c r="D837" s="2"/>
      <c r="E837" s="2" t="s">
        <v>1586</v>
      </c>
      <c r="F837" s="2">
        <v>2</v>
      </c>
      <c r="G837" s="2">
        <v>0.88</v>
      </c>
      <c r="H837" s="2" t="s">
        <v>396</v>
      </c>
      <c r="I837" s="2" t="s">
        <v>32</v>
      </c>
      <c r="J837" s="2" t="s">
        <v>397</v>
      </c>
      <c r="K837" s="2"/>
      <c r="L837" s="2"/>
      <c r="M837" s="2"/>
      <c r="N837" s="2"/>
      <c r="O837" s="2"/>
      <c r="P837" s="2"/>
      <c r="Q837" s="2"/>
      <c r="R837" s="2">
        <v>3100</v>
      </c>
      <c r="S837" s="2">
        <v>2728</v>
      </c>
      <c r="T837" s="13" t="str">
        <f t="shared" si="25"/>
        <v>TRPZ2845</v>
      </c>
      <c r="U837" s="2" t="s">
        <v>1794</v>
      </c>
      <c r="V837" s="2"/>
      <c r="W837" s="2">
        <v>4.03</v>
      </c>
      <c r="X837" s="2">
        <v>6.54</v>
      </c>
      <c r="Y837" s="2">
        <v>2.46</v>
      </c>
      <c r="Z837" s="2">
        <v>0</v>
      </c>
      <c r="AA837" s="2">
        <v>0</v>
      </c>
      <c r="AB837" s="2">
        <v>0.62</v>
      </c>
      <c r="AC837" s="3" t="str">
        <f t="shared" si="26"/>
        <v>Pair</v>
      </c>
    </row>
    <row r="838" spans="1:29" x14ac:dyDescent="0.25">
      <c r="A838" s="1" t="s">
        <v>1795</v>
      </c>
      <c r="B838" s="2" t="s">
        <v>29</v>
      </c>
      <c r="C838" s="2"/>
      <c r="D838" s="2"/>
      <c r="E838" s="2" t="s">
        <v>1586</v>
      </c>
      <c r="F838" s="2">
        <v>2</v>
      </c>
      <c r="G838" s="2">
        <v>1.08</v>
      </c>
      <c r="H838" s="2" t="s">
        <v>396</v>
      </c>
      <c r="I838" s="2" t="s">
        <v>57</v>
      </c>
      <c r="J838" s="2" t="s">
        <v>33</v>
      </c>
      <c r="K838" s="2"/>
      <c r="L838" s="2"/>
      <c r="M838" s="2"/>
      <c r="N838" s="2"/>
      <c r="O838" s="2" t="s">
        <v>34</v>
      </c>
      <c r="P838" s="2"/>
      <c r="Q838" s="2"/>
      <c r="R838" s="2">
        <v>4200</v>
      </c>
      <c r="S838" s="2">
        <v>4536</v>
      </c>
      <c r="T838" s="13" t="str">
        <f t="shared" si="25"/>
        <v>TRPZ2849</v>
      </c>
      <c r="U838" s="2" t="s">
        <v>1796</v>
      </c>
      <c r="V838" s="2"/>
      <c r="W838" s="2">
        <v>3.87</v>
      </c>
      <c r="X838" s="2">
        <v>6.83</v>
      </c>
      <c r="Y838" s="2">
        <v>2.7</v>
      </c>
      <c r="Z838" s="2">
        <v>0</v>
      </c>
      <c r="AA838" s="2">
        <v>0</v>
      </c>
      <c r="AB838" s="2">
        <v>0.56999999999999995</v>
      </c>
      <c r="AC838" s="3" t="str">
        <f t="shared" si="26"/>
        <v>Pair</v>
      </c>
    </row>
    <row r="839" spans="1:29" x14ac:dyDescent="0.25">
      <c r="A839" s="1" t="s">
        <v>1797</v>
      </c>
      <c r="B839" s="2" t="s">
        <v>29</v>
      </c>
      <c r="C839" s="2"/>
      <c r="D839" s="2"/>
      <c r="E839" s="2" t="s">
        <v>1586</v>
      </c>
      <c r="F839" s="2">
        <v>2</v>
      </c>
      <c r="G839" s="2">
        <v>1.34</v>
      </c>
      <c r="H839" s="2" t="s">
        <v>31</v>
      </c>
      <c r="I839" s="2" t="s">
        <v>57</v>
      </c>
      <c r="J839" s="2" t="s">
        <v>33</v>
      </c>
      <c r="K839" s="2"/>
      <c r="L839" s="2"/>
      <c r="M839" s="2"/>
      <c r="N839" s="2"/>
      <c r="O839" s="2" t="s">
        <v>61</v>
      </c>
      <c r="P839" s="2"/>
      <c r="Q839" s="2"/>
      <c r="R839" s="2">
        <v>3900</v>
      </c>
      <c r="S839" s="2">
        <v>5226</v>
      </c>
      <c r="T839" s="13" t="str">
        <f t="shared" ref="T839:T902" si="27">IF(OR(TRIM(A839&amp;"")="",TRIM(A839&amp;"")="0"),"",HYPERLINK("https://gs.gsdiamonds.com/StoneDetails.aspx?name=" &amp; _xlfn.ENCODEURL(TRIM(A839&amp;"")), TRIM(A839&amp;"")))</f>
        <v>TRPZ2853</v>
      </c>
      <c r="U839" s="2" t="s">
        <v>1798</v>
      </c>
      <c r="V839" s="2"/>
      <c r="W839" s="2">
        <v>4.6100000000000003</v>
      </c>
      <c r="X839" s="2">
        <v>7.6</v>
      </c>
      <c r="Y839" s="2">
        <v>2.62</v>
      </c>
      <c r="Z839" s="2">
        <v>0</v>
      </c>
      <c r="AA839" s="2">
        <v>0</v>
      </c>
      <c r="AB839" s="2">
        <v>0.61</v>
      </c>
      <c r="AC839" s="3" t="str">
        <f t="shared" si="26"/>
        <v>Pair</v>
      </c>
    </row>
    <row r="840" spans="1:29" x14ac:dyDescent="0.25">
      <c r="A840" s="1" t="s">
        <v>1799</v>
      </c>
      <c r="B840" s="2" t="s">
        <v>29</v>
      </c>
      <c r="C840" s="2"/>
      <c r="D840" s="2"/>
      <c r="E840" s="2" t="s">
        <v>1586</v>
      </c>
      <c r="F840" s="2">
        <v>2</v>
      </c>
      <c r="G840" s="2">
        <v>0.62</v>
      </c>
      <c r="H840" s="2" t="s">
        <v>137</v>
      </c>
      <c r="I840" s="2" t="s">
        <v>57</v>
      </c>
      <c r="J840" s="2" t="s">
        <v>397</v>
      </c>
      <c r="K840" s="2"/>
      <c r="L840" s="2"/>
      <c r="M840" s="2"/>
      <c r="N840" s="2"/>
      <c r="O840" s="2"/>
      <c r="P840" s="2"/>
      <c r="Q840" s="2"/>
      <c r="R840" s="2">
        <v>2800</v>
      </c>
      <c r="S840" s="2">
        <v>1736</v>
      </c>
      <c r="T840" s="13" t="str">
        <f t="shared" si="27"/>
        <v>TRPZ2854</v>
      </c>
      <c r="U840" s="2" t="s">
        <v>1800</v>
      </c>
      <c r="V840" s="2"/>
      <c r="W840" s="2">
        <v>3.26</v>
      </c>
      <c r="X840" s="2">
        <v>6.47</v>
      </c>
      <c r="Y840" s="2">
        <v>2.12</v>
      </c>
      <c r="Z840" s="2">
        <v>0</v>
      </c>
      <c r="AA840" s="2">
        <v>0</v>
      </c>
      <c r="AB840" s="2">
        <v>0.5</v>
      </c>
      <c r="AC840" s="3" t="str">
        <f t="shared" si="26"/>
        <v>Pair</v>
      </c>
    </row>
    <row r="841" spans="1:29" x14ac:dyDescent="0.25">
      <c r="A841" s="1" t="s">
        <v>1801</v>
      </c>
      <c r="B841" s="2" t="s">
        <v>29</v>
      </c>
      <c r="C841" s="2"/>
      <c r="D841" s="2"/>
      <c r="E841" s="2" t="s">
        <v>1586</v>
      </c>
      <c r="F841" s="2">
        <v>2</v>
      </c>
      <c r="G841" s="2">
        <v>1.93</v>
      </c>
      <c r="H841" s="2" t="s">
        <v>396</v>
      </c>
      <c r="I841" s="2" t="s">
        <v>32</v>
      </c>
      <c r="J841" s="2" t="s">
        <v>33</v>
      </c>
      <c r="K841" s="2"/>
      <c r="L841" s="2"/>
      <c r="M841" s="2"/>
      <c r="N841" s="2"/>
      <c r="O841" s="2" t="s">
        <v>61</v>
      </c>
      <c r="P841" s="2"/>
      <c r="Q841" s="2"/>
      <c r="R841" s="2">
        <v>4200</v>
      </c>
      <c r="S841" s="2">
        <v>8106</v>
      </c>
      <c r="T841" s="13" t="str">
        <f t="shared" si="27"/>
        <v>TRPZ2855</v>
      </c>
      <c r="U841" s="2" t="s">
        <v>1802</v>
      </c>
      <c r="V841" s="2"/>
      <c r="W841" s="2">
        <v>8.43</v>
      </c>
      <c r="X841" s="2">
        <v>4.46</v>
      </c>
      <c r="Y841" s="2">
        <v>3.58</v>
      </c>
      <c r="Z841" s="2">
        <v>0</v>
      </c>
      <c r="AA841" s="2">
        <v>0</v>
      </c>
      <c r="AB841" s="2">
        <v>1.89</v>
      </c>
      <c r="AC841" s="3" t="str">
        <f t="shared" si="26"/>
        <v>Pair</v>
      </c>
    </row>
    <row r="842" spans="1:29" x14ac:dyDescent="0.25">
      <c r="A842" s="1" t="s">
        <v>1803</v>
      </c>
      <c r="B842" s="2" t="s">
        <v>29</v>
      </c>
      <c r="C842" s="2"/>
      <c r="D842" s="2"/>
      <c r="E842" s="2" t="s">
        <v>1586</v>
      </c>
      <c r="F842" s="2">
        <v>1</v>
      </c>
      <c r="G842" s="2">
        <v>0.32</v>
      </c>
      <c r="H842" s="2" t="s">
        <v>43</v>
      </c>
      <c r="I842" s="2" t="s">
        <v>166</v>
      </c>
      <c r="J842" s="2" t="s">
        <v>69</v>
      </c>
      <c r="K842" s="2"/>
      <c r="L842" s="2"/>
      <c r="M842" s="2"/>
      <c r="N842" s="2"/>
      <c r="O842" s="2" t="s">
        <v>34</v>
      </c>
      <c r="P842" s="2"/>
      <c r="Q842" s="2"/>
      <c r="R842" s="2">
        <v>1500</v>
      </c>
      <c r="S842" s="2">
        <v>480</v>
      </c>
      <c r="T842" s="13" t="str">
        <f t="shared" si="27"/>
        <v>LEV2422A</v>
      </c>
      <c r="U842" s="2" t="s">
        <v>1804</v>
      </c>
      <c r="V842" s="2"/>
      <c r="W842" s="2">
        <v>5.82</v>
      </c>
      <c r="X842" s="2">
        <v>3.73</v>
      </c>
      <c r="Y842" s="2">
        <v>2.0699999999999998</v>
      </c>
      <c r="Z842" s="2">
        <v>0</v>
      </c>
      <c r="AA842" s="2">
        <v>0</v>
      </c>
      <c r="AB842" s="2">
        <v>1.56</v>
      </c>
      <c r="AC842" s="3" t="str">
        <f t="shared" si="26"/>
        <v>Loose</v>
      </c>
    </row>
    <row r="843" spans="1:29" x14ac:dyDescent="0.25">
      <c r="A843" s="1" t="s">
        <v>1805</v>
      </c>
      <c r="B843" s="2" t="s">
        <v>29</v>
      </c>
      <c r="C843" s="2"/>
      <c r="D843" s="2"/>
      <c r="E843" s="2" t="s">
        <v>1586</v>
      </c>
      <c r="F843" s="2">
        <v>1</v>
      </c>
      <c r="G843" s="2">
        <v>0.42</v>
      </c>
      <c r="H843" s="2" t="s">
        <v>49</v>
      </c>
      <c r="I843" s="2" t="s">
        <v>57</v>
      </c>
      <c r="J843" s="2" t="s">
        <v>33</v>
      </c>
      <c r="K843" s="2"/>
      <c r="L843" s="2" t="s">
        <v>43</v>
      </c>
      <c r="M843" s="2" t="s">
        <v>43</v>
      </c>
      <c r="N843" s="2" t="s">
        <v>421</v>
      </c>
      <c r="O843" s="2" t="s">
        <v>58</v>
      </c>
      <c r="P843" s="2"/>
      <c r="Q843" s="2">
        <v>6233783981</v>
      </c>
      <c r="R843" s="2">
        <v>2300</v>
      </c>
      <c r="S843" s="2">
        <v>966</v>
      </c>
      <c r="T843" s="13" t="str">
        <f t="shared" si="27"/>
        <v>LEV2424A</v>
      </c>
      <c r="U843" s="2" t="s">
        <v>1806</v>
      </c>
      <c r="V843" s="2"/>
      <c r="W843" s="2">
        <v>3.4</v>
      </c>
      <c r="X843" s="2">
        <v>7.33</v>
      </c>
      <c r="Y843" s="2">
        <v>2.39</v>
      </c>
      <c r="Z843" s="2">
        <v>32.700000000000003</v>
      </c>
      <c r="AA843" s="2">
        <v>81</v>
      </c>
      <c r="AB843" s="2">
        <v>0.46</v>
      </c>
      <c r="AC843" s="3" t="str">
        <f t="shared" si="26"/>
        <v>Loose</v>
      </c>
    </row>
    <row r="844" spans="1:29" x14ac:dyDescent="0.25">
      <c r="A844" s="1" t="s">
        <v>1807</v>
      </c>
      <c r="B844" s="2" t="s">
        <v>29</v>
      </c>
      <c r="C844" s="2"/>
      <c r="D844" s="2"/>
      <c r="E844" s="2" t="s">
        <v>1586</v>
      </c>
      <c r="F844" s="2">
        <v>1</v>
      </c>
      <c r="G844" s="2">
        <v>0.12</v>
      </c>
      <c r="H844" s="2" t="s">
        <v>43</v>
      </c>
      <c r="I844" s="2" t="s">
        <v>39</v>
      </c>
      <c r="J844" s="2" t="s">
        <v>33</v>
      </c>
      <c r="K844" s="2"/>
      <c r="L844" s="2"/>
      <c r="M844" s="2"/>
      <c r="N844" s="2"/>
      <c r="O844" s="2" t="s">
        <v>34</v>
      </c>
      <c r="P844" s="2"/>
      <c r="Q844" s="2"/>
      <c r="R844" s="2">
        <v>583</v>
      </c>
      <c r="S844" s="2">
        <v>69.959999999999994</v>
      </c>
      <c r="T844" s="13" t="str">
        <f t="shared" si="27"/>
        <v>ALNRD06BAA</v>
      </c>
      <c r="U844" s="2" t="s">
        <v>1808</v>
      </c>
      <c r="V844" s="2"/>
      <c r="W844" s="2">
        <v>5.45</v>
      </c>
      <c r="X844" s="2">
        <v>2.2200000000000002</v>
      </c>
      <c r="Y844" s="2">
        <v>1.47</v>
      </c>
      <c r="Z844" s="2">
        <v>0</v>
      </c>
      <c r="AA844" s="2">
        <v>0</v>
      </c>
      <c r="AB844" s="2">
        <v>2.4500000000000002</v>
      </c>
      <c r="AC844" s="3" t="str">
        <f t="shared" si="26"/>
        <v>Loose</v>
      </c>
    </row>
    <row r="845" spans="1:29" x14ac:dyDescent="0.25">
      <c r="A845" s="1" t="s">
        <v>1809</v>
      </c>
      <c r="B845" s="2" t="s">
        <v>29</v>
      </c>
      <c r="C845" s="2"/>
      <c r="D845" s="2"/>
      <c r="E845" s="2" t="s">
        <v>1586</v>
      </c>
      <c r="F845" s="2">
        <v>1</v>
      </c>
      <c r="G845" s="2">
        <v>0.27</v>
      </c>
      <c r="H845" s="2" t="s">
        <v>38</v>
      </c>
      <c r="I845" s="2" t="s">
        <v>32</v>
      </c>
      <c r="J845" s="2" t="s">
        <v>33</v>
      </c>
      <c r="K845" s="2"/>
      <c r="L845" s="2"/>
      <c r="M845" s="2"/>
      <c r="N845" s="2"/>
      <c r="O845" s="2" t="s">
        <v>46</v>
      </c>
      <c r="P845" s="2"/>
      <c r="Q845" s="2"/>
      <c r="R845" s="2">
        <v>823</v>
      </c>
      <c r="S845" s="2">
        <v>222.21</v>
      </c>
      <c r="T845" s="13" t="str">
        <f t="shared" si="27"/>
        <v>LEV2412AAAA</v>
      </c>
      <c r="U845" s="2" t="s">
        <v>1810</v>
      </c>
      <c r="V845" s="2"/>
      <c r="W845" s="2">
        <v>6.07</v>
      </c>
      <c r="X845" s="2">
        <v>3.25</v>
      </c>
      <c r="Y845" s="2">
        <v>1.97</v>
      </c>
      <c r="Z845" s="2">
        <v>0</v>
      </c>
      <c r="AA845" s="2">
        <v>0</v>
      </c>
      <c r="AB845" s="2">
        <v>1.87</v>
      </c>
      <c r="AC845" s="3" t="str">
        <f t="shared" si="26"/>
        <v>Loose</v>
      </c>
    </row>
    <row r="846" spans="1:29" x14ac:dyDescent="0.25">
      <c r="A846" s="1" t="s">
        <v>1811</v>
      </c>
      <c r="B846" s="2" t="s">
        <v>29</v>
      </c>
      <c r="C846" s="2"/>
      <c r="D846" s="2"/>
      <c r="E846" s="2" t="s">
        <v>1586</v>
      </c>
      <c r="F846" s="2">
        <v>1</v>
      </c>
      <c r="G846" s="2">
        <v>0.24</v>
      </c>
      <c r="H846" s="2" t="s">
        <v>31</v>
      </c>
      <c r="I846" s="2" t="s">
        <v>57</v>
      </c>
      <c r="J846" s="2" t="s">
        <v>33</v>
      </c>
      <c r="K846" s="2"/>
      <c r="L846" s="2"/>
      <c r="M846" s="2"/>
      <c r="N846" s="2"/>
      <c r="O846" s="2" t="s">
        <v>34</v>
      </c>
      <c r="P846" s="2"/>
      <c r="Q846" s="2"/>
      <c r="R846" s="2">
        <v>717</v>
      </c>
      <c r="S846" s="2">
        <v>172.08</v>
      </c>
      <c r="T846" s="13" t="str">
        <f t="shared" si="27"/>
        <v>BLA004AAA</v>
      </c>
      <c r="U846" s="2" t="s">
        <v>1812</v>
      </c>
      <c r="V846" s="2"/>
      <c r="W846" s="2">
        <v>6.7</v>
      </c>
      <c r="X846" s="2">
        <v>2.79</v>
      </c>
      <c r="Y846" s="2">
        <v>1.74</v>
      </c>
      <c r="Z846" s="2">
        <v>0</v>
      </c>
      <c r="AA846" s="2">
        <v>0</v>
      </c>
      <c r="AB846" s="2">
        <v>2.4</v>
      </c>
      <c r="AC846" s="3" t="str">
        <f t="shared" si="26"/>
        <v>Loose</v>
      </c>
    </row>
    <row r="847" spans="1:29" x14ac:dyDescent="0.25">
      <c r="A847" s="1" t="s">
        <v>1813</v>
      </c>
      <c r="B847" s="2" t="s">
        <v>29</v>
      </c>
      <c r="C847" s="2"/>
      <c r="D847" s="2"/>
      <c r="E847" s="2" t="s">
        <v>1586</v>
      </c>
      <c r="F847" s="2">
        <v>1</v>
      </c>
      <c r="G847" s="2">
        <v>0.68</v>
      </c>
      <c r="H847" s="2" t="s">
        <v>396</v>
      </c>
      <c r="I847" s="2" t="s">
        <v>57</v>
      </c>
      <c r="J847" s="2" t="s">
        <v>397</v>
      </c>
      <c r="K847" s="2"/>
      <c r="L847" s="2" t="s">
        <v>43</v>
      </c>
      <c r="M847" s="2" t="s">
        <v>450</v>
      </c>
      <c r="N847" s="2" t="s">
        <v>421</v>
      </c>
      <c r="O847" s="2" t="s">
        <v>34</v>
      </c>
      <c r="P847" s="2"/>
      <c r="Q847" s="2">
        <v>6233743169</v>
      </c>
      <c r="R847" s="2">
        <v>4500</v>
      </c>
      <c r="S847" s="2">
        <v>3060</v>
      </c>
      <c r="T847" s="13" t="str">
        <f t="shared" si="27"/>
        <v>BLHL09AAA</v>
      </c>
      <c r="U847" s="2" t="s">
        <v>1814</v>
      </c>
      <c r="V847" s="2"/>
      <c r="W847" s="2">
        <v>4.01</v>
      </c>
      <c r="X847" s="2">
        <v>7.69</v>
      </c>
      <c r="Y847" s="2">
        <v>2.92</v>
      </c>
      <c r="Z847" s="2">
        <v>37.9</v>
      </c>
      <c r="AA847" s="2">
        <v>73</v>
      </c>
      <c r="AB847" s="2">
        <v>0.52</v>
      </c>
      <c r="AC847" s="3" t="str">
        <f t="shared" si="26"/>
        <v>Loose</v>
      </c>
    </row>
    <row r="848" spans="1:29" x14ac:dyDescent="0.25">
      <c r="A848" s="1" t="s">
        <v>1815</v>
      </c>
      <c r="B848" s="2" t="s">
        <v>29</v>
      </c>
      <c r="C848" s="2"/>
      <c r="D848" s="2"/>
      <c r="E848" s="2" t="s">
        <v>1586</v>
      </c>
      <c r="F848" s="2">
        <v>2</v>
      </c>
      <c r="G848" s="2">
        <v>0.5</v>
      </c>
      <c r="H848" s="2" t="s">
        <v>31</v>
      </c>
      <c r="I848" s="2" t="s">
        <v>32</v>
      </c>
      <c r="J848" s="2" t="s">
        <v>33</v>
      </c>
      <c r="K848" s="2"/>
      <c r="L848" s="2"/>
      <c r="M848" s="2"/>
      <c r="N848" s="2"/>
      <c r="O848" s="2"/>
      <c r="P848" s="2"/>
      <c r="Q848" s="2"/>
      <c r="R848" s="2">
        <v>1900</v>
      </c>
      <c r="S848" s="2">
        <v>950</v>
      </c>
      <c r="T848" s="13" t="str">
        <f t="shared" si="27"/>
        <v>TRPZ2856</v>
      </c>
      <c r="U848" s="2" t="s">
        <v>1816</v>
      </c>
      <c r="V848" s="2"/>
      <c r="W848" s="2">
        <v>5.65</v>
      </c>
      <c r="X848" s="2">
        <v>3.11</v>
      </c>
      <c r="Y848" s="2">
        <v>2.0099999999999998</v>
      </c>
      <c r="Z848" s="2">
        <v>0</v>
      </c>
      <c r="AA848" s="2">
        <v>0</v>
      </c>
      <c r="AB848" s="2">
        <v>1.82</v>
      </c>
      <c r="AC848" s="3" t="str">
        <f t="shared" si="26"/>
        <v>Pair</v>
      </c>
    </row>
    <row r="849" spans="1:29" x14ac:dyDescent="0.25">
      <c r="A849" s="1" t="s">
        <v>1817</v>
      </c>
      <c r="B849" s="2" t="s">
        <v>29</v>
      </c>
      <c r="C849" s="2"/>
      <c r="D849" s="2"/>
      <c r="E849" s="2" t="s">
        <v>1586</v>
      </c>
      <c r="F849" s="2">
        <v>1</v>
      </c>
      <c r="G849" s="2">
        <v>0.26</v>
      </c>
      <c r="H849" s="2" t="s">
        <v>73</v>
      </c>
      <c r="I849" s="2" t="s">
        <v>39</v>
      </c>
      <c r="J849" s="2" t="s">
        <v>33</v>
      </c>
      <c r="K849" s="2"/>
      <c r="L849" s="2"/>
      <c r="M849" s="2"/>
      <c r="N849" s="2"/>
      <c r="O849" s="2" t="s">
        <v>34</v>
      </c>
      <c r="P849" s="2"/>
      <c r="Q849" s="2"/>
      <c r="R849" s="2">
        <v>1100</v>
      </c>
      <c r="S849" s="2">
        <v>286</v>
      </c>
      <c r="T849" s="13" t="str">
        <f t="shared" si="27"/>
        <v>LEV152411AAAA</v>
      </c>
      <c r="U849" s="2" t="s">
        <v>1818</v>
      </c>
      <c r="V849" s="2"/>
      <c r="W849" s="2">
        <v>6.58</v>
      </c>
      <c r="X849" s="2">
        <v>2.76</v>
      </c>
      <c r="Y849" s="2">
        <v>1.86</v>
      </c>
      <c r="Z849" s="2">
        <v>0</v>
      </c>
      <c r="AA849" s="2">
        <v>0</v>
      </c>
      <c r="AB849" s="2">
        <v>2.38</v>
      </c>
      <c r="AC849" s="3" t="str">
        <f t="shared" si="26"/>
        <v>Loose</v>
      </c>
    </row>
    <row r="850" spans="1:29" x14ac:dyDescent="0.25">
      <c r="A850" s="1" t="s">
        <v>1819</v>
      </c>
      <c r="B850" s="2" t="s">
        <v>29</v>
      </c>
      <c r="C850" s="2"/>
      <c r="D850" s="2"/>
      <c r="E850" s="2" t="s">
        <v>1586</v>
      </c>
      <c r="F850" s="2">
        <v>2</v>
      </c>
      <c r="G850" s="2">
        <v>0.52</v>
      </c>
      <c r="H850" s="2" t="s">
        <v>43</v>
      </c>
      <c r="I850" s="2" t="s">
        <v>53</v>
      </c>
      <c r="J850" s="2" t="s">
        <v>397</v>
      </c>
      <c r="K850" s="2"/>
      <c r="L850" s="2"/>
      <c r="M850" s="2"/>
      <c r="N850" s="2"/>
      <c r="O850" s="2" t="s">
        <v>34</v>
      </c>
      <c r="P850" s="2"/>
      <c r="Q850" s="2"/>
      <c r="R850" s="2">
        <v>2000</v>
      </c>
      <c r="S850" s="2">
        <v>1040</v>
      </c>
      <c r="T850" s="13" t="str">
        <f t="shared" si="27"/>
        <v>TRPZ2858</v>
      </c>
      <c r="U850" s="2" t="s">
        <v>1820</v>
      </c>
      <c r="V850" s="2"/>
      <c r="W850" s="2">
        <v>6.05</v>
      </c>
      <c r="X850" s="2">
        <v>3.3</v>
      </c>
      <c r="Y850" s="2">
        <v>1.84</v>
      </c>
      <c r="Z850" s="2">
        <v>0</v>
      </c>
      <c r="AA850" s="2">
        <v>0</v>
      </c>
      <c r="AB850" s="2">
        <v>1.83</v>
      </c>
      <c r="AC850" s="3" t="str">
        <f t="shared" si="26"/>
        <v>Pair</v>
      </c>
    </row>
    <row r="851" spans="1:29" x14ac:dyDescent="0.25">
      <c r="A851" s="1" t="s">
        <v>1821</v>
      </c>
      <c r="B851" s="2" t="s">
        <v>29</v>
      </c>
      <c r="C851" s="2"/>
      <c r="D851" s="2"/>
      <c r="E851" s="2" t="s">
        <v>1586</v>
      </c>
      <c r="F851" s="2">
        <v>2</v>
      </c>
      <c r="G851" s="2">
        <v>0.62</v>
      </c>
      <c r="H851" s="2" t="s">
        <v>38</v>
      </c>
      <c r="I851" s="2" t="s">
        <v>57</v>
      </c>
      <c r="J851" s="2" t="s">
        <v>33</v>
      </c>
      <c r="K851" s="2"/>
      <c r="L851" s="2"/>
      <c r="M851" s="2"/>
      <c r="N851" s="2"/>
      <c r="O851" s="2" t="s">
        <v>34</v>
      </c>
      <c r="P851" s="2"/>
      <c r="Q851" s="2"/>
      <c r="R851" s="2">
        <v>2300</v>
      </c>
      <c r="S851" s="2">
        <v>1426</v>
      </c>
      <c r="T851" s="13" t="str">
        <f t="shared" si="27"/>
        <v>TRPZ2859</v>
      </c>
      <c r="U851" s="2" t="s">
        <v>1822</v>
      </c>
      <c r="V851" s="2"/>
      <c r="W851" s="2">
        <v>5.87</v>
      </c>
      <c r="X851" s="2">
        <v>3.63</v>
      </c>
      <c r="Y851" s="2">
        <v>2.21</v>
      </c>
      <c r="Z851" s="2">
        <v>0</v>
      </c>
      <c r="AA851" s="2">
        <v>0</v>
      </c>
      <c r="AB851" s="2">
        <v>1.62</v>
      </c>
      <c r="AC851" s="3" t="str">
        <f t="shared" si="26"/>
        <v>Pair</v>
      </c>
    </row>
    <row r="852" spans="1:29" x14ac:dyDescent="0.25">
      <c r="A852" s="1" t="s">
        <v>1823</v>
      </c>
      <c r="B852" s="2" t="s">
        <v>29</v>
      </c>
      <c r="C852" s="2"/>
      <c r="D852" s="2"/>
      <c r="E852" s="2" t="s">
        <v>1586</v>
      </c>
      <c r="F852" s="2">
        <v>1</v>
      </c>
      <c r="G852" s="2">
        <v>0.28000000000000003</v>
      </c>
      <c r="H852" s="2" t="s">
        <v>396</v>
      </c>
      <c r="I852" s="2" t="s">
        <v>57</v>
      </c>
      <c r="J852" s="2" t="s">
        <v>33</v>
      </c>
      <c r="K852" s="2"/>
      <c r="L852" s="2"/>
      <c r="M852" s="2"/>
      <c r="N852" s="2"/>
      <c r="O852" s="2" t="s">
        <v>34</v>
      </c>
      <c r="P852" s="2"/>
      <c r="Q852" s="2"/>
      <c r="R852" s="2">
        <v>602</v>
      </c>
      <c r="S852" s="2">
        <v>168.56</v>
      </c>
      <c r="T852" s="13" t="str">
        <f t="shared" si="27"/>
        <v>BLHL09BA</v>
      </c>
      <c r="U852" s="2" t="s">
        <v>1824</v>
      </c>
      <c r="V852" s="2"/>
      <c r="W852" s="2">
        <v>5.98</v>
      </c>
      <c r="X852" s="2">
        <v>3.31</v>
      </c>
      <c r="Y852" s="2">
        <v>2.0099999999999998</v>
      </c>
      <c r="Z852" s="2">
        <v>0</v>
      </c>
      <c r="AA852" s="2">
        <v>0</v>
      </c>
      <c r="AB852" s="2">
        <v>1.81</v>
      </c>
      <c r="AC852" s="3" t="str">
        <f t="shared" si="26"/>
        <v>Loose</v>
      </c>
    </row>
    <row r="853" spans="1:29" x14ac:dyDescent="0.25">
      <c r="A853" s="1" t="s">
        <v>1825</v>
      </c>
      <c r="B853" s="2" t="s">
        <v>29</v>
      </c>
      <c r="C853" s="2"/>
      <c r="D853" s="2"/>
      <c r="E853" s="2" t="s">
        <v>1586</v>
      </c>
      <c r="F853" s="2">
        <v>1</v>
      </c>
      <c r="G853" s="2">
        <v>0.31</v>
      </c>
      <c r="H853" s="2" t="s">
        <v>137</v>
      </c>
      <c r="I853" s="2" t="s">
        <v>39</v>
      </c>
      <c r="J853" s="2" t="s">
        <v>33</v>
      </c>
      <c r="K853" s="2"/>
      <c r="L853" s="2"/>
      <c r="M853" s="2"/>
      <c r="N853" s="2"/>
      <c r="O853" s="2" t="s">
        <v>58</v>
      </c>
      <c r="P853" s="2"/>
      <c r="Q853" s="2"/>
      <c r="R853" s="2">
        <v>2500</v>
      </c>
      <c r="S853" s="2">
        <v>775</v>
      </c>
      <c r="T853" s="13" t="str">
        <f t="shared" si="27"/>
        <v>LEV2420A</v>
      </c>
      <c r="U853" s="2" t="s">
        <v>1826</v>
      </c>
      <c r="V853" s="2"/>
      <c r="W853" s="2">
        <v>6.22</v>
      </c>
      <c r="X853" s="2">
        <v>3.57</v>
      </c>
      <c r="Y853" s="2">
        <v>1.89</v>
      </c>
      <c r="Z853" s="2">
        <v>0</v>
      </c>
      <c r="AA853" s="2">
        <v>0</v>
      </c>
      <c r="AB853" s="2">
        <v>1.74</v>
      </c>
      <c r="AC853" s="3" t="str">
        <f t="shared" si="26"/>
        <v>Loose</v>
      </c>
    </row>
    <row r="854" spans="1:29" x14ac:dyDescent="0.25">
      <c r="A854" s="1" t="s">
        <v>1827</v>
      </c>
      <c r="B854" s="2" t="s">
        <v>29</v>
      </c>
      <c r="C854" s="2"/>
      <c r="D854" s="2"/>
      <c r="E854" s="2" t="s">
        <v>1586</v>
      </c>
      <c r="F854" s="2">
        <v>1</v>
      </c>
      <c r="G854" s="2">
        <v>0.34</v>
      </c>
      <c r="H854" s="2" t="s">
        <v>396</v>
      </c>
      <c r="I854" s="2" t="s">
        <v>53</v>
      </c>
      <c r="J854" s="2" t="s">
        <v>33</v>
      </c>
      <c r="K854" s="2"/>
      <c r="L854" s="2"/>
      <c r="M854" s="2"/>
      <c r="N854" s="2"/>
      <c r="O854" s="2" t="s">
        <v>34</v>
      </c>
      <c r="P854" s="2"/>
      <c r="Q854" s="2"/>
      <c r="R854" s="2">
        <v>3000</v>
      </c>
      <c r="S854" s="2">
        <v>1020</v>
      </c>
      <c r="T854" s="13" t="str">
        <f t="shared" si="27"/>
        <v>LEV2403A</v>
      </c>
      <c r="U854" s="2" t="s">
        <v>1828</v>
      </c>
      <c r="V854" s="2"/>
      <c r="W854" s="2">
        <v>6.76</v>
      </c>
      <c r="X854" s="2">
        <v>3.35</v>
      </c>
      <c r="Y854" s="2">
        <v>2.13</v>
      </c>
      <c r="Z854" s="2">
        <v>0</v>
      </c>
      <c r="AA854" s="2">
        <v>0</v>
      </c>
      <c r="AB854" s="2">
        <v>2.02</v>
      </c>
      <c r="AC854" s="3" t="str">
        <f t="shared" si="26"/>
        <v>Loose</v>
      </c>
    </row>
    <row r="855" spans="1:29" x14ac:dyDescent="0.25">
      <c r="A855" s="1" t="s">
        <v>1829</v>
      </c>
      <c r="B855" s="2" t="s">
        <v>29</v>
      </c>
      <c r="C855" s="2"/>
      <c r="D855" s="2"/>
      <c r="E855" s="2" t="s">
        <v>1586</v>
      </c>
      <c r="F855" s="2">
        <v>2</v>
      </c>
      <c r="G855" s="2">
        <v>0.46</v>
      </c>
      <c r="H855" s="2" t="s">
        <v>137</v>
      </c>
      <c r="I855" s="2" t="s">
        <v>57</v>
      </c>
      <c r="J855" s="2" t="s">
        <v>33</v>
      </c>
      <c r="K855" s="2"/>
      <c r="L855" s="2"/>
      <c r="M855" s="2"/>
      <c r="N855" s="2"/>
      <c r="O855" s="2"/>
      <c r="P855" s="2"/>
      <c r="Q855" s="2"/>
      <c r="R855" s="2">
        <v>1900</v>
      </c>
      <c r="S855" s="2">
        <v>874</v>
      </c>
      <c r="T855" s="13" t="str">
        <f t="shared" si="27"/>
        <v>TRPZ2860</v>
      </c>
      <c r="U855" s="2" t="s">
        <v>1830</v>
      </c>
      <c r="V855" s="2"/>
      <c r="W855" s="2">
        <v>5.55</v>
      </c>
      <c r="X855" s="2">
        <v>2.92</v>
      </c>
      <c r="Y855" s="2">
        <v>1.93</v>
      </c>
      <c r="Z855" s="2">
        <v>0</v>
      </c>
      <c r="AA855" s="2">
        <v>0</v>
      </c>
      <c r="AB855" s="2">
        <v>1.9</v>
      </c>
      <c r="AC855" s="3" t="str">
        <f t="shared" si="26"/>
        <v>Pair</v>
      </c>
    </row>
    <row r="856" spans="1:29" x14ac:dyDescent="0.25">
      <c r="A856" s="1" t="s">
        <v>1831</v>
      </c>
      <c r="B856" s="2" t="s">
        <v>29</v>
      </c>
      <c r="C856" s="2"/>
      <c r="D856" s="2"/>
      <c r="E856" s="2" t="s">
        <v>1586</v>
      </c>
      <c r="F856" s="2">
        <v>2</v>
      </c>
      <c r="G856" s="2">
        <v>0.95</v>
      </c>
      <c r="H856" s="2" t="s">
        <v>38</v>
      </c>
      <c r="I856" s="2" t="s">
        <v>32</v>
      </c>
      <c r="J856" s="2" t="s">
        <v>33</v>
      </c>
      <c r="K856" s="2"/>
      <c r="L856" s="2"/>
      <c r="M856" s="2"/>
      <c r="N856" s="2"/>
      <c r="O856" s="2" t="s">
        <v>34</v>
      </c>
      <c r="P856" s="2"/>
      <c r="Q856" s="2"/>
      <c r="R856" s="2">
        <v>3500</v>
      </c>
      <c r="S856" s="2">
        <v>3325</v>
      </c>
      <c r="T856" s="13" t="str">
        <f t="shared" si="27"/>
        <v>TRPZ2866</v>
      </c>
      <c r="U856" s="2" t="s">
        <v>1832</v>
      </c>
      <c r="V856" s="2"/>
      <c r="W856" s="2">
        <v>3.79</v>
      </c>
      <c r="X856" s="2">
        <v>7.62</v>
      </c>
      <c r="Y856" s="2">
        <v>2.2000000000000002</v>
      </c>
      <c r="Z856" s="2">
        <v>0</v>
      </c>
      <c r="AA856" s="2">
        <v>0</v>
      </c>
      <c r="AB856" s="2">
        <v>0.5</v>
      </c>
      <c r="AC856" s="3" t="str">
        <f t="shared" si="26"/>
        <v>Pair</v>
      </c>
    </row>
    <row r="857" spans="1:29" x14ac:dyDescent="0.25">
      <c r="A857" s="1" t="s">
        <v>1833</v>
      </c>
      <c r="B857" s="2" t="s">
        <v>29</v>
      </c>
      <c r="C857" s="2"/>
      <c r="D857" s="2"/>
      <c r="E857" s="2" t="s">
        <v>1586</v>
      </c>
      <c r="F857" s="2">
        <v>1</v>
      </c>
      <c r="G857" s="2">
        <v>0.34</v>
      </c>
      <c r="H857" s="2" t="s">
        <v>396</v>
      </c>
      <c r="I857" s="2" t="s">
        <v>39</v>
      </c>
      <c r="J857" s="2" t="s">
        <v>33</v>
      </c>
      <c r="K857" s="2"/>
      <c r="L857" s="2"/>
      <c r="M857" s="2"/>
      <c r="N857" s="2"/>
      <c r="O857" s="2" t="s">
        <v>46</v>
      </c>
      <c r="P857" s="2"/>
      <c r="Q857" s="2"/>
      <c r="R857" s="2">
        <v>2500</v>
      </c>
      <c r="S857" s="2">
        <v>850</v>
      </c>
      <c r="T857" s="13" t="str">
        <f t="shared" si="27"/>
        <v>LEV2407A</v>
      </c>
      <c r="U857" s="2" t="s">
        <v>1834</v>
      </c>
      <c r="V857" s="2"/>
      <c r="W857" s="2">
        <v>6.29</v>
      </c>
      <c r="X857" s="2">
        <v>3.63</v>
      </c>
      <c r="Y857" s="2">
        <v>2</v>
      </c>
      <c r="Z857" s="2">
        <v>0</v>
      </c>
      <c r="AA857" s="2">
        <v>0</v>
      </c>
      <c r="AB857" s="2">
        <v>1.73</v>
      </c>
      <c r="AC857" s="3" t="str">
        <f t="shared" si="26"/>
        <v>Loose</v>
      </c>
    </row>
    <row r="858" spans="1:29" x14ac:dyDescent="0.25">
      <c r="A858" s="1" t="s">
        <v>1835</v>
      </c>
      <c r="B858" s="2" t="s">
        <v>29</v>
      </c>
      <c r="C858" s="2"/>
      <c r="D858" s="2"/>
      <c r="E858" s="2" t="s">
        <v>1586</v>
      </c>
      <c r="F858" s="2">
        <v>2</v>
      </c>
      <c r="G858" s="2">
        <v>0.62</v>
      </c>
      <c r="H858" s="2" t="s">
        <v>396</v>
      </c>
      <c r="I858" s="2" t="s">
        <v>57</v>
      </c>
      <c r="J858" s="2" t="s">
        <v>33</v>
      </c>
      <c r="K858" s="2"/>
      <c r="L858" s="2"/>
      <c r="M858" s="2"/>
      <c r="N858" s="2"/>
      <c r="O858" s="2" t="s">
        <v>909</v>
      </c>
      <c r="P858" s="2"/>
      <c r="Q858" s="2"/>
      <c r="R858" s="2">
        <v>2100</v>
      </c>
      <c r="S858" s="2">
        <v>1302</v>
      </c>
      <c r="T858" s="13" t="str">
        <f t="shared" si="27"/>
        <v>TRPZ2868</v>
      </c>
      <c r="U858" s="2" t="s">
        <v>1836</v>
      </c>
      <c r="V858" s="2"/>
      <c r="W858" s="2">
        <v>5.51</v>
      </c>
      <c r="X858" s="2">
        <v>3.4</v>
      </c>
      <c r="Y858" s="2">
        <v>2.2799999999999998</v>
      </c>
      <c r="Z858" s="2">
        <v>0</v>
      </c>
      <c r="AA858" s="2">
        <v>0</v>
      </c>
      <c r="AB858" s="2">
        <v>1.62</v>
      </c>
      <c r="AC858" s="3" t="str">
        <f t="shared" si="26"/>
        <v>Pair</v>
      </c>
    </row>
    <row r="859" spans="1:29" x14ac:dyDescent="0.25">
      <c r="A859" s="1" t="s">
        <v>1837</v>
      </c>
      <c r="B859" s="2" t="s">
        <v>29</v>
      </c>
      <c r="C859" s="2"/>
      <c r="D859" s="2"/>
      <c r="E859" s="2" t="s">
        <v>1586</v>
      </c>
      <c r="F859" s="2">
        <v>2</v>
      </c>
      <c r="G859" s="2">
        <v>0.51</v>
      </c>
      <c r="H859" s="2" t="s">
        <v>38</v>
      </c>
      <c r="I859" s="2" t="s">
        <v>39</v>
      </c>
      <c r="J859" s="2" t="s">
        <v>397</v>
      </c>
      <c r="K859" s="2"/>
      <c r="L859" s="2"/>
      <c r="M859" s="2"/>
      <c r="N859" s="2"/>
      <c r="O859" s="2"/>
      <c r="P859" s="2"/>
      <c r="Q859" s="2"/>
      <c r="R859" s="2">
        <v>1900</v>
      </c>
      <c r="S859" s="2">
        <v>969</v>
      </c>
      <c r="T859" s="13" t="str">
        <f t="shared" si="27"/>
        <v>TRPZ2867</v>
      </c>
      <c r="U859" s="2" t="s">
        <v>1838</v>
      </c>
      <c r="V859" s="2"/>
      <c r="W859" s="2">
        <v>6.01</v>
      </c>
      <c r="X859" s="2">
        <v>3.2</v>
      </c>
      <c r="Y859" s="2">
        <v>1.89</v>
      </c>
      <c r="Z859" s="2">
        <v>0</v>
      </c>
      <c r="AA859" s="2">
        <v>0</v>
      </c>
      <c r="AB859" s="2">
        <v>1.88</v>
      </c>
      <c r="AC859" s="3" t="str">
        <f t="shared" si="26"/>
        <v>Pair</v>
      </c>
    </row>
    <row r="860" spans="1:29" x14ac:dyDescent="0.25">
      <c r="A860" s="1" t="s">
        <v>1839</v>
      </c>
      <c r="B860" s="2" t="s">
        <v>29</v>
      </c>
      <c r="C860" s="2"/>
      <c r="D860" s="2"/>
      <c r="E860" s="2" t="s">
        <v>1586</v>
      </c>
      <c r="F860" s="2">
        <v>2</v>
      </c>
      <c r="G860" s="2">
        <v>0.52</v>
      </c>
      <c r="H860" s="2" t="s">
        <v>38</v>
      </c>
      <c r="I860" s="2" t="s">
        <v>57</v>
      </c>
      <c r="J860" s="2" t="s">
        <v>397</v>
      </c>
      <c r="K860" s="2"/>
      <c r="L860" s="2"/>
      <c r="M860" s="2"/>
      <c r="N860" s="2"/>
      <c r="O860" s="2" t="s">
        <v>34</v>
      </c>
      <c r="P860" s="2"/>
      <c r="Q860" s="2"/>
      <c r="R860" s="2">
        <v>2700</v>
      </c>
      <c r="S860" s="2">
        <v>1404</v>
      </c>
      <c r="T860" s="13" t="str">
        <f t="shared" si="27"/>
        <v>TRPZ2865</v>
      </c>
      <c r="U860" s="2" t="s">
        <v>1840</v>
      </c>
      <c r="V860" s="2"/>
      <c r="W860" s="2">
        <v>7.06</v>
      </c>
      <c r="X860" s="2">
        <v>2.76</v>
      </c>
      <c r="Y860" s="2">
        <v>1.98</v>
      </c>
      <c r="Z860" s="2">
        <v>0</v>
      </c>
      <c r="AA860" s="2">
        <v>0</v>
      </c>
      <c r="AB860" s="2">
        <v>2.56</v>
      </c>
      <c r="AC860" s="3" t="str">
        <f t="shared" si="26"/>
        <v>Pair</v>
      </c>
    </row>
    <row r="861" spans="1:29" x14ac:dyDescent="0.25">
      <c r="A861" s="1" t="s">
        <v>1841</v>
      </c>
      <c r="B861" s="2" t="s">
        <v>29</v>
      </c>
      <c r="C861" s="2"/>
      <c r="D861" s="2"/>
      <c r="E861" s="2" t="s">
        <v>1586</v>
      </c>
      <c r="F861" s="2">
        <v>2</v>
      </c>
      <c r="G861" s="2">
        <v>0.61</v>
      </c>
      <c r="H861" s="2" t="s">
        <v>38</v>
      </c>
      <c r="I861" s="2" t="s">
        <v>39</v>
      </c>
      <c r="J861" s="2" t="s">
        <v>397</v>
      </c>
      <c r="K861" s="2"/>
      <c r="L861" s="2"/>
      <c r="M861" s="2"/>
      <c r="N861" s="2"/>
      <c r="O861" s="2"/>
      <c r="P861" s="2"/>
      <c r="Q861" s="2"/>
      <c r="R861" s="2">
        <v>2500</v>
      </c>
      <c r="S861" s="2">
        <v>1525</v>
      </c>
      <c r="T861" s="13" t="str">
        <f t="shared" si="27"/>
        <v>TRPZ2864</v>
      </c>
      <c r="U861" s="2" t="s">
        <v>1842</v>
      </c>
      <c r="V861" s="2"/>
      <c r="W861" s="2">
        <v>6.08</v>
      </c>
      <c r="X861" s="2">
        <v>3.07</v>
      </c>
      <c r="Y861" s="2">
        <v>2.2000000000000002</v>
      </c>
      <c r="Z861" s="2">
        <v>0</v>
      </c>
      <c r="AA861" s="2">
        <v>0</v>
      </c>
      <c r="AB861" s="2">
        <v>1.98</v>
      </c>
      <c r="AC861" s="3" t="str">
        <f t="shared" si="26"/>
        <v>Pair</v>
      </c>
    </row>
    <row r="862" spans="1:29" x14ac:dyDescent="0.25">
      <c r="A862" s="1" t="s">
        <v>1843</v>
      </c>
      <c r="B862" s="2" t="s">
        <v>29</v>
      </c>
      <c r="C862" s="2"/>
      <c r="D862" s="2"/>
      <c r="E862" s="2" t="s">
        <v>1586</v>
      </c>
      <c r="F862" s="2">
        <v>2</v>
      </c>
      <c r="G862" s="2">
        <v>0.41</v>
      </c>
      <c r="H862" s="2" t="s">
        <v>43</v>
      </c>
      <c r="I862" s="2" t="s">
        <v>57</v>
      </c>
      <c r="J862" s="2" t="s">
        <v>397</v>
      </c>
      <c r="K862" s="2"/>
      <c r="L862" s="2"/>
      <c r="M862" s="2"/>
      <c r="N862" s="2"/>
      <c r="O862" s="2"/>
      <c r="P862" s="2"/>
      <c r="Q862" s="2"/>
      <c r="R862" s="2">
        <v>1900</v>
      </c>
      <c r="S862" s="2">
        <v>779</v>
      </c>
      <c r="T862" s="13" t="str">
        <f t="shared" si="27"/>
        <v>TRPZ2863</v>
      </c>
      <c r="U862" s="2" t="s">
        <v>1844</v>
      </c>
      <c r="V862" s="2"/>
      <c r="W862" s="2">
        <v>6.04</v>
      </c>
      <c r="X862" s="2">
        <v>2.4300000000000002</v>
      </c>
      <c r="Y862" s="2">
        <v>1.87</v>
      </c>
      <c r="Z862" s="2">
        <v>0</v>
      </c>
      <c r="AA862" s="2">
        <v>0</v>
      </c>
      <c r="AB862" s="2">
        <v>2.4900000000000002</v>
      </c>
      <c r="AC862" s="3" t="str">
        <f t="shared" si="26"/>
        <v>Pair</v>
      </c>
    </row>
    <row r="863" spans="1:29" x14ac:dyDescent="0.25">
      <c r="A863" s="1" t="s">
        <v>1845</v>
      </c>
      <c r="B863" s="2" t="s">
        <v>29</v>
      </c>
      <c r="C863" s="2"/>
      <c r="D863" s="2"/>
      <c r="E863" s="2" t="s">
        <v>1586</v>
      </c>
      <c r="F863" s="2">
        <v>2</v>
      </c>
      <c r="G863" s="2">
        <v>0.44</v>
      </c>
      <c r="H863" s="2" t="s">
        <v>396</v>
      </c>
      <c r="I863" s="2" t="s">
        <v>57</v>
      </c>
      <c r="J863" s="2" t="s">
        <v>33</v>
      </c>
      <c r="K863" s="2"/>
      <c r="L863" s="2"/>
      <c r="M863" s="2"/>
      <c r="N863" s="2"/>
      <c r="O863" s="2" t="s">
        <v>58</v>
      </c>
      <c r="P863" s="2"/>
      <c r="Q863" s="2"/>
      <c r="R863" s="2">
        <v>2200</v>
      </c>
      <c r="S863" s="2">
        <v>968</v>
      </c>
      <c r="T863" s="13" t="str">
        <f t="shared" si="27"/>
        <v>TRPZ2862</v>
      </c>
      <c r="U863" s="2" t="s">
        <v>1846</v>
      </c>
      <c r="V863" s="2"/>
      <c r="W863" s="2">
        <v>5.85</v>
      </c>
      <c r="X863" s="2">
        <v>3.09</v>
      </c>
      <c r="Y863" s="2">
        <v>1.76</v>
      </c>
      <c r="Z863" s="2">
        <v>0</v>
      </c>
      <c r="AA863" s="2">
        <v>0</v>
      </c>
      <c r="AB863" s="2">
        <v>1.89</v>
      </c>
      <c r="AC863" s="3" t="str">
        <f t="shared" si="26"/>
        <v>Pair</v>
      </c>
    </row>
    <row r="864" spans="1:29" x14ac:dyDescent="0.25">
      <c r="A864" s="1" t="s">
        <v>1847</v>
      </c>
      <c r="B864" s="2" t="s">
        <v>29</v>
      </c>
      <c r="C864" s="2"/>
      <c r="D864" s="2"/>
      <c r="E864" s="2" t="s">
        <v>1586</v>
      </c>
      <c r="F864" s="2">
        <v>2</v>
      </c>
      <c r="G864" s="2">
        <v>0.32</v>
      </c>
      <c r="H864" s="2" t="s">
        <v>49</v>
      </c>
      <c r="I864" s="2" t="s">
        <v>32</v>
      </c>
      <c r="J864" s="2" t="s">
        <v>33</v>
      </c>
      <c r="K864" s="2"/>
      <c r="L864" s="2"/>
      <c r="M864" s="2"/>
      <c r="N864" s="2"/>
      <c r="O864" s="2" t="s">
        <v>46</v>
      </c>
      <c r="P864" s="2"/>
      <c r="Q864" s="2"/>
      <c r="R864" s="2">
        <v>1500</v>
      </c>
      <c r="S864" s="2">
        <v>480</v>
      </c>
      <c r="T864" s="13" t="str">
        <f t="shared" si="27"/>
        <v>TRPZ2861</v>
      </c>
      <c r="U864" s="2" t="s">
        <v>1848</v>
      </c>
      <c r="V864" s="2"/>
      <c r="W864" s="2">
        <v>6.19</v>
      </c>
      <c r="X864" s="2">
        <v>2.48</v>
      </c>
      <c r="Y864" s="2">
        <v>1.49</v>
      </c>
      <c r="Z864" s="2">
        <v>0</v>
      </c>
      <c r="AA864" s="2">
        <v>0</v>
      </c>
      <c r="AB864" s="2">
        <v>2.5</v>
      </c>
      <c r="AC864" s="3" t="str">
        <f t="shared" si="26"/>
        <v>Pair</v>
      </c>
    </row>
    <row r="865" spans="1:29" x14ac:dyDescent="0.25">
      <c r="A865" s="1" t="s">
        <v>1849</v>
      </c>
      <c r="B865" s="2" t="s">
        <v>29</v>
      </c>
      <c r="C865" s="2"/>
      <c r="D865" s="2"/>
      <c r="E865" s="2" t="s">
        <v>1586</v>
      </c>
      <c r="F865" s="2">
        <v>1</v>
      </c>
      <c r="G865" s="2">
        <v>0.6</v>
      </c>
      <c r="H865" s="2" t="s">
        <v>43</v>
      </c>
      <c r="I865" s="2" t="s">
        <v>39</v>
      </c>
      <c r="J865" s="2" t="s">
        <v>33</v>
      </c>
      <c r="K865" s="2"/>
      <c r="L865" s="2"/>
      <c r="M865" s="2"/>
      <c r="N865" s="2"/>
      <c r="O865" s="2" t="s">
        <v>46</v>
      </c>
      <c r="P865" s="2"/>
      <c r="Q865" s="2"/>
      <c r="R865" s="2">
        <v>3507</v>
      </c>
      <c r="S865" s="2">
        <v>2104.1999999999998</v>
      </c>
      <c r="T865" s="13" t="str">
        <f t="shared" si="27"/>
        <v>BLHL11AAAAAA</v>
      </c>
      <c r="U865" s="2" t="s">
        <v>1850</v>
      </c>
      <c r="V865" s="2"/>
      <c r="W865" s="2">
        <v>7.72</v>
      </c>
      <c r="X865" s="2">
        <v>4.03</v>
      </c>
      <c r="Y865" s="2">
        <v>2.61</v>
      </c>
      <c r="Z865" s="2">
        <v>0</v>
      </c>
      <c r="AA865" s="2">
        <v>0</v>
      </c>
      <c r="AB865" s="2">
        <v>1.92</v>
      </c>
      <c r="AC865" s="3" t="str">
        <f t="shared" si="26"/>
        <v>Loose</v>
      </c>
    </row>
    <row r="866" spans="1:29" x14ac:dyDescent="0.25">
      <c r="A866" s="1" t="s">
        <v>1851</v>
      </c>
      <c r="B866" s="2" t="s">
        <v>29</v>
      </c>
      <c r="C866" s="2"/>
      <c r="D866" s="2"/>
      <c r="E866" s="2" t="s">
        <v>1586</v>
      </c>
      <c r="F866" s="2">
        <v>2</v>
      </c>
      <c r="G866" s="2">
        <v>0.8</v>
      </c>
      <c r="H866" s="2" t="s">
        <v>38</v>
      </c>
      <c r="I866" s="2" t="s">
        <v>53</v>
      </c>
      <c r="J866" s="2" t="s">
        <v>33</v>
      </c>
      <c r="K866" s="2"/>
      <c r="L866" s="2"/>
      <c r="M866" s="2"/>
      <c r="N866" s="2"/>
      <c r="O866" s="2" t="s">
        <v>61</v>
      </c>
      <c r="P866" s="2"/>
      <c r="Q866" s="2"/>
      <c r="R866" s="2">
        <v>2600</v>
      </c>
      <c r="S866" s="2">
        <v>2080</v>
      </c>
      <c r="T866" s="13" t="str">
        <f t="shared" si="27"/>
        <v>TRPZ2869</v>
      </c>
      <c r="U866" s="2" t="s">
        <v>1852</v>
      </c>
      <c r="V866" s="2"/>
      <c r="W866" s="2">
        <v>6.28</v>
      </c>
      <c r="X866" s="2">
        <v>3.64</v>
      </c>
      <c r="Y866" s="2">
        <v>2.5</v>
      </c>
      <c r="Z866" s="2">
        <v>0</v>
      </c>
      <c r="AA866" s="2">
        <v>0</v>
      </c>
      <c r="AB866" s="2">
        <v>1.73</v>
      </c>
      <c r="AC866" s="3" t="str">
        <f t="shared" si="26"/>
        <v>Pair</v>
      </c>
    </row>
    <row r="867" spans="1:29" x14ac:dyDescent="0.25">
      <c r="A867" s="1" t="s">
        <v>1853</v>
      </c>
      <c r="B867" s="2" t="s">
        <v>29</v>
      </c>
      <c r="C867" s="2"/>
      <c r="D867" s="2"/>
      <c r="E867" s="2" t="s">
        <v>1586</v>
      </c>
      <c r="F867" s="2">
        <v>2</v>
      </c>
      <c r="G867" s="2">
        <v>0.47</v>
      </c>
      <c r="H867" s="2" t="s">
        <v>137</v>
      </c>
      <c r="I867" s="2" t="s">
        <v>50</v>
      </c>
      <c r="J867" s="2" t="s">
        <v>33</v>
      </c>
      <c r="K867" s="2"/>
      <c r="L867" s="2"/>
      <c r="M867" s="2"/>
      <c r="N867" s="2"/>
      <c r="O867" s="2" t="s">
        <v>70</v>
      </c>
      <c r="P867" s="2"/>
      <c r="Q867" s="2"/>
      <c r="R867" s="2">
        <v>1500</v>
      </c>
      <c r="S867" s="2">
        <v>705</v>
      </c>
      <c r="T867" s="13" t="str">
        <f t="shared" si="27"/>
        <v>TRPZ2870</v>
      </c>
      <c r="U867" s="2" t="s">
        <v>1854</v>
      </c>
      <c r="V867" s="2"/>
      <c r="W867" s="2">
        <v>5.43</v>
      </c>
      <c r="X867" s="2">
        <v>3.03</v>
      </c>
      <c r="Y867" s="2">
        <v>2.02</v>
      </c>
      <c r="Z867" s="2">
        <v>0</v>
      </c>
      <c r="AA867" s="2">
        <v>0</v>
      </c>
      <c r="AB867" s="2">
        <v>1.79</v>
      </c>
      <c r="AC867" s="3" t="str">
        <f t="shared" si="26"/>
        <v>Pair</v>
      </c>
    </row>
    <row r="868" spans="1:29" x14ac:dyDescent="0.25">
      <c r="A868" s="1" t="s">
        <v>1855</v>
      </c>
      <c r="B868" s="2" t="s">
        <v>29</v>
      </c>
      <c r="C868" s="2"/>
      <c r="D868" s="2"/>
      <c r="E868" s="2" t="s">
        <v>1856</v>
      </c>
      <c r="F868" s="2">
        <v>1</v>
      </c>
      <c r="G868" s="2">
        <v>0.69</v>
      </c>
      <c r="H868" s="2" t="s">
        <v>38</v>
      </c>
      <c r="I868" s="2" t="s">
        <v>68</v>
      </c>
      <c r="J868" s="2" t="s">
        <v>397</v>
      </c>
      <c r="K868" s="2"/>
      <c r="L868" s="2" t="s">
        <v>43</v>
      </c>
      <c r="M868" s="2" t="s">
        <v>43</v>
      </c>
      <c r="N868" s="2" t="s">
        <v>421</v>
      </c>
      <c r="O868" s="2" t="s">
        <v>34</v>
      </c>
      <c r="P868" s="2"/>
      <c r="Q868" s="2">
        <v>5393783868</v>
      </c>
      <c r="R868" s="2">
        <v>5000</v>
      </c>
      <c r="S868" s="2">
        <v>3450</v>
      </c>
      <c r="T868" s="13" t="str">
        <f t="shared" si="27"/>
        <v>LIL05</v>
      </c>
      <c r="U868" s="2" t="s">
        <v>1857</v>
      </c>
      <c r="V868" s="2"/>
      <c r="W868" s="2">
        <v>4.54</v>
      </c>
      <c r="X868" s="2">
        <v>8.0500000000000007</v>
      </c>
      <c r="Y868" s="2">
        <v>2.5</v>
      </c>
      <c r="Z868" s="2">
        <v>31</v>
      </c>
      <c r="AA868" s="2">
        <v>76</v>
      </c>
      <c r="AB868" s="2">
        <v>0.56000000000000005</v>
      </c>
      <c r="AC868" s="3" t="str">
        <f t="shared" si="26"/>
        <v>Loose</v>
      </c>
    </row>
    <row r="869" spans="1:29" x14ac:dyDescent="0.25">
      <c r="A869" s="1" t="s">
        <v>1858</v>
      </c>
      <c r="B869" s="2" t="s">
        <v>29</v>
      </c>
      <c r="C869" s="2"/>
      <c r="D869" s="2"/>
      <c r="E869" s="2" t="s">
        <v>1856</v>
      </c>
      <c r="F869" s="2">
        <v>1</v>
      </c>
      <c r="G869" s="2">
        <v>1.01</v>
      </c>
      <c r="H869" s="2" t="s">
        <v>31</v>
      </c>
      <c r="I869" s="2" t="s">
        <v>57</v>
      </c>
      <c r="J869" s="2" t="s">
        <v>397</v>
      </c>
      <c r="K869" s="2"/>
      <c r="L869" s="2" t="s">
        <v>450</v>
      </c>
      <c r="M869" s="2" t="s">
        <v>43</v>
      </c>
      <c r="N869" s="2" t="s">
        <v>421</v>
      </c>
      <c r="O869" s="2" t="s">
        <v>34</v>
      </c>
      <c r="P869" s="2"/>
      <c r="Q869" s="2">
        <v>2334267348</v>
      </c>
      <c r="R869" s="2">
        <v>5000</v>
      </c>
      <c r="S869" s="2">
        <v>5050</v>
      </c>
      <c r="T869" s="13" t="str">
        <f t="shared" si="27"/>
        <v>PLT229</v>
      </c>
      <c r="U869" s="2" t="s">
        <v>1859</v>
      </c>
      <c r="V869" s="2"/>
      <c r="W869" s="2">
        <v>4.26</v>
      </c>
      <c r="X869" s="2">
        <v>10.02</v>
      </c>
      <c r="Y869" s="2">
        <v>2.57</v>
      </c>
      <c r="Z869" s="2">
        <v>25.7</v>
      </c>
      <c r="AA869" s="2">
        <v>84</v>
      </c>
      <c r="AB869" s="2">
        <v>0.43</v>
      </c>
      <c r="AC869" s="3" t="str">
        <f t="shared" si="26"/>
        <v>Loose</v>
      </c>
    </row>
    <row r="870" spans="1:29" x14ac:dyDescent="0.25">
      <c r="A870" s="1" t="s">
        <v>1860</v>
      </c>
      <c r="B870" s="2" t="s">
        <v>29</v>
      </c>
      <c r="C870" s="2"/>
      <c r="D870" s="2"/>
      <c r="E870" s="2" t="s">
        <v>1856</v>
      </c>
      <c r="F870" s="2">
        <v>1</v>
      </c>
      <c r="G870" s="2">
        <v>0.7</v>
      </c>
      <c r="H870" s="2" t="s">
        <v>49</v>
      </c>
      <c r="I870" s="2" t="s">
        <v>39</v>
      </c>
      <c r="J870" s="2" t="s">
        <v>33</v>
      </c>
      <c r="K870" s="2"/>
      <c r="L870" s="2" t="s">
        <v>450</v>
      </c>
      <c r="M870" s="2" t="s">
        <v>43</v>
      </c>
      <c r="N870" s="2" t="s">
        <v>421</v>
      </c>
      <c r="O870" s="2" t="s">
        <v>34</v>
      </c>
      <c r="P870" s="2"/>
      <c r="Q870" s="2">
        <v>6422686490</v>
      </c>
      <c r="R870" s="2">
        <v>4500</v>
      </c>
      <c r="S870" s="2">
        <v>3150</v>
      </c>
      <c r="T870" s="13" t="str">
        <f t="shared" si="27"/>
        <v>BAG733A</v>
      </c>
      <c r="U870" s="2" t="s">
        <v>1861</v>
      </c>
      <c r="V870" s="2"/>
      <c r="W870" s="2">
        <v>3.93</v>
      </c>
      <c r="X870" s="2">
        <v>7.06</v>
      </c>
      <c r="Y870" s="2">
        <v>2.71</v>
      </c>
      <c r="Z870" s="2">
        <v>38.4</v>
      </c>
      <c r="AA870" s="2">
        <v>81</v>
      </c>
      <c r="AB870" s="2">
        <v>0.56000000000000005</v>
      </c>
      <c r="AC870" s="3" t="str">
        <f t="shared" si="26"/>
        <v>Loose</v>
      </c>
    </row>
    <row r="871" spans="1:29" x14ac:dyDescent="0.25">
      <c r="A871" s="1" t="s">
        <v>1862</v>
      </c>
      <c r="B871" s="2" t="s">
        <v>37</v>
      </c>
      <c r="C871" s="2"/>
      <c r="D871" s="2"/>
      <c r="E871" s="2" t="s">
        <v>1856</v>
      </c>
      <c r="F871" s="2">
        <v>2</v>
      </c>
      <c r="G871" s="2">
        <v>0.18</v>
      </c>
      <c r="H871" s="2" t="s">
        <v>43</v>
      </c>
      <c r="I871" s="2" t="s">
        <v>32</v>
      </c>
      <c r="J871" s="2" t="s">
        <v>33</v>
      </c>
      <c r="K871" s="2"/>
      <c r="L871" s="2"/>
      <c r="M871" s="2"/>
      <c r="N871" s="2"/>
      <c r="O871" s="2"/>
      <c r="P871" s="2"/>
      <c r="Q871" s="2"/>
      <c r="R871" s="2">
        <v>1200</v>
      </c>
      <c r="S871" s="2">
        <v>216</v>
      </c>
      <c r="T871" s="13" t="str">
        <f t="shared" si="27"/>
        <v>TRPZS931</v>
      </c>
      <c r="U871" s="2" t="s">
        <v>1863</v>
      </c>
      <c r="V871" s="2"/>
      <c r="W871" s="2">
        <v>4.3</v>
      </c>
      <c r="X871" s="2">
        <v>2.38</v>
      </c>
      <c r="Y871" s="2">
        <v>1.37</v>
      </c>
      <c r="Z871" s="2">
        <v>0</v>
      </c>
      <c r="AA871" s="2">
        <v>0</v>
      </c>
      <c r="AB871" s="2">
        <v>1.81</v>
      </c>
      <c r="AC871" s="3" t="str">
        <f t="shared" si="26"/>
        <v>Pair</v>
      </c>
    </row>
    <row r="872" spans="1:29" x14ac:dyDescent="0.25">
      <c r="A872" s="1" t="s">
        <v>1864</v>
      </c>
      <c r="B872" s="2" t="s">
        <v>37</v>
      </c>
      <c r="C872" s="2"/>
      <c r="D872" s="2"/>
      <c r="E872" s="2" t="s">
        <v>1856</v>
      </c>
      <c r="F872" s="2">
        <v>2</v>
      </c>
      <c r="G872" s="2">
        <v>0.24</v>
      </c>
      <c r="H872" s="2" t="s">
        <v>31</v>
      </c>
      <c r="I872" s="2" t="s">
        <v>53</v>
      </c>
      <c r="J872" s="2" t="s">
        <v>33</v>
      </c>
      <c r="K872" s="2"/>
      <c r="L872" s="2"/>
      <c r="M872" s="2"/>
      <c r="N872" s="2"/>
      <c r="O872" s="2" t="s">
        <v>34</v>
      </c>
      <c r="P872" s="2"/>
      <c r="Q872" s="2"/>
      <c r="R872" s="2">
        <v>1700</v>
      </c>
      <c r="S872" s="2">
        <v>408</v>
      </c>
      <c r="T872" s="13" t="str">
        <f t="shared" si="27"/>
        <v>TRPZS956</v>
      </c>
      <c r="U872" s="2" t="s">
        <v>1865</v>
      </c>
      <c r="V872" s="2"/>
      <c r="W872" s="2">
        <v>2.0699999999999998</v>
      </c>
      <c r="X872" s="2">
        <v>3.96</v>
      </c>
      <c r="Y872" s="2">
        <v>1.68</v>
      </c>
      <c r="Z872" s="2">
        <v>0</v>
      </c>
      <c r="AA872" s="2">
        <v>0</v>
      </c>
      <c r="AB872" s="2">
        <v>0.52</v>
      </c>
      <c r="AC872" s="3" t="str">
        <f t="shared" si="26"/>
        <v>Pair</v>
      </c>
    </row>
    <row r="873" spans="1:29" x14ac:dyDescent="0.25">
      <c r="A873" s="1" t="s">
        <v>1866</v>
      </c>
      <c r="B873" s="2" t="s">
        <v>29</v>
      </c>
      <c r="C873" s="2"/>
      <c r="D873" s="2"/>
      <c r="E873" s="2" t="s">
        <v>1856</v>
      </c>
      <c r="F873" s="2">
        <v>2</v>
      </c>
      <c r="G873" s="2">
        <v>0.32</v>
      </c>
      <c r="H873" s="2" t="s">
        <v>137</v>
      </c>
      <c r="I873" s="2" t="s">
        <v>39</v>
      </c>
      <c r="J873" s="2" t="s">
        <v>33</v>
      </c>
      <c r="K873" s="2"/>
      <c r="L873" s="2"/>
      <c r="M873" s="2"/>
      <c r="N873" s="2"/>
      <c r="O873" s="2" t="s">
        <v>34</v>
      </c>
      <c r="P873" s="2"/>
      <c r="Q873" s="2"/>
      <c r="R873" s="2">
        <v>1600</v>
      </c>
      <c r="S873" s="2">
        <v>512</v>
      </c>
      <c r="T873" s="13" t="str">
        <f t="shared" si="27"/>
        <v>TRPZS1021</v>
      </c>
      <c r="U873" s="2" t="s">
        <v>1867</v>
      </c>
      <c r="V873" s="2"/>
      <c r="W873" s="2">
        <v>3.53</v>
      </c>
      <c r="X873" s="2">
        <v>2.79</v>
      </c>
      <c r="Y873" s="2">
        <v>1.98</v>
      </c>
      <c r="Z873" s="2">
        <v>0</v>
      </c>
      <c r="AA873" s="2">
        <v>0</v>
      </c>
      <c r="AB873" s="2">
        <v>1.27</v>
      </c>
      <c r="AC873" s="3" t="str">
        <f t="shared" si="26"/>
        <v>Pair</v>
      </c>
    </row>
    <row r="874" spans="1:29" x14ac:dyDescent="0.25">
      <c r="A874" s="1" t="s">
        <v>1868</v>
      </c>
      <c r="B874" s="2" t="s">
        <v>37</v>
      </c>
      <c r="C874" s="2"/>
      <c r="D874" s="2"/>
      <c r="E874" s="2" t="s">
        <v>1856</v>
      </c>
      <c r="F874" s="2">
        <v>2</v>
      </c>
      <c r="G874" s="2">
        <v>0.6</v>
      </c>
      <c r="H874" s="2" t="s">
        <v>73</v>
      </c>
      <c r="I874" s="2" t="s">
        <v>57</v>
      </c>
      <c r="J874" s="2" t="s">
        <v>33</v>
      </c>
      <c r="K874" s="2"/>
      <c r="L874" s="2"/>
      <c r="M874" s="2"/>
      <c r="N874" s="2"/>
      <c r="O874" s="2"/>
      <c r="P874" s="2"/>
      <c r="Q874" s="2"/>
      <c r="R874" s="2">
        <v>1600</v>
      </c>
      <c r="S874" s="2">
        <v>960</v>
      </c>
      <c r="T874" s="13" t="str">
        <f t="shared" si="27"/>
        <v>TRPZS1022Q</v>
      </c>
      <c r="U874" s="2" t="s">
        <v>1869</v>
      </c>
      <c r="V874" s="2"/>
      <c r="W874" s="2">
        <v>5.84</v>
      </c>
      <c r="X874" s="2">
        <v>2.77</v>
      </c>
      <c r="Y874" s="2">
        <v>2.1800000000000002</v>
      </c>
      <c r="Z874" s="2">
        <v>0</v>
      </c>
      <c r="AA874" s="2">
        <v>0</v>
      </c>
      <c r="AB874" s="2">
        <v>2.11</v>
      </c>
      <c r="AC874" s="3" t="str">
        <f t="shared" si="26"/>
        <v>Pair</v>
      </c>
    </row>
    <row r="875" spans="1:29" x14ac:dyDescent="0.25">
      <c r="A875" s="1" t="s">
        <v>1870</v>
      </c>
      <c r="B875" s="2" t="s">
        <v>29</v>
      </c>
      <c r="C875" s="2"/>
      <c r="D875" s="2"/>
      <c r="E875" s="2" t="s">
        <v>1856</v>
      </c>
      <c r="F875" s="2">
        <v>1</v>
      </c>
      <c r="G875" s="2">
        <v>0.42</v>
      </c>
      <c r="H875" s="2" t="s">
        <v>67</v>
      </c>
      <c r="I875" s="2" t="s">
        <v>39</v>
      </c>
      <c r="J875" s="2" t="s">
        <v>69</v>
      </c>
      <c r="K875" s="2"/>
      <c r="L875" s="2"/>
      <c r="M875" s="2"/>
      <c r="N875" s="2"/>
      <c r="O875" s="2" t="s">
        <v>58</v>
      </c>
      <c r="P875" s="2"/>
      <c r="Q875" s="2"/>
      <c r="R875" s="2">
        <v>1500</v>
      </c>
      <c r="S875" s="2">
        <v>630</v>
      </c>
      <c r="T875" s="13" t="str">
        <f t="shared" si="27"/>
        <v>PLT4082003A</v>
      </c>
      <c r="U875" s="2" t="s">
        <v>1871</v>
      </c>
      <c r="V875" s="2"/>
      <c r="W875" s="2">
        <v>8.01</v>
      </c>
      <c r="X875" s="2">
        <v>3.6</v>
      </c>
      <c r="Y875" s="2">
        <v>1.87</v>
      </c>
      <c r="Z875" s="2">
        <v>0</v>
      </c>
      <c r="AA875" s="2">
        <v>0</v>
      </c>
      <c r="AB875" s="2">
        <v>2.23</v>
      </c>
      <c r="AC875" s="3" t="str">
        <f t="shared" si="26"/>
        <v>Loose</v>
      </c>
    </row>
    <row r="876" spans="1:29" x14ac:dyDescent="0.25">
      <c r="A876" s="1" t="s">
        <v>1872</v>
      </c>
      <c r="B876" s="2" t="s">
        <v>29</v>
      </c>
      <c r="C876" s="2"/>
      <c r="D876" s="2"/>
      <c r="E876" s="2" t="s">
        <v>1856</v>
      </c>
      <c r="F876" s="2">
        <v>1</v>
      </c>
      <c r="G876" s="2">
        <v>0.2</v>
      </c>
      <c r="H876" s="2" t="s">
        <v>76</v>
      </c>
      <c r="I876" s="2" t="s">
        <v>39</v>
      </c>
      <c r="J876" s="2" t="s">
        <v>33</v>
      </c>
      <c r="K876" s="2"/>
      <c r="L876" s="2"/>
      <c r="M876" s="2"/>
      <c r="N876" s="2"/>
      <c r="O876" s="2" t="s">
        <v>34</v>
      </c>
      <c r="P876" s="2"/>
      <c r="Q876" s="2"/>
      <c r="R876" s="2">
        <v>1900</v>
      </c>
      <c r="S876" s="2">
        <v>380</v>
      </c>
      <c r="T876" s="13" t="str">
        <f t="shared" si="27"/>
        <v>ZIBB001A</v>
      </c>
      <c r="U876" s="2" t="s">
        <v>1873</v>
      </c>
      <c r="V876" s="2"/>
      <c r="W876" s="2">
        <v>4.8099999999999996</v>
      </c>
      <c r="X876" s="2">
        <v>3.33</v>
      </c>
      <c r="Y876" s="2">
        <v>1.65</v>
      </c>
      <c r="Z876" s="2">
        <v>0</v>
      </c>
      <c r="AA876" s="2">
        <v>0</v>
      </c>
      <c r="AB876" s="2">
        <v>1.44</v>
      </c>
      <c r="AC876" s="3" t="str">
        <f t="shared" si="26"/>
        <v>Loose</v>
      </c>
    </row>
    <row r="877" spans="1:29" x14ac:dyDescent="0.25">
      <c r="A877" s="1" t="s">
        <v>1874</v>
      </c>
      <c r="B877" s="2" t="s">
        <v>37</v>
      </c>
      <c r="C877" s="2"/>
      <c r="D877" s="2"/>
      <c r="E877" s="2" t="s">
        <v>1856</v>
      </c>
      <c r="F877" s="2">
        <v>2</v>
      </c>
      <c r="G877" s="2">
        <v>0.18</v>
      </c>
      <c r="H877" s="2" t="s">
        <v>137</v>
      </c>
      <c r="I877" s="2" t="s">
        <v>68</v>
      </c>
      <c r="J877" s="2" t="s">
        <v>33</v>
      </c>
      <c r="K877" s="2"/>
      <c r="L877" s="2"/>
      <c r="M877" s="2"/>
      <c r="N877" s="2"/>
      <c r="O877" s="2" t="s">
        <v>1875</v>
      </c>
      <c r="P877" s="2"/>
      <c r="Q877" s="2"/>
      <c r="R877" s="2">
        <v>1700</v>
      </c>
      <c r="S877" s="2">
        <v>306</v>
      </c>
      <c r="T877" s="13" t="str">
        <f t="shared" si="27"/>
        <v>TRPZS1034L</v>
      </c>
      <c r="U877" s="2" t="s">
        <v>1876</v>
      </c>
      <c r="V877" s="2"/>
      <c r="W877" s="2">
        <v>4.63</v>
      </c>
      <c r="X877" s="2">
        <v>1.9</v>
      </c>
      <c r="Y877" s="2">
        <v>1.17</v>
      </c>
      <c r="Z877" s="2">
        <v>0</v>
      </c>
      <c r="AA877" s="2">
        <v>0</v>
      </c>
      <c r="AB877" s="2">
        <v>2.44</v>
      </c>
      <c r="AC877" s="3" t="str">
        <f t="shared" si="26"/>
        <v>Pair</v>
      </c>
    </row>
    <row r="878" spans="1:29" x14ac:dyDescent="0.25">
      <c r="A878" s="1" t="s">
        <v>1877</v>
      </c>
      <c r="B878" s="2" t="s">
        <v>29</v>
      </c>
      <c r="C878" s="2"/>
      <c r="D878" s="2"/>
      <c r="E878" s="2" t="s">
        <v>1856</v>
      </c>
      <c r="F878" s="2">
        <v>1</v>
      </c>
      <c r="G878" s="2">
        <v>0.37</v>
      </c>
      <c r="H878" s="2" t="s">
        <v>76</v>
      </c>
      <c r="I878" s="2" t="s">
        <v>53</v>
      </c>
      <c r="J878" s="2" t="s">
        <v>33</v>
      </c>
      <c r="K878" s="2"/>
      <c r="L878" s="2"/>
      <c r="M878" s="2"/>
      <c r="N878" s="2"/>
      <c r="O878" s="2" t="s">
        <v>34</v>
      </c>
      <c r="P878" s="2"/>
      <c r="Q878" s="2"/>
      <c r="R878" s="2">
        <v>1400</v>
      </c>
      <c r="S878" s="2">
        <v>518</v>
      </c>
      <c r="T878" s="13" t="str">
        <f t="shared" si="27"/>
        <v>YRB020AA</v>
      </c>
      <c r="U878" s="2" t="s">
        <v>1878</v>
      </c>
      <c r="V878" s="2"/>
      <c r="W878" s="2">
        <v>6.6</v>
      </c>
      <c r="X878" s="2">
        <v>3.18</v>
      </c>
      <c r="Y878" s="2">
        <v>2.16</v>
      </c>
      <c r="Z878" s="2">
        <v>0</v>
      </c>
      <c r="AA878" s="2">
        <v>0</v>
      </c>
      <c r="AB878" s="2">
        <v>2.08</v>
      </c>
      <c r="AC878" s="3" t="str">
        <f t="shared" si="26"/>
        <v>Loose</v>
      </c>
    </row>
    <row r="879" spans="1:29" x14ac:dyDescent="0.25">
      <c r="A879" s="1" t="s">
        <v>1879</v>
      </c>
      <c r="B879" s="2" t="s">
        <v>37</v>
      </c>
      <c r="C879" s="2"/>
      <c r="D879" s="2"/>
      <c r="E879" s="2" t="s">
        <v>1856</v>
      </c>
      <c r="F879" s="2">
        <v>2</v>
      </c>
      <c r="G879" s="2">
        <v>0.6</v>
      </c>
      <c r="H879" s="2" t="s">
        <v>137</v>
      </c>
      <c r="I879" s="2" t="s">
        <v>39</v>
      </c>
      <c r="J879" s="2" t="s">
        <v>33</v>
      </c>
      <c r="K879" s="2"/>
      <c r="L879" s="2"/>
      <c r="M879" s="2"/>
      <c r="N879" s="2"/>
      <c r="O879" s="2"/>
      <c r="P879" s="2"/>
      <c r="Q879" s="2"/>
      <c r="R879" s="2">
        <v>2900</v>
      </c>
      <c r="S879" s="2">
        <v>1740</v>
      </c>
      <c r="T879" s="13" t="str">
        <f t="shared" si="27"/>
        <v>TRPZS1055</v>
      </c>
      <c r="U879" s="2" t="s">
        <v>1880</v>
      </c>
      <c r="V879" s="2"/>
      <c r="W879" s="2">
        <v>5.43</v>
      </c>
      <c r="X879" s="2">
        <v>3.29</v>
      </c>
      <c r="Y879" s="2">
        <v>2.11</v>
      </c>
      <c r="Z879" s="2">
        <v>0</v>
      </c>
      <c r="AA879" s="2">
        <v>0</v>
      </c>
      <c r="AB879" s="2">
        <v>1.65</v>
      </c>
      <c r="AC879" s="3" t="str">
        <f t="shared" si="26"/>
        <v>Pair</v>
      </c>
    </row>
    <row r="880" spans="1:29" x14ac:dyDescent="0.25">
      <c r="A880" s="1" t="s">
        <v>1881</v>
      </c>
      <c r="B880" s="2" t="s">
        <v>37</v>
      </c>
      <c r="C880" s="2"/>
      <c r="D880" s="2"/>
      <c r="E880" s="2" t="s">
        <v>1856</v>
      </c>
      <c r="F880" s="2">
        <v>2</v>
      </c>
      <c r="G880" s="2">
        <v>0.23</v>
      </c>
      <c r="H880" s="2" t="s">
        <v>38</v>
      </c>
      <c r="I880" s="2" t="s">
        <v>39</v>
      </c>
      <c r="J880" s="2" t="s">
        <v>33</v>
      </c>
      <c r="K880" s="2"/>
      <c r="L880" s="2"/>
      <c r="M880" s="2"/>
      <c r="N880" s="2"/>
      <c r="O880" s="2"/>
      <c r="P880" s="2"/>
      <c r="Q880" s="2"/>
      <c r="R880" s="2">
        <v>1800</v>
      </c>
      <c r="S880" s="2">
        <v>414</v>
      </c>
      <c r="T880" s="13" t="str">
        <f t="shared" si="27"/>
        <v>TRPZS1056</v>
      </c>
      <c r="U880" s="2" t="s">
        <v>1882</v>
      </c>
      <c r="V880" s="2"/>
      <c r="W880" s="2">
        <v>5.1100000000000003</v>
      </c>
      <c r="X880" s="2">
        <v>2.0299999999999998</v>
      </c>
      <c r="Y880" s="2">
        <v>1.2</v>
      </c>
      <c r="Z880" s="2">
        <v>0</v>
      </c>
      <c r="AA880" s="2">
        <v>0</v>
      </c>
      <c r="AB880" s="2">
        <v>2.52</v>
      </c>
      <c r="AC880" s="3" t="str">
        <f t="shared" si="26"/>
        <v>Pair</v>
      </c>
    </row>
    <row r="881" spans="1:29" x14ac:dyDescent="0.25">
      <c r="A881" s="1" t="s">
        <v>1883</v>
      </c>
      <c r="B881" s="2" t="s">
        <v>37</v>
      </c>
      <c r="C881" s="2"/>
      <c r="D881" s="2"/>
      <c r="E881" s="2" t="s">
        <v>1856</v>
      </c>
      <c r="F881" s="2">
        <v>2</v>
      </c>
      <c r="G881" s="2">
        <v>0.71</v>
      </c>
      <c r="H881" s="2" t="s">
        <v>43</v>
      </c>
      <c r="I881" s="2" t="s">
        <v>53</v>
      </c>
      <c r="J881" s="2" t="s">
        <v>397</v>
      </c>
      <c r="K881" s="2"/>
      <c r="L881" s="2"/>
      <c r="M881" s="2"/>
      <c r="N881" s="2"/>
      <c r="O881" s="2" t="s">
        <v>34</v>
      </c>
      <c r="P881" s="2"/>
      <c r="Q881" s="2"/>
      <c r="R881" s="2">
        <v>3000</v>
      </c>
      <c r="S881" s="2">
        <v>2130</v>
      </c>
      <c r="T881" s="13" t="str">
        <f t="shared" si="27"/>
        <v>TRPZS1068</v>
      </c>
      <c r="U881" s="2" t="s">
        <v>1884</v>
      </c>
      <c r="V881" s="2"/>
      <c r="W881" s="2">
        <v>6.58</v>
      </c>
      <c r="X881" s="2">
        <v>3.32</v>
      </c>
      <c r="Y881" s="2">
        <v>2.04</v>
      </c>
      <c r="Z881" s="2">
        <v>0</v>
      </c>
      <c r="AA881" s="2">
        <v>0</v>
      </c>
      <c r="AB881" s="2">
        <v>1.98</v>
      </c>
      <c r="AC881" s="3" t="str">
        <f t="shared" si="26"/>
        <v>Pair</v>
      </c>
    </row>
    <row r="882" spans="1:29" x14ac:dyDescent="0.25">
      <c r="A882" s="1" t="s">
        <v>1885</v>
      </c>
      <c r="B882" s="2" t="s">
        <v>29</v>
      </c>
      <c r="C882" s="2"/>
      <c r="D882" s="2"/>
      <c r="E882" s="2" t="s">
        <v>1856</v>
      </c>
      <c r="F882" s="2">
        <v>2</v>
      </c>
      <c r="G882" s="2">
        <v>0.19</v>
      </c>
      <c r="H882" s="2" t="s">
        <v>43</v>
      </c>
      <c r="I882" s="2" t="s">
        <v>39</v>
      </c>
      <c r="J882" s="2" t="s">
        <v>33</v>
      </c>
      <c r="K882" s="2"/>
      <c r="L882" s="2"/>
      <c r="M882" s="2"/>
      <c r="N882" s="2"/>
      <c r="O882" s="2"/>
      <c r="P882" s="2"/>
      <c r="Q882" s="2"/>
      <c r="R882" s="2">
        <v>1600</v>
      </c>
      <c r="S882" s="2">
        <v>304</v>
      </c>
      <c r="T882" s="13" t="str">
        <f t="shared" si="27"/>
        <v>TRPZS1091</v>
      </c>
      <c r="U882" s="2" t="s">
        <v>1886</v>
      </c>
      <c r="V882" s="2"/>
      <c r="W882" s="2">
        <v>5.0599999999999996</v>
      </c>
      <c r="X882" s="2">
        <v>1.77</v>
      </c>
      <c r="Y882" s="2">
        <v>1.21</v>
      </c>
      <c r="Z882" s="2">
        <v>0</v>
      </c>
      <c r="AA882" s="2">
        <v>0</v>
      </c>
      <c r="AB882" s="2">
        <v>2.86</v>
      </c>
      <c r="AC882" s="3" t="str">
        <f t="shared" si="26"/>
        <v>Pair</v>
      </c>
    </row>
    <row r="883" spans="1:29" x14ac:dyDescent="0.25">
      <c r="A883" s="1" t="s">
        <v>1887</v>
      </c>
      <c r="B883" s="2" t="s">
        <v>29</v>
      </c>
      <c r="C883" s="2"/>
      <c r="D883" s="2"/>
      <c r="E883" s="2" t="s">
        <v>1856</v>
      </c>
      <c r="F883" s="2">
        <v>2</v>
      </c>
      <c r="G883" s="2">
        <v>0.34</v>
      </c>
      <c r="H883" s="2" t="s">
        <v>137</v>
      </c>
      <c r="I883" s="2" t="s">
        <v>39</v>
      </c>
      <c r="J883" s="2" t="s">
        <v>33</v>
      </c>
      <c r="K883" s="2"/>
      <c r="L883" s="2"/>
      <c r="M883" s="2"/>
      <c r="N883" s="2"/>
      <c r="O883" s="2" t="s">
        <v>34</v>
      </c>
      <c r="P883" s="2"/>
      <c r="Q883" s="2"/>
      <c r="R883" s="2">
        <v>1200</v>
      </c>
      <c r="S883" s="2">
        <v>408</v>
      </c>
      <c r="T883" s="13" t="str">
        <f t="shared" si="27"/>
        <v>TRPZS1099</v>
      </c>
      <c r="U883" s="2" t="s">
        <v>1888</v>
      </c>
      <c r="V883" s="2"/>
      <c r="W883" s="2">
        <v>4.2699999999999996</v>
      </c>
      <c r="X883" s="2">
        <v>2.96</v>
      </c>
      <c r="Y883" s="2">
        <v>1.78</v>
      </c>
      <c r="Z883" s="2">
        <v>0</v>
      </c>
      <c r="AA883" s="2">
        <v>0</v>
      </c>
      <c r="AB883" s="2">
        <v>1.44</v>
      </c>
      <c r="AC883" s="3" t="str">
        <f t="shared" si="26"/>
        <v>Pair</v>
      </c>
    </row>
    <row r="884" spans="1:29" x14ac:dyDescent="0.25">
      <c r="A884" s="1" t="s">
        <v>1889</v>
      </c>
      <c r="B884" s="2" t="s">
        <v>29</v>
      </c>
      <c r="C884" s="2"/>
      <c r="D884" s="2"/>
      <c r="E884" s="2" t="s">
        <v>1856</v>
      </c>
      <c r="F884" s="2">
        <v>2</v>
      </c>
      <c r="G884" s="2">
        <v>0.21</v>
      </c>
      <c r="H884" s="2" t="s">
        <v>108</v>
      </c>
      <c r="I884" s="2" t="s">
        <v>39</v>
      </c>
      <c r="J884" s="2" t="s">
        <v>69</v>
      </c>
      <c r="K884" s="2"/>
      <c r="L884" s="2"/>
      <c r="M884" s="2"/>
      <c r="N884" s="2"/>
      <c r="O884" s="2"/>
      <c r="P884" s="2"/>
      <c r="Q884" s="2"/>
      <c r="R884" s="2">
        <v>700</v>
      </c>
      <c r="S884" s="2">
        <v>147</v>
      </c>
      <c r="T884" s="13" t="str">
        <f t="shared" si="27"/>
        <v>TRPZS1108</v>
      </c>
      <c r="U884" s="2" t="s">
        <v>1890</v>
      </c>
      <c r="V884" s="2"/>
      <c r="W884" s="2">
        <v>3.62</v>
      </c>
      <c r="X884" s="2">
        <v>2.12</v>
      </c>
      <c r="Y884" s="2">
        <v>1.67</v>
      </c>
      <c r="Z884" s="2">
        <v>0</v>
      </c>
      <c r="AA884" s="2">
        <v>0</v>
      </c>
      <c r="AB884" s="2">
        <v>1.71</v>
      </c>
      <c r="AC884" s="3" t="str">
        <f t="shared" si="26"/>
        <v>Pair</v>
      </c>
    </row>
    <row r="885" spans="1:29" x14ac:dyDescent="0.25">
      <c r="A885" s="1" t="s">
        <v>1891</v>
      </c>
      <c r="B885" s="2" t="s">
        <v>29</v>
      </c>
      <c r="C885" s="2"/>
      <c r="D885" s="2"/>
      <c r="E885" s="2" t="s">
        <v>1856</v>
      </c>
      <c r="F885" s="2">
        <v>2</v>
      </c>
      <c r="G885" s="2">
        <v>0.21</v>
      </c>
      <c r="H885" s="2" t="s">
        <v>108</v>
      </c>
      <c r="I885" s="2" t="s">
        <v>39</v>
      </c>
      <c r="J885" s="2" t="s">
        <v>69</v>
      </c>
      <c r="K885" s="2"/>
      <c r="L885" s="2"/>
      <c r="M885" s="2"/>
      <c r="N885" s="2"/>
      <c r="O885" s="2"/>
      <c r="P885" s="2"/>
      <c r="Q885" s="2"/>
      <c r="R885" s="2">
        <v>800</v>
      </c>
      <c r="S885" s="2">
        <v>168</v>
      </c>
      <c r="T885" s="13" t="str">
        <f t="shared" si="27"/>
        <v>TRPZS1109</v>
      </c>
      <c r="U885" s="2" t="s">
        <v>1892</v>
      </c>
      <c r="V885" s="2"/>
      <c r="W885" s="2">
        <v>3.68</v>
      </c>
      <c r="X885" s="2">
        <v>1.95</v>
      </c>
      <c r="Y885" s="2">
        <v>1.65</v>
      </c>
      <c r="Z885" s="2">
        <v>0</v>
      </c>
      <c r="AA885" s="2">
        <v>0</v>
      </c>
      <c r="AB885" s="2">
        <v>1.89</v>
      </c>
      <c r="AC885" s="3" t="str">
        <f t="shared" si="26"/>
        <v>Pair</v>
      </c>
    </row>
    <row r="886" spans="1:29" x14ac:dyDescent="0.25">
      <c r="A886" s="1" t="s">
        <v>1893</v>
      </c>
      <c r="B886" s="2" t="s">
        <v>29</v>
      </c>
      <c r="C886" s="2"/>
      <c r="D886" s="2"/>
      <c r="E886" s="2" t="s">
        <v>1856</v>
      </c>
      <c r="F886" s="2">
        <v>1</v>
      </c>
      <c r="G886" s="2">
        <v>0.75</v>
      </c>
      <c r="H886" s="2" t="s">
        <v>396</v>
      </c>
      <c r="I886" s="2" t="s">
        <v>53</v>
      </c>
      <c r="J886" s="2" t="s">
        <v>397</v>
      </c>
      <c r="K886" s="2"/>
      <c r="L886" s="2" t="s">
        <v>450</v>
      </c>
      <c r="M886" s="2" t="s">
        <v>450</v>
      </c>
      <c r="N886" s="2" t="s">
        <v>421</v>
      </c>
      <c r="O886" s="2" t="s">
        <v>34</v>
      </c>
      <c r="P886" s="2"/>
      <c r="Q886" s="2">
        <v>1363899328</v>
      </c>
      <c r="R886" s="2">
        <v>6000</v>
      </c>
      <c r="S886" s="2">
        <v>4500</v>
      </c>
      <c r="T886" s="13" t="str">
        <f t="shared" si="27"/>
        <v>LIR275614A</v>
      </c>
      <c r="U886" s="2" t="s">
        <v>1894</v>
      </c>
      <c r="V886" s="2"/>
      <c r="W886" s="2">
        <v>3.69</v>
      </c>
      <c r="X886" s="2">
        <v>9.14</v>
      </c>
      <c r="Y886" s="2">
        <v>2.58</v>
      </c>
      <c r="Z886" s="2">
        <v>28.2</v>
      </c>
      <c r="AA886" s="2">
        <v>83</v>
      </c>
      <c r="AB886" s="2">
        <v>0.4</v>
      </c>
      <c r="AC886" s="3" t="str">
        <f t="shared" si="26"/>
        <v>Loose</v>
      </c>
    </row>
    <row r="887" spans="1:29" x14ac:dyDescent="0.25">
      <c r="A887" s="1" t="s">
        <v>1895</v>
      </c>
      <c r="B887" s="2" t="s">
        <v>29</v>
      </c>
      <c r="C887" s="2"/>
      <c r="D887" s="2"/>
      <c r="E887" s="2" t="s">
        <v>1856</v>
      </c>
      <c r="F887" s="2">
        <v>1</v>
      </c>
      <c r="G887" s="2">
        <v>0.99</v>
      </c>
      <c r="H887" s="2" t="s">
        <v>43</v>
      </c>
      <c r="I887" s="2" t="s">
        <v>53</v>
      </c>
      <c r="J887" s="2" t="s">
        <v>397</v>
      </c>
      <c r="K887" s="2"/>
      <c r="L887" s="2" t="s">
        <v>450</v>
      </c>
      <c r="M887" s="2" t="s">
        <v>450</v>
      </c>
      <c r="N887" s="2" t="s">
        <v>421</v>
      </c>
      <c r="O887" s="2" t="s">
        <v>58</v>
      </c>
      <c r="P887" s="2"/>
      <c r="Q887" s="2">
        <v>1369861643</v>
      </c>
      <c r="R887" s="2">
        <v>6993</v>
      </c>
      <c r="S887" s="2">
        <v>6923.07</v>
      </c>
      <c r="T887" s="13" t="str">
        <f t="shared" si="27"/>
        <v>PLT487AA</v>
      </c>
      <c r="U887" s="2" t="s">
        <v>1896</v>
      </c>
      <c r="V887" s="2"/>
      <c r="W887" s="2">
        <v>4.42</v>
      </c>
      <c r="X887" s="2">
        <v>9.64</v>
      </c>
      <c r="Y887" s="2">
        <v>2.88</v>
      </c>
      <c r="Z887" s="2">
        <v>29.9</v>
      </c>
      <c r="AA887" s="2">
        <v>82</v>
      </c>
      <c r="AB887" s="2">
        <v>0.46</v>
      </c>
      <c r="AC887" s="3" t="str">
        <f t="shared" si="26"/>
        <v>Loose</v>
      </c>
    </row>
    <row r="888" spans="1:29" x14ac:dyDescent="0.25">
      <c r="A888" s="1" t="s">
        <v>1897</v>
      </c>
      <c r="B888" s="2" t="s">
        <v>37</v>
      </c>
      <c r="C888" s="2"/>
      <c r="D888" s="2"/>
      <c r="E888" s="2" t="s">
        <v>1856</v>
      </c>
      <c r="F888" s="2">
        <v>2</v>
      </c>
      <c r="G888" s="2">
        <v>0.28000000000000003</v>
      </c>
      <c r="H888" s="2" t="s">
        <v>108</v>
      </c>
      <c r="I888" s="2" t="s">
        <v>39</v>
      </c>
      <c r="J888" s="2" t="s">
        <v>69</v>
      </c>
      <c r="K888" s="2"/>
      <c r="L888" s="2"/>
      <c r="M888" s="2"/>
      <c r="N888" s="2"/>
      <c r="O888" s="2"/>
      <c r="P888" s="2"/>
      <c r="Q888" s="2"/>
      <c r="R888" s="2">
        <v>800</v>
      </c>
      <c r="S888" s="2">
        <v>224</v>
      </c>
      <c r="T888" s="13" t="str">
        <f t="shared" si="27"/>
        <v>TRPZS1107</v>
      </c>
      <c r="U888" s="2" t="s">
        <v>1898</v>
      </c>
      <c r="V888" s="2"/>
      <c r="W888" s="2">
        <v>3.62</v>
      </c>
      <c r="X888" s="2">
        <v>2.2799999999999998</v>
      </c>
      <c r="Y888" s="2">
        <v>1.88</v>
      </c>
      <c r="Z888" s="2">
        <v>0</v>
      </c>
      <c r="AA888" s="2">
        <v>0</v>
      </c>
      <c r="AB888" s="2">
        <v>1.59</v>
      </c>
      <c r="AC888" s="3" t="str">
        <f t="shared" si="26"/>
        <v>Pair</v>
      </c>
    </row>
    <row r="889" spans="1:29" x14ac:dyDescent="0.25">
      <c r="A889" s="1" t="s">
        <v>1899</v>
      </c>
      <c r="B889" s="2" t="s">
        <v>29</v>
      </c>
      <c r="C889" s="2"/>
      <c r="D889" s="2"/>
      <c r="E889" s="2" t="s">
        <v>1856</v>
      </c>
      <c r="F889" s="2">
        <v>2</v>
      </c>
      <c r="G889" s="2">
        <v>0.27</v>
      </c>
      <c r="H889" s="2" t="s">
        <v>67</v>
      </c>
      <c r="I889" s="2" t="s">
        <v>39</v>
      </c>
      <c r="J889" s="2" t="s">
        <v>69</v>
      </c>
      <c r="K889" s="2"/>
      <c r="L889" s="2"/>
      <c r="M889" s="2"/>
      <c r="N889" s="2"/>
      <c r="O889" s="2"/>
      <c r="P889" s="2"/>
      <c r="Q889" s="2"/>
      <c r="R889" s="2">
        <v>800</v>
      </c>
      <c r="S889" s="2">
        <v>216</v>
      </c>
      <c r="T889" s="13" t="str">
        <f t="shared" si="27"/>
        <v>TRPZS1105</v>
      </c>
      <c r="U889" s="2" t="s">
        <v>1900</v>
      </c>
      <c r="V889" s="2"/>
      <c r="W889" s="2">
        <v>3.99</v>
      </c>
      <c r="X889" s="2">
        <v>2.29</v>
      </c>
      <c r="Y889" s="2">
        <v>1.77</v>
      </c>
      <c r="Z889" s="2">
        <v>0</v>
      </c>
      <c r="AA889" s="2">
        <v>0</v>
      </c>
      <c r="AB889" s="2">
        <v>1.74</v>
      </c>
      <c r="AC889" s="3" t="str">
        <f t="shared" si="26"/>
        <v>Pair</v>
      </c>
    </row>
    <row r="890" spans="1:29" x14ac:dyDescent="0.25">
      <c r="A890" s="1" t="s">
        <v>1901</v>
      </c>
      <c r="B890" s="2" t="s">
        <v>29</v>
      </c>
      <c r="C890" s="2"/>
      <c r="D890" s="2"/>
      <c r="E890" s="2" t="s">
        <v>1856</v>
      </c>
      <c r="F890" s="2">
        <v>2</v>
      </c>
      <c r="G890" s="2">
        <v>0.22</v>
      </c>
      <c r="H890" s="2" t="s">
        <v>137</v>
      </c>
      <c r="I890" s="2" t="s">
        <v>39</v>
      </c>
      <c r="J890" s="2" t="s">
        <v>33</v>
      </c>
      <c r="K890" s="2"/>
      <c r="L890" s="2"/>
      <c r="M890" s="2"/>
      <c r="N890" s="2"/>
      <c r="O890" s="2" t="s">
        <v>34</v>
      </c>
      <c r="P890" s="2"/>
      <c r="Q890" s="2"/>
      <c r="R890" s="2">
        <v>1500</v>
      </c>
      <c r="S890" s="2">
        <v>330</v>
      </c>
      <c r="T890" s="13" t="str">
        <f t="shared" si="27"/>
        <v>TRPZS1119</v>
      </c>
      <c r="U890" s="2" t="s">
        <v>1902</v>
      </c>
      <c r="V890" s="2"/>
      <c r="W890" s="2">
        <v>3.99</v>
      </c>
      <c r="X890" s="2">
        <v>2.33</v>
      </c>
      <c r="Y890" s="2">
        <v>1.47</v>
      </c>
      <c r="Z890" s="2">
        <v>0</v>
      </c>
      <c r="AA890" s="2">
        <v>0</v>
      </c>
      <c r="AB890" s="2">
        <v>1.71</v>
      </c>
      <c r="AC890" s="3" t="str">
        <f t="shared" si="26"/>
        <v>Pair</v>
      </c>
    </row>
    <row r="891" spans="1:29" x14ac:dyDescent="0.25">
      <c r="A891" s="1" t="s">
        <v>1903</v>
      </c>
      <c r="B891" s="2" t="s">
        <v>29</v>
      </c>
      <c r="C891" s="2"/>
      <c r="D891" s="2"/>
      <c r="E891" s="2" t="s">
        <v>1856</v>
      </c>
      <c r="F891" s="2">
        <v>2</v>
      </c>
      <c r="G891" s="2">
        <v>0.19</v>
      </c>
      <c r="H891" s="2" t="s">
        <v>137</v>
      </c>
      <c r="I891" s="2" t="s">
        <v>57</v>
      </c>
      <c r="J891" s="2" t="s">
        <v>33</v>
      </c>
      <c r="K891" s="2"/>
      <c r="L891" s="2"/>
      <c r="M891" s="2"/>
      <c r="N891" s="2"/>
      <c r="O891" s="2" t="s">
        <v>34</v>
      </c>
      <c r="P891" s="2"/>
      <c r="Q891" s="2"/>
      <c r="R891" s="2">
        <v>1600</v>
      </c>
      <c r="S891" s="2">
        <v>304</v>
      </c>
      <c r="T891" s="13" t="str">
        <f t="shared" si="27"/>
        <v>TRPZS1125</v>
      </c>
      <c r="U891" s="2" t="s">
        <v>1904</v>
      </c>
      <c r="V891" s="2"/>
      <c r="W891" s="2">
        <v>4.0599999999999996</v>
      </c>
      <c r="X891" s="2">
        <v>2.16</v>
      </c>
      <c r="Y891" s="2">
        <v>1.4</v>
      </c>
      <c r="Z891" s="2">
        <v>0</v>
      </c>
      <c r="AA891" s="2">
        <v>0</v>
      </c>
      <c r="AB891" s="2">
        <v>1.88</v>
      </c>
      <c r="AC891" s="3" t="str">
        <f t="shared" si="26"/>
        <v>Pair</v>
      </c>
    </row>
    <row r="892" spans="1:29" x14ac:dyDescent="0.25">
      <c r="A892" s="1" t="s">
        <v>1905</v>
      </c>
      <c r="B892" s="2" t="s">
        <v>29</v>
      </c>
      <c r="C892" s="2"/>
      <c r="D892" s="2"/>
      <c r="E892" s="2" t="s">
        <v>1856</v>
      </c>
      <c r="F892" s="2">
        <v>2</v>
      </c>
      <c r="G892" s="2">
        <v>0.28000000000000003</v>
      </c>
      <c r="H892" s="2" t="s">
        <v>137</v>
      </c>
      <c r="I892" s="2" t="s">
        <v>39</v>
      </c>
      <c r="J892" s="2" t="s">
        <v>33</v>
      </c>
      <c r="K892" s="2"/>
      <c r="L892" s="2"/>
      <c r="M892" s="2"/>
      <c r="N892" s="2"/>
      <c r="O892" s="2" t="s">
        <v>34</v>
      </c>
      <c r="P892" s="2"/>
      <c r="Q892" s="2"/>
      <c r="R892" s="2">
        <v>1900</v>
      </c>
      <c r="S892" s="2">
        <v>532</v>
      </c>
      <c r="T892" s="13" t="str">
        <f t="shared" si="27"/>
        <v>TRPZS1129</v>
      </c>
      <c r="U892" s="2" t="s">
        <v>1906</v>
      </c>
      <c r="V892" s="2"/>
      <c r="W892" s="2">
        <v>4.7699999999999996</v>
      </c>
      <c r="X892" s="2">
        <v>2.4700000000000002</v>
      </c>
      <c r="Y892" s="2">
        <v>1.58</v>
      </c>
      <c r="Z892" s="2">
        <v>0</v>
      </c>
      <c r="AA892" s="2">
        <v>0</v>
      </c>
      <c r="AB892" s="2">
        <v>1.93</v>
      </c>
      <c r="AC892" s="3" t="str">
        <f t="shared" si="26"/>
        <v>Pair</v>
      </c>
    </row>
    <row r="893" spans="1:29" x14ac:dyDescent="0.25">
      <c r="A893" s="1" t="s">
        <v>1907</v>
      </c>
      <c r="B893" s="2" t="s">
        <v>37</v>
      </c>
      <c r="C893" s="2"/>
      <c r="D893" s="2"/>
      <c r="E893" s="2" t="s">
        <v>1856</v>
      </c>
      <c r="F893" s="2">
        <v>2</v>
      </c>
      <c r="G893" s="2">
        <v>0.18</v>
      </c>
      <c r="H893" s="2" t="s">
        <v>137</v>
      </c>
      <c r="I893" s="2" t="s">
        <v>39</v>
      </c>
      <c r="J893" s="2" t="s">
        <v>33</v>
      </c>
      <c r="K893" s="2"/>
      <c r="L893" s="2"/>
      <c r="M893" s="2"/>
      <c r="N893" s="2"/>
      <c r="O893" s="2" t="s">
        <v>34</v>
      </c>
      <c r="P893" s="2"/>
      <c r="Q893" s="2"/>
      <c r="R893" s="2">
        <v>2000</v>
      </c>
      <c r="S893" s="2">
        <v>360</v>
      </c>
      <c r="T893" s="13" t="str">
        <f t="shared" si="27"/>
        <v>TRPZS1136</v>
      </c>
      <c r="U893" s="2" t="s">
        <v>1908</v>
      </c>
      <c r="V893" s="2"/>
      <c r="W893" s="2">
        <v>4.75</v>
      </c>
      <c r="X893" s="2">
        <v>2.1</v>
      </c>
      <c r="Y893" s="2">
        <v>1.25</v>
      </c>
      <c r="Z893" s="2">
        <v>0</v>
      </c>
      <c r="AA893" s="2">
        <v>0</v>
      </c>
      <c r="AB893" s="2">
        <v>2.2599999999999998</v>
      </c>
      <c r="AC893" s="3" t="str">
        <f t="shared" si="26"/>
        <v>Pair</v>
      </c>
    </row>
    <row r="894" spans="1:29" x14ac:dyDescent="0.25">
      <c r="A894" s="1" t="s">
        <v>1909</v>
      </c>
      <c r="B894" s="2" t="s">
        <v>37</v>
      </c>
      <c r="C894" s="2"/>
      <c r="D894" s="2"/>
      <c r="E894" s="2" t="s">
        <v>1856</v>
      </c>
      <c r="F894" s="2">
        <v>2</v>
      </c>
      <c r="G894" s="2">
        <v>0.22</v>
      </c>
      <c r="H894" s="2" t="s">
        <v>396</v>
      </c>
      <c r="I894" s="2" t="s">
        <v>39</v>
      </c>
      <c r="J894" s="2" t="s">
        <v>33</v>
      </c>
      <c r="K894" s="2"/>
      <c r="L894" s="2"/>
      <c r="M894" s="2"/>
      <c r="N894" s="2"/>
      <c r="O894" s="2" t="s">
        <v>34</v>
      </c>
      <c r="P894" s="2"/>
      <c r="Q894" s="2"/>
      <c r="R894" s="2">
        <v>1800</v>
      </c>
      <c r="S894" s="2">
        <v>396</v>
      </c>
      <c r="T894" s="13" t="str">
        <f t="shared" si="27"/>
        <v>TRPZS1141</v>
      </c>
      <c r="U894" s="2" t="s">
        <v>1910</v>
      </c>
      <c r="V894" s="2"/>
      <c r="W894" s="2">
        <v>4.83</v>
      </c>
      <c r="X894" s="2">
        <v>2.4</v>
      </c>
      <c r="Y894" s="2">
        <v>1.58</v>
      </c>
      <c r="Z894" s="2">
        <v>0</v>
      </c>
      <c r="AA894" s="2">
        <v>0</v>
      </c>
      <c r="AB894" s="2">
        <v>2.0099999999999998</v>
      </c>
      <c r="AC894" s="3" t="str">
        <f t="shared" si="26"/>
        <v>Pair</v>
      </c>
    </row>
    <row r="895" spans="1:29" x14ac:dyDescent="0.25">
      <c r="A895" s="1" t="s">
        <v>1911</v>
      </c>
      <c r="B895" s="2" t="s">
        <v>29</v>
      </c>
      <c r="C895" s="2"/>
      <c r="D895" s="2"/>
      <c r="E895" s="2" t="s">
        <v>1856</v>
      </c>
      <c r="F895" s="2">
        <v>1</v>
      </c>
      <c r="G895" s="2">
        <v>0.64</v>
      </c>
      <c r="H895" s="2" t="s">
        <v>31</v>
      </c>
      <c r="I895" s="2" t="s">
        <v>68</v>
      </c>
      <c r="J895" s="2" t="s">
        <v>397</v>
      </c>
      <c r="K895" s="2"/>
      <c r="L895" s="2" t="s">
        <v>450</v>
      </c>
      <c r="M895" s="2" t="s">
        <v>450</v>
      </c>
      <c r="N895" s="2" t="s">
        <v>421</v>
      </c>
      <c r="O895" s="2" t="s">
        <v>58</v>
      </c>
      <c r="P895" s="2"/>
      <c r="Q895" s="2">
        <v>6412218169</v>
      </c>
      <c r="R895" s="2">
        <v>4500</v>
      </c>
      <c r="S895" s="2">
        <v>2880</v>
      </c>
      <c r="T895" s="13" t="str">
        <f t="shared" si="27"/>
        <v>PLT3201AA</v>
      </c>
      <c r="U895" s="2" t="s">
        <v>1912</v>
      </c>
      <c r="V895" s="2"/>
      <c r="W895" s="2">
        <v>3.39</v>
      </c>
      <c r="X895" s="2">
        <v>8.25</v>
      </c>
      <c r="Y895" s="2">
        <v>2.5099999999999998</v>
      </c>
      <c r="Z895" s="2">
        <v>30.4</v>
      </c>
      <c r="AA895" s="2">
        <v>79</v>
      </c>
      <c r="AB895" s="2">
        <v>0.41</v>
      </c>
      <c r="AC895" s="3" t="str">
        <f t="shared" si="26"/>
        <v>Loose</v>
      </c>
    </row>
    <row r="896" spans="1:29" x14ac:dyDescent="0.25">
      <c r="A896" s="1" t="s">
        <v>1913</v>
      </c>
      <c r="B896" s="2" t="s">
        <v>29</v>
      </c>
      <c r="C896" s="2"/>
      <c r="D896" s="2"/>
      <c r="E896" s="2" t="s">
        <v>1856</v>
      </c>
      <c r="F896" s="2">
        <v>2</v>
      </c>
      <c r="G896" s="2">
        <v>0.3</v>
      </c>
      <c r="H896" s="2" t="s">
        <v>396</v>
      </c>
      <c r="I896" s="2" t="s">
        <v>57</v>
      </c>
      <c r="J896" s="2" t="s">
        <v>33</v>
      </c>
      <c r="K896" s="2"/>
      <c r="L896" s="2"/>
      <c r="M896" s="2"/>
      <c r="N896" s="2"/>
      <c r="O896" s="2"/>
      <c r="P896" s="2"/>
      <c r="Q896" s="2"/>
      <c r="R896" s="2">
        <v>2000</v>
      </c>
      <c r="S896" s="2">
        <v>600</v>
      </c>
      <c r="T896" s="13" t="str">
        <f t="shared" si="27"/>
        <v>TRPZS1146</v>
      </c>
      <c r="U896" s="2" t="s">
        <v>1914</v>
      </c>
      <c r="V896" s="2"/>
      <c r="W896" s="2">
        <v>5.26</v>
      </c>
      <c r="X896" s="2">
        <v>2.5299999999999998</v>
      </c>
      <c r="Y896" s="2">
        <v>1.6</v>
      </c>
      <c r="Z896" s="2">
        <v>0</v>
      </c>
      <c r="AA896" s="2">
        <v>0</v>
      </c>
      <c r="AB896" s="2">
        <v>2.08</v>
      </c>
      <c r="AC896" s="3" t="str">
        <f t="shared" si="26"/>
        <v>Pair</v>
      </c>
    </row>
    <row r="897" spans="1:29" x14ac:dyDescent="0.25">
      <c r="A897" s="1" t="s">
        <v>1915</v>
      </c>
      <c r="B897" s="2" t="s">
        <v>37</v>
      </c>
      <c r="C897" s="2"/>
      <c r="D897" s="2"/>
      <c r="E897" s="2" t="s">
        <v>1856</v>
      </c>
      <c r="F897" s="2">
        <v>2</v>
      </c>
      <c r="G897" s="2">
        <v>0.25</v>
      </c>
      <c r="H897" s="2" t="s">
        <v>137</v>
      </c>
      <c r="I897" s="2" t="s">
        <v>39</v>
      </c>
      <c r="J897" s="2" t="s">
        <v>33</v>
      </c>
      <c r="K897" s="2"/>
      <c r="L897" s="2"/>
      <c r="M897" s="2"/>
      <c r="N897" s="2"/>
      <c r="O897" s="2"/>
      <c r="P897" s="2"/>
      <c r="Q897" s="2"/>
      <c r="R897" s="2">
        <v>2100</v>
      </c>
      <c r="S897" s="2">
        <v>525</v>
      </c>
      <c r="T897" s="13" t="str">
        <f t="shared" si="27"/>
        <v>TRPZS1147</v>
      </c>
      <c r="U897" s="2" t="s">
        <v>1916</v>
      </c>
      <c r="V897" s="2"/>
      <c r="W897" s="2">
        <v>5.5</v>
      </c>
      <c r="X897" s="2">
        <v>2.83</v>
      </c>
      <c r="Y897" s="2">
        <v>1.29</v>
      </c>
      <c r="Z897" s="2">
        <v>0</v>
      </c>
      <c r="AA897" s="2">
        <v>0</v>
      </c>
      <c r="AB897" s="2">
        <v>1.94</v>
      </c>
      <c r="AC897" s="3" t="str">
        <f t="shared" si="26"/>
        <v>Pair</v>
      </c>
    </row>
    <row r="898" spans="1:29" x14ac:dyDescent="0.25">
      <c r="A898" s="1" t="s">
        <v>1917</v>
      </c>
      <c r="B898" s="2" t="s">
        <v>37</v>
      </c>
      <c r="C898" s="2"/>
      <c r="D898" s="2"/>
      <c r="E898" s="2" t="s">
        <v>1856</v>
      </c>
      <c r="F898" s="2">
        <v>2</v>
      </c>
      <c r="G898" s="2">
        <v>0.3</v>
      </c>
      <c r="H898" s="2" t="s">
        <v>396</v>
      </c>
      <c r="I898" s="2" t="s">
        <v>39</v>
      </c>
      <c r="J898" s="2" t="s">
        <v>33</v>
      </c>
      <c r="K898" s="2"/>
      <c r="L898" s="2"/>
      <c r="M898" s="2"/>
      <c r="N898" s="2"/>
      <c r="O898" s="2" t="s">
        <v>34</v>
      </c>
      <c r="P898" s="2"/>
      <c r="Q898" s="2"/>
      <c r="R898" s="2">
        <v>2100</v>
      </c>
      <c r="S898" s="2">
        <v>630</v>
      </c>
      <c r="T898" s="13" t="str">
        <f t="shared" si="27"/>
        <v>TRPZS1149</v>
      </c>
      <c r="U898" s="2" t="s">
        <v>1918</v>
      </c>
      <c r="V898" s="2"/>
      <c r="W898" s="2">
        <v>4.92</v>
      </c>
      <c r="X898" s="2">
        <v>3.15</v>
      </c>
      <c r="Y898" s="2">
        <v>1.36</v>
      </c>
      <c r="Z898" s="2">
        <v>0</v>
      </c>
      <c r="AA898" s="2">
        <v>0</v>
      </c>
      <c r="AB898" s="2">
        <v>1.56</v>
      </c>
      <c r="AC898" s="3" t="str">
        <f t="shared" ref="AC898:AC932" si="28">IF(F898=2,"Pair","Loose")</f>
        <v>Pair</v>
      </c>
    </row>
    <row r="899" spans="1:29" x14ac:dyDescent="0.25">
      <c r="A899" s="1" t="s">
        <v>1919</v>
      </c>
      <c r="B899" s="2" t="s">
        <v>37</v>
      </c>
      <c r="C899" s="2"/>
      <c r="D899" s="2"/>
      <c r="E899" s="2" t="s">
        <v>1856</v>
      </c>
      <c r="F899" s="2">
        <v>2</v>
      </c>
      <c r="G899" s="2">
        <v>0.54</v>
      </c>
      <c r="H899" s="2" t="s">
        <v>396</v>
      </c>
      <c r="I899" s="2" t="s">
        <v>39</v>
      </c>
      <c r="J899" s="2" t="s">
        <v>397</v>
      </c>
      <c r="K899" s="2"/>
      <c r="L899" s="2"/>
      <c r="M899" s="2"/>
      <c r="N899" s="2"/>
      <c r="O899" s="2" t="s">
        <v>34</v>
      </c>
      <c r="P899" s="2"/>
      <c r="Q899" s="2"/>
      <c r="R899" s="2">
        <v>2700</v>
      </c>
      <c r="S899" s="2">
        <v>1458</v>
      </c>
      <c r="T899" s="13" t="str">
        <f t="shared" si="27"/>
        <v>TRPZS1159</v>
      </c>
      <c r="U899" s="2" t="s">
        <v>1920</v>
      </c>
      <c r="V899" s="2"/>
      <c r="W899" s="2">
        <v>6.43</v>
      </c>
      <c r="X899" s="2">
        <v>2.85</v>
      </c>
      <c r="Y899" s="2">
        <v>2.0099999999999998</v>
      </c>
      <c r="Z899" s="2">
        <v>0</v>
      </c>
      <c r="AA899" s="2">
        <v>0</v>
      </c>
      <c r="AB899" s="2">
        <v>2.2599999999999998</v>
      </c>
      <c r="AC899" s="3" t="str">
        <f t="shared" si="28"/>
        <v>Pair</v>
      </c>
    </row>
    <row r="900" spans="1:29" x14ac:dyDescent="0.25">
      <c r="A900" s="1" t="s">
        <v>1921</v>
      </c>
      <c r="B900" s="2" t="s">
        <v>29</v>
      </c>
      <c r="C900" s="2"/>
      <c r="D900" s="2"/>
      <c r="E900" s="2" t="s">
        <v>1856</v>
      </c>
      <c r="F900" s="2">
        <v>2</v>
      </c>
      <c r="G900" s="2">
        <v>0.18</v>
      </c>
      <c r="H900" s="2" t="s">
        <v>396</v>
      </c>
      <c r="I900" s="2" t="s">
        <v>53</v>
      </c>
      <c r="J900" s="2" t="s">
        <v>33</v>
      </c>
      <c r="K900" s="2"/>
      <c r="L900" s="2"/>
      <c r="M900" s="2"/>
      <c r="N900" s="2"/>
      <c r="O900" s="2"/>
      <c r="P900" s="2"/>
      <c r="Q900" s="2"/>
      <c r="R900" s="2">
        <v>1700</v>
      </c>
      <c r="S900" s="2">
        <v>306</v>
      </c>
      <c r="T900" s="13" t="str">
        <f t="shared" si="27"/>
        <v>TRPZS1161</v>
      </c>
      <c r="U900" s="2" t="s">
        <v>1922</v>
      </c>
      <c r="V900" s="2"/>
      <c r="W900" s="2">
        <v>4.8499999999999996</v>
      </c>
      <c r="X900" s="2">
        <v>2.2400000000000002</v>
      </c>
      <c r="Y900" s="2">
        <v>1.17</v>
      </c>
      <c r="Z900" s="2">
        <v>0</v>
      </c>
      <c r="AA900" s="2">
        <v>0</v>
      </c>
      <c r="AB900" s="2">
        <v>2.17</v>
      </c>
      <c r="AC900" s="3" t="str">
        <f t="shared" si="28"/>
        <v>Pair</v>
      </c>
    </row>
    <row r="901" spans="1:29" x14ac:dyDescent="0.25">
      <c r="A901" s="1" t="s">
        <v>1923</v>
      </c>
      <c r="B901" s="2" t="s">
        <v>29</v>
      </c>
      <c r="C901" s="2"/>
      <c r="D901" s="2"/>
      <c r="E901" s="2" t="s">
        <v>1856</v>
      </c>
      <c r="F901" s="2">
        <v>2</v>
      </c>
      <c r="G901" s="2">
        <v>0.23</v>
      </c>
      <c r="H901" s="2" t="s">
        <v>396</v>
      </c>
      <c r="I901" s="2" t="s">
        <v>32</v>
      </c>
      <c r="J901" s="2" t="s">
        <v>33</v>
      </c>
      <c r="K901" s="2"/>
      <c r="L901" s="2"/>
      <c r="M901" s="2"/>
      <c r="N901" s="2"/>
      <c r="O901" s="2"/>
      <c r="P901" s="2"/>
      <c r="Q901" s="2"/>
      <c r="R901" s="2">
        <v>1600</v>
      </c>
      <c r="S901" s="2">
        <v>368</v>
      </c>
      <c r="T901" s="13" t="str">
        <f t="shared" si="27"/>
        <v>TRPZS1164</v>
      </c>
      <c r="U901" s="2" t="s">
        <v>1924</v>
      </c>
      <c r="V901" s="2"/>
      <c r="W901" s="2">
        <v>5.15</v>
      </c>
      <c r="X901" s="2">
        <v>2.37</v>
      </c>
      <c r="Y901" s="2">
        <v>1.35</v>
      </c>
      <c r="Z901" s="2">
        <v>0</v>
      </c>
      <c r="AA901" s="2">
        <v>0</v>
      </c>
      <c r="AB901" s="2">
        <v>2.17</v>
      </c>
      <c r="AC901" s="3" t="str">
        <f t="shared" si="28"/>
        <v>Pair</v>
      </c>
    </row>
    <row r="902" spans="1:29" x14ac:dyDescent="0.25">
      <c r="A902" s="1" t="s">
        <v>1925</v>
      </c>
      <c r="B902" s="2" t="s">
        <v>37</v>
      </c>
      <c r="C902" s="2"/>
      <c r="D902" s="2"/>
      <c r="E902" s="2" t="s">
        <v>1856</v>
      </c>
      <c r="F902" s="2">
        <v>2</v>
      </c>
      <c r="G902" s="2">
        <v>0.27</v>
      </c>
      <c r="H902" s="2" t="s">
        <v>73</v>
      </c>
      <c r="I902" s="2" t="s">
        <v>53</v>
      </c>
      <c r="J902" s="2" t="s">
        <v>33</v>
      </c>
      <c r="K902" s="2"/>
      <c r="L902" s="2"/>
      <c r="M902" s="2"/>
      <c r="N902" s="2"/>
      <c r="O902" s="2" t="s">
        <v>58</v>
      </c>
      <c r="P902" s="2"/>
      <c r="Q902" s="2"/>
      <c r="R902" s="2">
        <v>1000</v>
      </c>
      <c r="S902" s="2">
        <v>270</v>
      </c>
      <c r="T902" s="13" t="str">
        <f t="shared" si="27"/>
        <v>TRPZS1163</v>
      </c>
      <c r="U902" s="2" t="s">
        <v>1926</v>
      </c>
      <c r="V902" s="2"/>
      <c r="W902" s="2">
        <v>3.67</v>
      </c>
      <c r="X902" s="2">
        <v>2.33</v>
      </c>
      <c r="Y902" s="2">
        <v>1.88</v>
      </c>
      <c r="Z902" s="2">
        <v>0</v>
      </c>
      <c r="AA902" s="2">
        <v>0</v>
      </c>
      <c r="AB902" s="2">
        <v>1.58</v>
      </c>
      <c r="AC902" s="3" t="str">
        <f t="shared" si="28"/>
        <v>Pair</v>
      </c>
    </row>
    <row r="903" spans="1:29" x14ac:dyDescent="0.25">
      <c r="A903" s="1" t="s">
        <v>1927</v>
      </c>
      <c r="B903" s="2" t="s">
        <v>37</v>
      </c>
      <c r="C903" s="2"/>
      <c r="D903" s="2"/>
      <c r="E903" s="2" t="s">
        <v>1856</v>
      </c>
      <c r="F903" s="2">
        <v>2</v>
      </c>
      <c r="G903" s="2">
        <v>0.22</v>
      </c>
      <c r="H903" s="2" t="s">
        <v>38</v>
      </c>
      <c r="I903" s="2" t="s">
        <v>57</v>
      </c>
      <c r="J903" s="2" t="s">
        <v>33</v>
      </c>
      <c r="K903" s="2"/>
      <c r="L903" s="2"/>
      <c r="M903" s="2"/>
      <c r="N903" s="2"/>
      <c r="O903" s="2"/>
      <c r="P903" s="2"/>
      <c r="Q903" s="2"/>
      <c r="R903" s="2">
        <v>1900</v>
      </c>
      <c r="S903" s="2">
        <v>418</v>
      </c>
      <c r="T903" s="13" t="str">
        <f t="shared" ref="T903:T932" si="29">IF(OR(TRIM(A903&amp;"")="",TRIM(A903&amp;"")="0"),"",HYPERLINK("https://gs.gsdiamonds.com/StoneDetails.aspx?name=" &amp; _xlfn.ENCODEURL(TRIM(A903&amp;"")), TRIM(A903&amp;"")))</f>
        <v>TRPZS1843</v>
      </c>
      <c r="U903" s="2" t="s">
        <v>1928</v>
      </c>
      <c r="V903" s="2"/>
      <c r="W903" s="2">
        <v>4.87</v>
      </c>
      <c r="X903" s="2">
        <v>2.29</v>
      </c>
      <c r="Y903" s="2">
        <v>1.37</v>
      </c>
      <c r="Z903" s="2">
        <v>0</v>
      </c>
      <c r="AA903" s="2">
        <v>0</v>
      </c>
      <c r="AB903" s="2">
        <v>2.13</v>
      </c>
      <c r="AC903" s="3" t="str">
        <f t="shared" si="28"/>
        <v>Pair</v>
      </c>
    </row>
    <row r="904" spans="1:29" x14ac:dyDescent="0.25">
      <c r="A904" s="1" t="s">
        <v>1929</v>
      </c>
      <c r="B904" s="2" t="s">
        <v>29</v>
      </c>
      <c r="C904" s="2"/>
      <c r="D904" s="2"/>
      <c r="E904" s="2" t="s">
        <v>1856</v>
      </c>
      <c r="F904" s="2">
        <v>2</v>
      </c>
      <c r="G904" s="2">
        <v>0.16</v>
      </c>
      <c r="H904" s="2" t="s">
        <v>396</v>
      </c>
      <c r="I904" s="2" t="s">
        <v>53</v>
      </c>
      <c r="J904" s="2" t="s">
        <v>33</v>
      </c>
      <c r="K904" s="2"/>
      <c r="L904" s="2"/>
      <c r="M904" s="2"/>
      <c r="N904" s="2"/>
      <c r="O904" s="2" t="s">
        <v>34</v>
      </c>
      <c r="P904" s="2"/>
      <c r="Q904" s="2"/>
      <c r="R904" s="2">
        <v>1500</v>
      </c>
      <c r="S904" s="2">
        <v>240</v>
      </c>
      <c r="T904" s="13" t="str">
        <f t="shared" si="29"/>
        <v>TRPZS1845</v>
      </c>
      <c r="U904" s="2" t="s">
        <v>1930</v>
      </c>
      <c r="V904" s="2"/>
      <c r="W904" s="2">
        <v>4.03</v>
      </c>
      <c r="X904" s="2">
        <v>2.46</v>
      </c>
      <c r="Y904" s="2">
        <v>1.27</v>
      </c>
      <c r="Z904" s="2">
        <v>0</v>
      </c>
      <c r="AA904" s="2">
        <v>0</v>
      </c>
      <c r="AB904" s="2">
        <v>1.64</v>
      </c>
      <c r="AC904" s="3" t="str">
        <f t="shared" si="28"/>
        <v>Pair</v>
      </c>
    </row>
    <row r="905" spans="1:29" x14ac:dyDescent="0.25">
      <c r="A905" s="1" t="s">
        <v>1931</v>
      </c>
      <c r="B905" s="2" t="s">
        <v>37</v>
      </c>
      <c r="C905" s="2"/>
      <c r="D905" s="2"/>
      <c r="E905" s="2" t="s">
        <v>1856</v>
      </c>
      <c r="F905" s="2">
        <v>2</v>
      </c>
      <c r="G905" s="2">
        <v>0.8</v>
      </c>
      <c r="H905" s="2" t="s">
        <v>137</v>
      </c>
      <c r="I905" s="2" t="s">
        <v>57</v>
      </c>
      <c r="J905" s="2" t="s">
        <v>397</v>
      </c>
      <c r="K905" s="2"/>
      <c r="L905" s="2"/>
      <c r="M905" s="2"/>
      <c r="N905" s="2"/>
      <c r="O905" s="2" t="s">
        <v>34</v>
      </c>
      <c r="P905" s="2"/>
      <c r="Q905" s="2"/>
      <c r="R905" s="2">
        <v>3800</v>
      </c>
      <c r="S905" s="2">
        <v>3040</v>
      </c>
      <c r="T905" s="13" t="str">
        <f t="shared" si="29"/>
        <v>TRPZS1851</v>
      </c>
      <c r="U905" s="2" t="s">
        <v>1932</v>
      </c>
      <c r="V905" s="2"/>
      <c r="W905" s="2">
        <v>3.73</v>
      </c>
      <c r="X905" s="2">
        <v>6.87</v>
      </c>
      <c r="Y905" s="2">
        <v>2.0699999999999998</v>
      </c>
      <c r="Z905" s="2">
        <v>0</v>
      </c>
      <c r="AA905" s="2">
        <v>0</v>
      </c>
      <c r="AB905" s="2">
        <v>0.54</v>
      </c>
      <c r="AC905" s="3" t="str">
        <f t="shared" si="28"/>
        <v>Pair</v>
      </c>
    </row>
    <row r="906" spans="1:29" x14ac:dyDescent="0.25">
      <c r="A906" s="1" t="s">
        <v>1933</v>
      </c>
      <c r="B906" s="2" t="s">
        <v>29</v>
      </c>
      <c r="C906" s="2"/>
      <c r="D906" s="2"/>
      <c r="E906" s="2" t="s">
        <v>1856</v>
      </c>
      <c r="F906" s="2">
        <v>2</v>
      </c>
      <c r="G906" s="2">
        <v>1.26</v>
      </c>
      <c r="H906" s="2" t="s">
        <v>396</v>
      </c>
      <c r="I906" s="2" t="s">
        <v>57</v>
      </c>
      <c r="J906" s="2" t="s">
        <v>33</v>
      </c>
      <c r="K906" s="2"/>
      <c r="L906" s="2"/>
      <c r="M906" s="2"/>
      <c r="N906" s="2"/>
      <c r="O906" s="2" t="s">
        <v>34</v>
      </c>
      <c r="P906" s="2"/>
      <c r="Q906" s="2"/>
      <c r="R906" s="2">
        <v>4800</v>
      </c>
      <c r="S906" s="2">
        <v>6048</v>
      </c>
      <c r="T906" s="13" t="str">
        <f t="shared" si="29"/>
        <v>TRPZS1853</v>
      </c>
      <c r="U906" s="2" t="s">
        <v>1934</v>
      </c>
      <c r="V906" s="2"/>
      <c r="W906" s="2">
        <v>4.07</v>
      </c>
      <c r="X906" s="2">
        <v>8.2799999999999994</v>
      </c>
      <c r="Y906" s="2">
        <v>2.09</v>
      </c>
      <c r="Z906" s="2">
        <v>0</v>
      </c>
      <c r="AA906" s="2">
        <v>0</v>
      </c>
      <c r="AB906" s="2">
        <v>0.49</v>
      </c>
      <c r="AC906" s="3" t="str">
        <f t="shared" si="28"/>
        <v>Pair</v>
      </c>
    </row>
    <row r="907" spans="1:29" x14ac:dyDescent="0.25">
      <c r="A907" s="1" t="s">
        <v>1935</v>
      </c>
      <c r="B907" s="2" t="s">
        <v>37</v>
      </c>
      <c r="C907" s="2"/>
      <c r="D907" s="2"/>
      <c r="E907" s="2" t="s">
        <v>1856</v>
      </c>
      <c r="F907" s="2">
        <v>2</v>
      </c>
      <c r="G907" s="2">
        <v>0.75</v>
      </c>
      <c r="H907" s="2" t="s">
        <v>43</v>
      </c>
      <c r="I907" s="2" t="s">
        <v>39</v>
      </c>
      <c r="J907" s="2" t="s">
        <v>397</v>
      </c>
      <c r="K907" s="2"/>
      <c r="L907" s="2"/>
      <c r="M907" s="2"/>
      <c r="N907" s="2"/>
      <c r="O907" s="2" t="s">
        <v>34</v>
      </c>
      <c r="P907" s="2"/>
      <c r="Q907" s="2"/>
      <c r="R907" s="2">
        <v>3200</v>
      </c>
      <c r="S907" s="2">
        <v>2400</v>
      </c>
      <c r="T907" s="13" t="str">
        <f t="shared" si="29"/>
        <v>TRPZS1856</v>
      </c>
      <c r="U907" s="2" t="s">
        <v>1936</v>
      </c>
      <c r="V907" s="2"/>
      <c r="W907" s="2">
        <v>3.58</v>
      </c>
      <c r="X907" s="2">
        <v>6.08</v>
      </c>
      <c r="Y907" s="2">
        <v>2.0699999999999998</v>
      </c>
      <c r="Z907" s="2">
        <v>0</v>
      </c>
      <c r="AA907" s="2">
        <v>0</v>
      </c>
      <c r="AB907" s="2">
        <v>0.59</v>
      </c>
      <c r="AC907" s="3" t="str">
        <f t="shared" si="28"/>
        <v>Pair</v>
      </c>
    </row>
    <row r="908" spans="1:29" x14ac:dyDescent="0.25">
      <c r="A908" s="1" t="s">
        <v>1937</v>
      </c>
      <c r="B908" s="2" t="s">
        <v>37</v>
      </c>
      <c r="C908" s="2"/>
      <c r="D908" s="2"/>
      <c r="E908" s="2" t="s">
        <v>1856</v>
      </c>
      <c r="F908" s="2">
        <v>2</v>
      </c>
      <c r="G908" s="2">
        <v>0.71</v>
      </c>
      <c r="H908" s="2" t="s">
        <v>137</v>
      </c>
      <c r="I908" s="2" t="s">
        <v>39</v>
      </c>
      <c r="J908" s="2" t="s">
        <v>33</v>
      </c>
      <c r="K908" s="2"/>
      <c r="L908" s="2"/>
      <c r="M908" s="2"/>
      <c r="N908" s="2"/>
      <c r="O908" s="2" t="s">
        <v>70</v>
      </c>
      <c r="P908" s="2"/>
      <c r="Q908" s="2"/>
      <c r="R908" s="2">
        <v>3300</v>
      </c>
      <c r="S908" s="2">
        <v>2343</v>
      </c>
      <c r="T908" s="13" t="str">
        <f t="shared" si="29"/>
        <v>TRPZS1857</v>
      </c>
      <c r="U908" s="2" t="s">
        <v>1938</v>
      </c>
      <c r="V908" s="2"/>
      <c r="W908" s="2">
        <v>3.49</v>
      </c>
      <c r="X908" s="2">
        <v>5.88</v>
      </c>
      <c r="Y908" s="2">
        <v>2.08</v>
      </c>
      <c r="Z908" s="2">
        <v>0</v>
      </c>
      <c r="AA908" s="2">
        <v>0</v>
      </c>
      <c r="AB908" s="2">
        <v>0.59</v>
      </c>
      <c r="AC908" s="3" t="str">
        <f t="shared" si="28"/>
        <v>Pair</v>
      </c>
    </row>
    <row r="909" spans="1:29" x14ac:dyDescent="0.25">
      <c r="A909" s="1" t="s">
        <v>1939</v>
      </c>
      <c r="B909" s="2" t="s">
        <v>29</v>
      </c>
      <c r="C909" s="2"/>
      <c r="D909" s="2"/>
      <c r="E909" s="2" t="s">
        <v>1856</v>
      </c>
      <c r="F909" s="2">
        <v>1</v>
      </c>
      <c r="G909" s="2">
        <v>0.74</v>
      </c>
      <c r="H909" s="2" t="s">
        <v>49</v>
      </c>
      <c r="I909" s="2" t="s">
        <v>68</v>
      </c>
      <c r="J909" s="2" t="s">
        <v>33</v>
      </c>
      <c r="K909" s="2"/>
      <c r="L909" s="2" t="s">
        <v>450</v>
      </c>
      <c r="M909" s="2" t="s">
        <v>43</v>
      </c>
      <c r="N909" s="2" t="s">
        <v>421</v>
      </c>
      <c r="O909" s="2" t="s">
        <v>61</v>
      </c>
      <c r="P909" s="2"/>
      <c r="Q909" s="2">
        <v>2447238729</v>
      </c>
      <c r="R909" s="2">
        <v>4500</v>
      </c>
      <c r="S909" s="2">
        <v>3330</v>
      </c>
      <c r="T909" s="13" t="str">
        <f t="shared" si="29"/>
        <v>PLT1698001AA</v>
      </c>
      <c r="U909" s="2" t="s">
        <v>1940</v>
      </c>
      <c r="V909" s="2"/>
      <c r="W909" s="2">
        <v>4</v>
      </c>
      <c r="X909" s="2">
        <v>9.25</v>
      </c>
      <c r="Y909" s="2">
        <v>2.69</v>
      </c>
      <c r="Z909" s="2">
        <v>29.1</v>
      </c>
      <c r="AA909" s="2">
        <v>82</v>
      </c>
      <c r="AB909" s="2">
        <v>0.43</v>
      </c>
      <c r="AC909" s="3" t="str">
        <f t="shared" si="28"/>
        <v>Loose</v>
      </c>
    </row>
    <row r="910" spans="1:29" x14ac:dyDescent="0.25">
      <c r="A910" s="1" t="s">
        <v>1941</v>
      </c>
      <c r="B910" s="2" t="s">
        <v>29</v>
      </c>
      <c r="C910" s="2"/>
      <c r="D910" s="2"/>
      <c r="E910" s="2" t="s">
        <v>1856</v>
      </c>
      <c r="F910" s="2">
        <v>1</v>
      </c>
      <c r="G910" s="2">
        <v>0.3</v>
      </c>
      <c r="H910" s="2" t="s">
        <v>396</v>
      </c>
      <c r="I910" s="2" t="s">
        <v>39</v>
      </c>
      <c r="J910" s="2" t="s">
        <v>397</v>
      </c>
      <c r="K910" s="2"/>
      <c r="L910" s="2" t="s">
        <v>450</v>
      </c>
      <c r="M910" s="2" t="s">
        <v>43</v>
      </c>
      <c r="N910" s="2" t="s">
        <v>421</v>
      </c>
      <c r="O910" s="2" t="s">
        <v>70</v>
      </c>
      <c r="P910" s="2"/>
      <c r="Q910" s="2">
        <v>6452974009</v>
      </c>
      <c r="R910" s="2">
        <v>3000</v>
      </c>
      <c r="S910" s="2">
        <v>900</v>
      </c>
      <c r="T910" s="13" t="str">
        <f t="shared" si="29"/>
        <v>NR035AAA</v>
      </c>
      <c r="U910" s="2" t="s">
        <v>1942</v>
      </c>
      <c r="V910" s="2"/>
      <c r="W910" s="2">
        <v>3.39</v>
      </c>
      <c r="X910" s="2">
        <v>6.52</v>
      </c>
      <c r="Y910" s="2">
        <v>1.61</v>
      </c>
      <c r="Z910" s="2">
        <v>24.7</v>
      </c>
      <c r="AA910" s="2">
        <v>74</v>
      </c>
      <c r="AB910" s="2">
        <v>0.52</v>
      </c>
      <c r="AC910" s="3" t="str">
        <f t="shared" si="28"/>
        <v>Loose</v>
      </c>
    </row>
    <row r="911" spans="1:29" x14ac:dyDescent="0.25">
      <c r="A911" s="1" t="s">
        <v>1943</v>
      </c>
      <c r="B911" s="2" t="s">
        <v>29</v>
      </c>
      <c r="C911" s="2"/>
      <c r="D911" s="2"/>
      <c r="E911" s="2" t="s">
        <v>1856</v>
      </c>
      <c r="F911" s="2">
        <v>2</v>
      </c>
      <c r="G911" s="2">
        <v>0.2</v>
      </c>
      <c r="H911" s="2" t="s">
        <v>38</v>
      </c>
      <c r="I911" s="2" t="s">
        <v>68</v>
      </c>
      <c r="J911" s="2" t="s">
        <v>33</v>
      </c>
      <c r="K911" s="2"/>
      <c r="L911" s="2"/>
      <c r="M911" s="2"/>
      <c r="N911" s="2"/>
      <c r="O911" s="2"/>
      <c r="P911" s="2"/>
      <c r="Q911" s="2"/>
      <c r="R911" s="2">
        <v>1700</v>
      </c>
      <c r="S911" s="2">
        <v>340</v>
      </c>
      <c r="T911" s="13" t="str">
        <f t="shared" si="29"/>
        <v>TRPZS1862</v>
      </c>
      <c r="U911" s="2" t="s">
        <v>1944</v>
      </c>
      <c r="V911" s="2"/>
      <c r="W911" s="2">
        <v>4.7</v>
      </c>
      <c r="X911" s="2">
        <v>1.83</v>
      </c>
      <c r="Y911" s="2">
        <v>1.39</v>
      </c>
      <c r="Z911" s="2">
        <v>0</v>
      </c>
      <c r="AA911" s="2">
        <v>0</v>
      </c>
      <c r="AB911" s="2">
        <v>2.57</v>
      </c>
      <c r="AC911" s="3" t="str">
        <f t="shared" si="28"/>
        <v>Pair</v>
      </c>
    </row>
    <row r="912" spans="1:29" x14ac:dyDescent="0.25">
      <c r="A912" s="1" t="s">
        <v>1945</v>
      </c>
      <c r="B912" s="2" t="s">
        <v>37</v>
      </c>
      <c r="C912" s="2"/>
      <c r="D912" s="2"/>
      <c r="E912" s="2" t="s">
        <v>1856</v>
      </c>
      <c r="F912" s="2">
        <v>2</v>
      </c>
      <c r="G912" s="2">
        <v>1.1200000000000001</v>
      </c>
      <c r="H912" s="2" t="s">
        <v>137</v>
      </c>
      <c r="I912" s="2" t="s">
        <v>53</v>
      </c>
      <c r="J912" s="2" t="s">
        <v>397</v>
      </c>
      <c r="K912" s="2"/>
      <c r="L912" s="2"/>
      <c r="M912" s="2"/>
      <c r="N912" s="2"/>
      <c r="O912" s="2" t="s">
        <v>514</v>
      </c>
      <c r="P912" s="2"/>
      <c r="Q912" s="2"/>
      <c r="R912" s="2">
        <v>4700</v>
      </c>
      <c r="S912" s="2">
        <v>5264</v>
      </c>
      <c r="T912" s="13" t="str">
        <f t="shared" si="29"/>
        <v>TRPZS1863</v>
      </c>
      <c r="U912" s="2" t="s">
        <v>1946</v>
      </c>
      <c r="V912" s="2"/>
      <c r="W912" s="2">
        <v>4.1500000000000004</v>
      </c>
      <c r="X912" s="2">
        <v>7.27</v>
      </c>
      <c r="Y912" s="2">
        <v>2.1800000000000002</v>
      </c>
      <c r="Z912" s="2">
        <v>0</v>
      </c>
      <c r="AA912" s="2">
        <v>0</v>
      </c>
      <c r="AB912" s="2">
        <v>0.56999999999999995</v>
      </c>
      <c r="AC912" s="3" t="str">
        <f t="shared" si="28"/>
        <v>Pair</v>
      </c>
    </row>
    <row r="913" spans="1:29" x14ac:dyDescent="0.25">
      <c r="A913" s="1" t="s">
        <v>1947</v>
      </c>
      <c r="B913" s="2" t="s">
        <v>29</v>
      </c>
      <c r="C913" s="2"/>
      <c r="D913" s="2"/>
      <c r="E913" s="2" t="s">
        <v>1856</v>
      </c>
      <c r="F913" s="2">
        <v>1</v>
      </c>
      <c r="G913" s="2">
        <v>0.4</v>
      </c>
      <c r="H913" s="2" t="s">
        <v>76</v>
      </c>
      <c r="I913" s="2" t="s">
        <v>39</v>
      </c>
      <c r="J913" s="2" t="s">
        <v>33</v>
      </c>
      <c r="K913" s="2"/>
      <c r="L913" s="2" t="s">
        <v>43</v>
      </c>
      <c r="M913" s="2" t="s">
        <v>43</v>
      </c>
      <c r="N913" s="2" t="s">
        <v>421</v>
      </c>
      <c r="O913" s="2" t="s">
        <v>34</v>
      </c>
      <c r="P913" s="2"/>
      <c r="Q913" s="2">
        <v>6451245924</v>
      </c>
      <c r="R913" s="2">
        <v>2500</v>
      </c>
      <c r="S913" s="2">
        <v>1000</v>
      </c>
      <c r="T913" s="13" t="str">
        <f t="shared" si="29"/>
        <v>YL003AAAA</v>
      </c>
      <c r="U913" s="2" t="s">
        <v>1948</v>
      </c>
      <c r="V913" s="2"/>
      <c r="W913" s="2">
        <v>3.88</v>
      </c>
      <c r="X913" s="2">
        <v>6.95</v>
      </c>
      <c r="Y913" s="2">
        <v>1.92</v>
      </c>
      <c r="Z913" s="2">
        <v>27.6</v>
      </c>
      <c r="AA913" s="2">
        <v>71</v>
      </c>
      <c r="AB913" s="2">
        <v>0.56000000000000005</v>
      </c>
      <c r="AC913" s="3" t="str">
        <f t="shared" si="28"/>
        <v>Loose</v>
      </c>
    </row>
    <row r="914" spans="1:29" x14ac:dyDescent="0.25">
      <c r="A914" s="1" t="s">
        <v>1949</v>
      </c>
      <c r="B914" s="2" t="s">
        <v>29</v>
      </c>
      <c r="C914" s="2"/>
      <c r="D914" s="2"/>
      <c r="E914" s="2" t="s">
        <v>1856</v>
      </c>
      <c r="F914" s="2">
        <v>1</v>
      </c>
      <c r="G914" s="2">
        <v>0.17</v>
      </c>
      <c r="H914" s="2" t="s">
        <v>43</v>
      </c>
      <c r="I914" s="2" t="s">
        <v>50</v>
      </c>
      <c r="J914" s="2" t="s">
        <v>33</v>
      </c>
      <c r="K914" s="2"/>
      <c r="L914" s="2"/>
      <c r="M914" s="2"/>
      <c r="N914" s="2"/>
      <c r="O914" s="2" t="s">
        <v>58</v>
      </c>
      <c r="P914" s="2"/>
      <c r="Q914" s="2"/>
      <c r="R914" s="2">
        <v>2563</v>
      </c>
      <c r="S914" s="2">
        <v>435.71</v>
      </c>
      <c r="T914" s="13" t="str">
        <f t="shared" si="29"/>
        <v>YL066AAA</v>
      </c>
      <c r="U914" s="2" t="s">
        <v>1950</v>
      </c>
      <c r="V914" s="2"/>
      <c r="W914" s="2">
        <v>5.5</v>
      </c>
      <c r="X914" s="2">
        <v>2.6</v>
      </c>
      <c r="Y914" s="2">
        <v>1.39</v>
      </c>
      <c r="Z914" s="2">
        <v>0</v>
      </c>
      <c r="AA914" s="2">
        <v>0</v>
      </c>
      <c r="AB914" s="2">
        <v>2.12</v>
      </c>
      <c r="AC914" s="3" t="str">
        <f t="shared" si="28"/>
        <v>Loose</v>
      </c>
    </row>
    <row r="915" spans="1:29" x14ac:dyDescent="0.25">
      <c r="A915" s="1" t="s">
        <v>1951</v>
      </c>
      <c r="B915" s="2" t="s">
        <v>29</v>
      </c>
      <c r="C915" s="2"/>
      <c r="D915" s="2"/>
      <c r="E915" s="2" t="s">
        <v>1856</v>
      </c>
      <c r="F915" s="2">
        <v>2</v>
      </c>
      <c r="G915" s="2">
        <v>0.4</v>
      </c>
      <c r="H915" s="2" t="s">
        <v>396</v>
      </c>
      <c r="I915" s="2" t="s">
        <v>57</v>
      </c>
      <c r="J915" s="2" t="s">
        <v>33</v>
      </c>
      <c r="K915" s="2"/>
      <c r="L915" s="2"/>
      <c r="M915" s="2"/>
      <c r="N915" s="2"/>
      <c r="O915" s="2"/>
      <c r="P915" s="2"/>
      <c r="Q915" s="2"/>
      <c r="R915" s="2">
        <v>2300</v>
      </c>
      <c r="S915" s="2">
        <v>920</v>
      </c>
      <c r="T915" s="13" t="str">
        <f t="shared" si="29"/>
        <v>TRPZS1869</v>
      </c>
      <c r="U915" s="2" t="s">
        <v>1952</v>
      </c>
      <c r="V915" s="2"/>
      <c r="W915" s="2">
        <v>5.66</v>
      </c>
      <c r="X915" s="2">
        <v>2.71</v>
      </c>
      <c r="Y915" s="2">
        <v>1.71</v>
      </c>
      <c r="Z915" s="2">
        <v>0</v>
      </c>
      <c r="AA915" s="2">
        <v>0</v>
      </c>
      <c r="AB915" s="2">
        <v>2.09</v>
      </c>
      <c r="AC915" s="3" t="str">
        <f t="shared" si="28"/>
        <v>Pair</v>
      </c>
    </row>
    <row r="916" spans="1:29" x14ac:dyDescent="0.25">
      <c r="A916" s="1" t="s">
        <v>1953</v>
      </c>
      <c r="B916" s="2" t="s">
        <v>29</v>
      </c>
      <c r="C916" s="2"/>
      <c r="D916" s="2"/>
      <c r="E916" s="2" t="s">
        <v>1856</v>
      </c>
      <c r="F916" s="2">
        <v>2</v>
      </c>
      <c r="G916" s="2">
        <v>0.2</v>
      </c>
      <c r="H916" s="2" t="s">
        <v>43</v>
      </c>
      <c r="I916" s="2" t="s">
        <v>57</v>
      </c>
      <c r="J916" s="2" t="s">
        <v>33</v>
      </c>
      <c r="K916" s="2"/>
      <c r="L916" s="2"/>
      <c r="M916" s="2"/>
      <c r="N916" s="2"/>
      <c r="O916" s="2" t="s">
        <v>34</v>
      </c>
      <c r="P916" s="2"/>
      <c r="Q916" s="2"/>
      <c r="R916" s="2">
        <v>1200</v>
      </c>
      <c r="S916" s="2">
        <v>240</v>
      </c>
      <c r="T916" s="13" t="str">
        <f t="shared" si="29"/>
        <v>TRPZS1870</v>
      </c>
      <c r="U916" s="2" t="s">
        <v>1954</v>
      </c>
      <c r="V916" s="2"/>
      <c r="W916" s="2">
        <v>4.66</v>
      </c>
      <c r="X916" s="2">
        <v>2.41</v>
      </c>
      <c r="Y916" s="2">
        <v>1.3</v>
      </c>
      <c r="Z916" s="2">
        <v>0</v>
      </c>
      <c r="AA916" s="2">
        <v>0</v>
      </c>
      <c r="AB916" s="2">
        <v>1.93</v>
      </c>
      <c r="AC916" s="3" t="str">
        <f t="shared" si="28"/>
        <v>Pair</v>
      </c>
    </row>
    <row r="917" spans="1:29" x14ac:dyDescent="0.25">
      <c r="A917" s="1" t="s">
        <v>1955</v>
      </c>
      <c r="B917" s="2" t="s">
        <v>29</v>
      </c>
      <c r="C917" s="2"/>
      <c r="D917" s="2"/>
      <c r="E917" s="2" t="s">
        <v>1856</v>
      </c>
      <c r="F917" s="2">
        <v>2</v>
      </c>
      <c r="G917" s="2">
        <v>0.35</v>
      </c>
      <c r="H917" s="2" t="s">
        <v>38</v>
      </c>
      <c r="I917" s="2" t="s">
        <v>53</v>
      </c>
      <c r="J917" s="2" t="s">
        <v>33</v>
      </c>
      <c r="K917" s="2"/>
      <c r="L917" s="2"/>
      <c r="M917" s="2"/>
      <c r="N917" s="2"/>
      <c r="O917" s="2" t="s">
        <v>46</v>
      </c>
      <c r="P917" s="2"/>
      <c r="Q917" s="2"/>
      <c r="R917" s="2">
        <v>2100</v>
      </c>
      <c r="S917" s="2">
        <v>735</v>
      </c>
      <c r="T917" s="13" t="str">
        <f t="shared" si="29"/>
        <v>TRPZS1872</v>
      </c>
      <c r="U917" s="2" t="s">
        <v>1956</v>
      </c>
      <c r="V917" s="2"/>
      <c r="W917" s="2">
        <v>5.01</v>
      </c>
      <c r="X917" s="2">
        <v>2.9</v>
      </c>
      <c r="Y917" s="2">
        <v>1.64</v>
      </c>
      <c r="Z917" s="2">
        <v>0</v>
      </c>
      <c r="AA917" s="2">
        <v>0</v>
      </c>
      <c r="AB917" s="2">
        <v>1.73</v>
      </c>
      <c r="AC917" s="3" t="str">
        <f t="shared" si="28"/>
        <v>Pair</v>
      </c>
    </row>
    <row r="918" spans="1:29" x14ac:dyDescent="0.25">
      <c r="A918" s="1" t="s">
        <v>1957</v>
      </c>
      <c r="B918" s="2" t="s">
        <v>29</v>
      </c>
      <c r="C918" s="2"/>
      <c r="D918" s="2"/>
      <c r="E918" s="2" t="s">
        <v>1856</v>
      </c>
      <c r="F918" s="2">
        <v>1</v>
      </c>
      <c r="G918" s="2">
        <v>0.2</v>
      </c>
      <c r="H918" s="2" t="s">
        <v>73</v>
      </c>
      <c r="I918" s="2" t="s">
        <v>39</v>
      </c>
      <c r="J918" s="2" t="s">
        <v>33</v>
      </c>
      <c r="K918" s="2"/>
      <c r="L918" s="2"/>
      <c r="M918" s="2"/>
      <c r="N918" s="2"/>
      <c r="O918" s="2" t="s">
        <v>70</v>
      </c>
      <c r="P918" s="2"/>
      <c r="Q918" s="2"/>
      <c r="R918" s="2">
        <v>559</v>
      </c>
      <c r="S918" s="2">
        <v>111.8</v>
      </c>
      <c r="T918" s="13" t="str">
        <f t="shared" si="29"/>
        <v>LVP043BAA</v>
      </c>
      <c r="U918" s="2" t="s">
        <v>1958</v>
      </c>
      <c r="V918" s="2"/>
      <c r="W918" s="2">
        <v>5.98</v>
      </c>
      <c r="X918" s="2">
        <v>2.75</v>
      </c>
      <c r="Y918" s="2">
        <v>1.63</v>
      </c>
      <c r="Z918" s="2">
        <v>0</v>
      </c>
      <c r="AA918" s="2">
        <v>0</v>
      </c>
      <c r="AB918" s="2">
        <v>2.17</v>
      </c>
      <c r="AC918" s="3" t="str">
        <f t="shared" si="28"/>
        <v>Loose</v>
      </c>
    </row>
    <row r="919" spans="1:29" x14ac:dyDescent="0.25">
      <c r="A919" s="1" t="s">
        <v>1959</v>
      </c>
      <c r="B919" s="2" t="s">
        <v>29</v>
      </c>
      <c r="C919" s="2"/>
      <c r="D919" s="2"/>
      <c r="E919" s="2" t="s">
        <v>1856</v>
      </c>
      <c r="F919" s="2">
        <v>1</v>
      </c>
      <c r="G919" s="2">
        <v>0.33</v>
      </c>
      <c r="H919" s="2" t="s">
        <v>31</v>
      </c>
      <c r="I919" s="2" t="s">
        <v>166</v>
      </c>
      <c r="J919" s="2" t="s">
        <v>69</v>
      </c>
      <c r="K919" s="2"/>
      <c r="L919" s="2"/>
      <c r="M919" s="2"/>
      <c r="N919" s="2"/>
      <c r="O919" s="2" t="s">
        <v>58</v>
      </c>
      <c r="P919" s="2"/>
      <c r="Q919" s="2"/>
      <c r="R919" s="2">
        <v>1692</v>
      </c>
      <c r="S919" s="2">
        <v>558.36</v>
      </c>
      <c r="T919" s="13" t="str">
        <f t="shared" si="29"/>
        <v>YL075AAA</v>
      </c>
      <c r="U919" s="2" t="s">
        <v>1960</v>
      </c>
      <c r="V919" s="2"/>
      <c r="W919" s="2">
        <v>6.31</v>
      </c>
      <c r="X919" s="2">
        <v>3.46</v>
      </c>
      <c r="Y919" s="2">
        <v>2.0099999999999998</v>
      </c>
      <c r="Z919" s="2">
        <v>0</v>
      </c>
      <c r="AA919" s="2">
        <v>0</v>
      </c>
      <c r="AB919" s="2">
        <v>1.82</v>
      </c>
      <c r="AC919" s="3" t="str">
        <f t="shared" si="28"/>
        <v>Loose</v>
      </c>
    </row>
    <row r="920" spans="1:29" x14ac:dyDescent="0.25">
      <c r="A920" s="1" t="s">
        <v>1961</v>
      </c>
      <c r="B920" s="2" t="s">
        <v>37</v>
      </c>
      <c r="C920" s="2"/>
      <c r="D920" s="2"/>
      <c r="E920" s="2" t="s">
        <v>1856</v>
      </c>
      <c r="F920" s="2">
        <v>2</v>
      </c>
      <c r="G920" s="2">
        <v>0.67</v>
      </c>
      <c r="H920" s="2" t="s">
        <v>38</v>
      </c>
      <c r="I920" s="2" t="s">
        <v>39</v>
      </c>
      <c r="J920" s="2" t="s">
        <v>397</v>
      </c>
      <c r="K920" s="2"/>
      <c r="L920" s="2"/>
      <c r="M920" s="2"/>
      <c r="N920" s="2"/>
      <c r="O920" s="2" t="s">
        <v>34</v>
      </c>
      <c r="P920" s="2"/>
      <c r="Q920" s="2"/>
      <c r="R920" s="2">
        <v>3300</v>
      </c>
      <c r="S920" s="2">
        <v>2211</v>
      </c>
      <c r="T920" s="13" t="str">
        <f t="shared" si="29"/>
        <v>TRPZS1873</v>
      </c>
      <c r="U920" s="2" t="s">
        <v>1962</v>
      </c>
      <c r="V920" s="2"/>
      <c r="W920" s="2">
        <v>3.22</v>
      </c>
      <c r="X920" s="2">
        <v>6.68</v>
      </c>
      <c r="Y920" s="2">
        <v>2.0099999999999998</v>
      </c>
      <c r="Z920" s="2">
        <v>0</v>
      </c>
      <c r="AA920" s="2">
        <v>0</v>
      </c>
      <c r="AB920" s="2">
        <v>0.48</v>
      </c>
      <c r="AC920" s="3" t="str">
        <f t="shared" si="28"/>
        <v>Pair</v>
      </c>
    </row>
    <row r="921" spans="1:29" x14ac:dyDescent="0.25">
      <c r="A921" s="1" t="s">
        <v>1963</v>
      </c>
      <c r="B921" s="2" t="s">
        <v>29</v>
      </c>
      <c r="C921" s="2"/>
      <c r="D921" s="2"/>
      <c r="E921" s="2" t="s">
        <v>1856</v>
      </c>
      <c r="F921" s="2">
        <v>2</v>
      </c>
      <c r="G921" s="2">
        <v>0.52</v>
      </c>
      <c r="H921" s="2" t="s">
        <v>396</v>
      </c>
      <c r="I921" s="2" t="s">
        <v>68</v>
      </c>
      <c r="J921" s="2" t="s">
        <v>33</v>
      </c>
      <c r="K921" s="2"/>
      <c r="L921" s="2"/>
      <c r="M921" s="2"/>
      <c r="N921" s="2"/>
      <c r="O921" s="2" t="s">
        <v>34</v>
      </c>
      <c r="P921" s="2"/>
      <c r="Q921" s="2"/>
      <c r="R921" s="2">
        <v>2800</v>
      </c>
      <c r="S921" s="2">
        <v>1456</v>
      </c>
      <c r="T921" s="13" t="str">
        <f t="shared" si="29"/>
        <v>TRPZS1875</v>
      </c>
      <c r="U921" s="2" t="s">
        <v>1964</v>
      </c>
      <c r="V921" s="2"/>
      <c r="W921" s="2">
        <v>3.02</v>
      </c>
      <c r="X921" s="2">
        <v>5.97</v>
      </c>
      <c r="Y921" s="2">
        <v>1.87</v>
      </c>
      <c r="Z921" s="2">
        <v>0</v>
      </c>
      <c r="AA921" s="2">
        <v>0</v>
      </c>
      <c r="AB921" s="2">
        <v>0.51</v>
      </c>
      <c r="AC921" s="3" t="str">
        <f t="shared" si="28"/>
        <v>Pair</v>
      </c>
    </row>
    <row r="922" spans="1:29" x14ac:dyDescent="0.25">
      <c r="A922" s="1" t="s">
        <v>1965</v>
      </c>
      <c r="B922" s="2" t="s">
        <v>29</v>
      </c>
      <c r="C922" s="2"/>
      <c r="D922" s="2"/>
      <c r="E922" s="2" t="s">
        <v>1856</v>
      </c>
      <c r="F922" s="2">
        <v>1</v>
      </c>
      <c r="G922" s="2">
        <v>0.67</v>
      </c>
      <c r="H922" s="2" t="s">
        <v>67</v>
      </c>
      <c r="I922" s="2" t="s">
        <v>57</v>
      </c>
      <c r="J922" s="2" t="s">
        <v>69</v>
      </c>
      <c r="K922" s="2"/>
      <c r="L922" s="2" t="s">
        <v>43</v>
      </c>
      <c r="M922" s="2" t="s">
        <v>43</v>
      </c>
      <c r="N922" s="2" t="s">
        <v>421</v>
      </c>
      <c r="O922" s="2" t="s">
        <v>70</v>
      </c>
      <c r="P922" s="2"/>
      <c r="Q922" s="2">
        <v>6472893869</v>
      </c>
      <c r="R922" s="2">
        <v>3000</v>
      </c>
      <c r="S922" s="2">
        <v>2010</v>
      </c>
      <c r="T922" s="13" t="str">
        <f t="shared" si="29"/>
        <v>LVP050AA</v>
      </c>
      <c r="U922" s="2" t="s">
        <v>1966</v>
      </c>
      <c r="V922" s="2"/>
      <c r="W922" s="2">
        <v>4.04</v>
      </c>
      <c r="X922" s="2">
        <v>8.98</v>
      </c>
      <c r="Y922" s="2">
        <v>2.4</v>
      </c>
      <c r="Z922" s="2">
        <v>26.7</v>
      </c>
      <c r="AA922" s="2">
        <v>84</v>
      </c>
      <c r="AB922" s="2">
        <v>0.45</v>
      </c>
      <c r="AC922" s="3" t="str">
        <f t="shared" si="28"/>
        <v>Loose</v>
      </c>
    </row>
    <row r="923" spans="1:29" x14ac:dyDescent="0.25">
      <c r="A923" s="1" t="s">
        <v>1967</v>
      </c>
      <c r="B923" s="2" t="s">
        <v>29</v>
      </c>
      <c r="C923" s="2"/>
      <c r="D923" s="2"/>
      <c r="E923" s="2" t="s">
        <v>1856</v>
      </c>
      <c r="F923" s="2">
        <v>2</v>
      </c>
      <c r="G923" s="2">
        <v>0.6</v>
      </c>
      <c r="H923" s="2" t="s">
        <v>38</v>
      </c>
      <c r="I923" s="2" t="s">
        <v>53</v>
      </c>
      <c r="J923" s="2" t="s">
        <v>397</v>
      </c>
      <c r="K923" s="2"/>
      <c r="L923" s="2"/>
      <c r="M923" s="2"/>
      <c r="N923" s="2"/>
      <c r="O923" s="2"/>
      <c r="P923" s="2"/>
      <c r="Q923" s="2"/>
      <c r="R923" s="2">
        <v>2900</v>
      </c>
      <c r="S923" s="2">
        <v>1740</v>
      </c>
      <c r="T923" s="13" t="str">
        <f t="shared" si="29"/>
        <v>TRPZS1876</v>
      </c>
      <c r="U923" s="2" t="s">
        <v>1968</v>
      </c>
      <c r="V923" s="2"/>
      <c r="W923" s="2">
        <v>3.15</v>
      </c>
      <c r="X923" s="2">
        <v>6.27</v>
      </c>
      <c r="Y923" s="2">
        <v>1.9</v>
      </c>
      <c r="Z923" s="2">
        <v>0</v>
      </c>
      <c r="AA923" s="2">
        <v>0</v>
      </c>
      <c r="AB923" s="2">
        <v>0.5</v>
      </c>
      <c r="AC923" s="3" t="str">
        <f t="shared" si="28"/>
        <v>Pair</v>
      </c>
    </row>
    <row r="924" spans="1:29" x14ac:dyDescent="0.25">
      <c r="A924" s="1" t="s">
        <v>1969</v>
      </c>
      <c r="B924" s="2" t="s">
        <v>29</v>
      </c>
      <c r="C924" s="2"/>
      <c r="D924" s="2"/>
      <c r="E924" s="2" t="s">
        <v>1856</v>
      </c>
      <c r="F924" s="2">
        <v>1</v>
      </c>
      <c r="G924" s="2">
        <v>0.96</v>
      </c>
      <c r="H924" s="2" t="s">
        <v>49</v>
      </c>
      <c r="I924" s="2" t="s">
        <v>53</v>
      </c>
      <c r="J924" s="2" t="s">
        <v>33</v>
      </c>
      <c r="K924" s="2"/>
      <c r="L924" s="2" t="s">
        <v>450</v>
      </c>
      <c r="M924" s="2" t="s">
        <v>43</v>
      </c>
      <c r="N924" s="2" t="s">
        <v>421</v>
      </c>
      <c r="O924" s="2" t="s">
        <v>58</v>
      </c>
      <c r="P924" s="2"/>
      <c r="Q924" s="2">
        <v>1485296923</v>
      </c>
      <c r="R924" s="2">
        <v>4500</v>
      </c>
      <c r="S924" s="2">
        <v>4320</v>
      </c>
      <c r="T924" s="13" t="str">
        <f t="shared" si="29"/>
        <v>LVP011AAAA</v>
      </c>
      <c r="U924" s="2" t="s">
        <v>1970</v>
      </c>
      <c r="V924" s="2"/>
      <c r="W924" s="2">
        <v>4.72</v>
      </c>
      <c r="X924" s="2">
        <v>9.4600000000000009</v>
      </c>
      <c r="Y924" s="2">
        <v>2.68</v>
      </c>
      <c r="Z924" s="2">
        <v>28.3</v>
      </c>
      <c r="AA924" s="2">
        <v>76</v>
      </c>
      <c r="AB924" s="2">
        <v>0.5</v>
      </c>
      <c r="AC924" s="3" t="str">
        <f t="shared" si="28"/>
        <v>Loose</v>
      </c>
    </row>
    <row r="925" spans="1:29" x14ac:dyDescent="0.25">
      <c r="A925" s="1" t="s">
        <v>1971</v>
      </c>
      <c r="B925" s="2" t="s">
        <v>29</v>
      </c>
      <c r="C925" s="2"/>
      <c r="D925" s="2"/>
      <c r="E925" s="2" t="s">
        <v>1856</v>
      </c>
      <c r="F925" s="2">
        <v>2</v>
      </c>
      <c r="G925" s="2">
        <v>0.41</v>
      </c>
      <c r="H925" s="2" t="s">
        <v>396</v>
      </c>
      <c r="I925" s="2" t="s">
        <v>39</v>
      </c>
      <c r="J925" s="2" t="s">
        <v>33</v>
      </c>
      <c r="K925" s="2"/>
      <c r="L925" s="2"/>
      <c r="M925" s="2"/>
      <c r="N925" s="2"/>
      <c r="O925" s="2"/>
      <c r="P925" s="2"/>
      <c r="Q925" s="2"/>
      <c r="R925" s="2">
        <v>2400</v>
      </c>
      <c r="S925" s="2">
        <v>984</v>
      </c>
      <c r="T925" s="13" t="str">
        <f t="shared" si="29"/>
        <v>TRPZS1878</v>
      </c>
      <c r="U925" s="2" t="s">
        <v>1972</v>
      </c>
      <c r="V925" s="2"/>
      <c r="W925" s="2">
        <v>5.64</v>
      </c>
      <c r="X925" s="2">
        <v>2.61</v>
      </c>
      <c r="Y925" s="2">
        <v>1.75</v>
      </c>
      <c r="Z925" s="2">
        <v>0</v>
      </c>
      <c r="AA925" s="2">
        <v>0</v>
      </c>
      <c r="AB925" s="2">
        <v>2.16</v>
      </c>
      <c r="AC925" s="3" t="str">
        <f t="shared" si="28"/>
        <v>Pair</v>
      </c>
    </row>
    <row r="926" spans="1:29" x14ac:dyDescent="0.25">
      <c r="A926" s="1" t="s">
        <v>1973</v>
      </c>
      <c r="B926" s="2" t="s">
        <v>29</v>
      </c>
      <c r="C926" s="2"/>
      <c r="D926" s="2"/>
      <c r="E926" s="2" t="s">
        <v>1856</v>
      </c>
      <c r="F926" s="2">
        <v>1</v>
      </c>
      <c r="G926" s="2">
        <v>0.15</v>
      </c>
      <c r="H926" s="2" t="s">
        <v>31</v>
      </c>
      <c r="I926" s="2" t="s">
        <v>32</v>
      </c>
      <c r="J926" s="2" t="s">
        <v>33</v>
      </c>
      <c r="K926" s="2"/>
      <c r="L926" s="2"/>
      <c r="M926" s="2"/>
      <c r="N926" s="2"/>
      <c r="O926" s="2" t="s">
        <v>58</v>
      </c>
      <c r="P926" s="2"/>
      <c r="Q926" s="2"/>
      <c r="R926" s="2">
        <v>1000</v>
      </c>
      <c r="S926" s="2">
        <v>150</v>
      </c>
      <c r="T926" s="13" t="str">
        <f t="shared" si="29"/>
        <v>LVP034AA</v>
      </c>
      <c r="U926" s="2" t="s">
        <v>1974</v>
      </c>
      <c r="V926" s="2"/>
      <c r="W926" s="2">
        <v>5.38</v>
      </c>
      <c r="X926" s="2">
        <v>2.4</v>
      </c>
      <c r="Y926" s="2">
        <v>1.58</v>
      </c>
      <c r="Z926" s="2">
        <v>0</v>
      </c>
      <c r="AA926" s="2">
        <v>0</v>
      </c>
      <c r="AB926" s="2">
        <v>2.2400000000000002</v>
      </c>
      <c r="AC926" s="3" t="str">
        <f t="shared" si="28"/>
        <v>Loose</v>
      </c>
    </row>
    <row r="927" spans="1:29" x14ac:dyDescent="0.25">
      <c r="A927" s="1" t="s">
        <v>1975</v>
      </c>
      <c r="B927" s="2" t="s">
        <v>29</v>
      </c>
      <c r="C927" s="2"/>
      <c r="D927" s="2"/>
      <c r="E927" s="2" t="s">
        <v>1856</v>
      </c>
      <c r="F927" s="2">
        <v>2</v>
      </c>
      <c r="G927" s="2">
        <v>0.33</v>
      </c>
      <c r="H927" s="2" t="s">
        <v>137</v>
      </c>
      <c r="I927" s="2" t="s">
        <v>39</v>
      </c>
      <c r="J927" s="2" t="s">
        <v>33</v>
      </c>
      <c r="K927" s="2"/>
      <c r="L927" s="2"/>
      <c r="M927" s="2"/>
      <c r="N927" s="2"/>
      <c r="O927" s="2"/>
      <c r="P927" s="2"/>
      <c r="Q927" s="2"/>
      <c r="R927" s="2">
        <v>2000</v>
      </c>
      <c r="S927" s="2">
        <v>660</v>
      </c>
      <c r="T927" s="13" t="str">
        <f t="shared" si="29"/>
        <v>TRPZS1881</v>
      </c>
      <c r="U927" s="2" t="s">
        <v>1976</v>
      </c>
      <c r="V927" s="2"/>
      <c r="W927" s="2">
        <v>5.75</v>
      </c>
      <c r="X927" s="2">
        <v>2.4500000000000002</v>
      </c>
      <c r="Y927" s="2">
        <v>1.68</v>
      </c>
      <c r="Z927" s="2">
        <v>0</v>
      </c>
      <c r="AA927" s="2">
        <v>0</v>
      </c>
      <c r="AB927" s="2">
        <v>2.35</v>
      </c>
      <c r="AC927" s="3" t="str">
        <f t="shared" si="28"/>
        <v>Pair</v>
      </c>
    </row>
    <row r="928" spans="1:29" x14ac:dyDescent="0.25">
      <c r="A928" s="1" t="s">
        <v>1977</v>
      </c>
      <c r="B928" s="2" t="s">
        <v>29</v>
      </c>
      <c r="C928" s="2"/>
      <c r="D928" s="2"/>
      <c r="E928" s="2" t="s">
        <v>1856</v>
      </c>
      <c r="F928" s="2">
        <v>1</v>
      </c>
      <c r="G928" s="2">
        <v>0.65</v>
      </c>
      <c r="H928" s="2" t="s">
        <v>76</v>
      </c>
      <c r="I928" s="2" t="s">
        <v>57</v>
      </c>
      <c r="J928" s="2" t="s">
        <v>33</v>
      </c>
      <c r="K928" s="2"/>
      <c r="L928" s="2" t="s">
        <v>43</v>
      </c>
      <c r="M928" s="2" t="s">
        <v>450</v>
      </c>
      <c r="N928" s="2" t="s">
        <v>421</v>
      </c>
      <c r="O928" s="2" t="s">
        <v>58</v>
      </c>
      <c r="P928" s="2"/>
      <c r="Q928" s="2">
        <v>2233588881</v>
      </c>
      <c r="R928" s="2">
        <v>3500</v>
      </c>
      <c r="S928" s="2">
        <v>2275</v>
      </c>
      <c r="T928" s="13" t="str">
        <f t="shared" si="29"/>
        <v>LEV55503</v>
      </c>
      <c r="U928" s="2" t="s">
        <v>1978</v>
      </c>
      <c r="V928" s="2"/>
      <c r="W928" s="2">
        <v>4.07</v>
      </c>
      <c r="X928" s="2">
        <v>9.93</v>
      </c>
      <c r="Y928" s="2">
        <v>1.85</v>
      </c>
      <c r="Z928" s="2">
        <v>18.600000000000001</v>
      </c>
      <c r="AA928" s="2">
        <v>86</v>
      </c>
      <c r="AB928" s="2">
        <v>0.41</v>
      </c>
      <c r="AC928" s="3" t="str">
        <f t="shared" si="28"/>
        <v>Loose</v>
      </c>
    </row>
    <row r="929" spans="1:29" x14ac:dyDescent="0.25">
      <c r="A929" s="1" t="s">
        <v>1979</v>
      </c>
      <c r="B929" s="2" t="s">
        <v>29</v>
      </c>
      <c r="C929" s="2"/>
      <c r="D929" s="2"/>
      <c r="E929" s="2" t="s">
        <v>1856</v>
      </c>
      <c r="F929" s="2">
        <v>2</v>
      </c>
      <c r="G929" s="2">
        <v>0.64</v>
      </c>
      <c r="H929" s="2" t="s">
        <v>76</v>
      </c>
      <c r="I929" s="2" t="s">
        <v>39</v>
      </c>
      <c r="J929" s="2" t="s">
        <v>33</v>
      </c>
      <c r="K929" s="2"/>
      <c r="L929" s="2"/>
      <c r="M929" s="2"/>
      <c r="N929" s="2"/>
      <c r="O929" s="2" t="s">
        <v>34</v>
      </c>
      <c r="P929" s="2"/>
      <c r="Q929" s="2"/>
      <c r="R929" s="2">
        <v>1800</v>
      </c>
      <c r="S929" s="2">
        <v>1152</v>
      </c>
      <c r="T929" s="13" t="str">
        <f t="shared" si="29"/>
        <v>TRPZS1885</v>
      </c>
      <c r="U929" s="2" t="s">
        <v>1980</v>
      </c>
      <c r="V929" s="2"/>
      <c r="W929" s="2">
        <v>5.07</v>
      </c>
      <c r="X929" s="2">
        <v>3.26</v>
      </c>
      <c r="Y929" s="2">
        <v>2.44</v>
      </c>
      <c r="Z929" s="2">
        <v>0</v>
      </c>
      <c r="AA929" s="2">
        <v>0</v>
      </c>
      <c r="AB929" s="2">
        <v>1.56</v>
      </c>
      <c r="AC929" s="3" t="str">
        <f t="shared" si="28"/>
        <v>Pair</v>
      </c>
    </row>
    <row r="930" spans="1:29" x14ac:dyDescent="0.25">
      <c r="A930" s="1" t="s">
        <v>1981</v>
      </c>
      <c r="B930" s="2" t="s">
        <v>29</v>
      </c>
      <c r="C930" s="2"/>
      <c r="D930" s="2"/>
      <c r="E930" s="2" t="s">
        <v>1856</v>
      </c>
      <c r="F930" s="2">
        <v>2</v>
      </c>
      <c r="G930" s="2">
        <v>1.32</v>
      </c>
      <c r="H930" s="2" t="s">
        <v>137</v>
      </c>
      <c r="I930" s="2" t="s">
        <v>57</v>
      </c>
      <c r="J930" s="2" t="s">
        <v>397</v>
      </c>
      <c r="K930" s="2"/>
      <c r="L930" s="2"/>
      <c r="M930" s="2"/>
      <c r="N930" s="2"/>
      <c r="O930" s="2" t="s">
        <v>514</v>
      </c>
      <c r="P930" s="2"/>
      <c r="Q930" s="2"/>
      <c r="R930" s="2">
        <v>4300</v>
      </c>
      <c r="S930" s="2">
        <v>5676</v>
      </c>
      <c r="T930" s="13" t="str">
        <f t="shared" si="29"/>
        <v>TRPZS1886</v>
      </c>
      <c r="U930" s="2" t="s">
        <v>1982</v>
      </c>
      <c r="V930" s="2"/>
      <c r="W930" s="2">
        <v>7.86</v>
      </c>
      <c r="X930" s="2">
        <v>4.08</v>
      </c>
      <c r="Y930" s="2">
        <v>2.57</v>
      </c>
      <c r="Z930" s="2">
        <v>0</v>
      </c>
      <c r="AA930" s="2">
        <v>0</v>
      </c>
      <c r="AB930" s="2">
        <v>1.93</v>
      </c>
      <c r="AC930" s="3" t="str">
        <f t="shared" si="28"/>
        <v>Pair</v>
      </c>
    </row>
    <row r="931" spans="1:29" x14ac:dyDescent="0.25">
      <c r="A931" s="1" t="s">
        <v>1983</v>
      </c>
      <c r="B931" s="2" t="s">
        <v>29</v>
      </c>
      <c r="C931" s="2"/>
      <c r="D931" s="2"/>
      <c r="E931" s="2" t="s">
        <v>1856</v>
      </c>
      <c r="F931" s="2">
        <v>1</v>
      </c>
      <c r="G931" s="2">
        <v>0.17</v>
      </c>
      <c r="H931" s="2" t="s">
        <v>31</v>
      </c>
      <c r="I931" s="2" t="s">
        <v>39</v>
      </c>
      <c r="J931" s="2" t="s">
        <v>33</v>
      </c>
      <c r="K931" s="2"/>
      <c r="L931" s="2"/>
      <c r="M931" s="2"/>
      <c r="N931" s="2"/>
      <c r="O931" s="2" t="s">
        <v>61</v>
      </c>
      <c r="P931" s="2"/>
      <c r="Q931" s="2"/>
      <c r="R931" s="2">
        <v>619</v>
      </c>
      <c r="S931" s="2">
        <v>105.23</v>
      </c>
      <c r="T931" s="13" t="str">
        <f t="shared" si="29"/>
        <v>LVP028AA</v>
      </c>
      <c r="U931" s="2" t="s">
        <v>1984</v>
      </c>
      <c r="V931" s="2"/>
      <c r="W931" s="2">
        <v>5.43</v>
      </c>
      <c r="X931" s="2">
        <v>2.6</v>
      </c>
      <c r="Y931" s="2">
        <v>1.53</v>
      </c>
      <c r="Z931" s="2">
        <v>0</v>
      </c>
      <c r="AA931" s="2">
        <v>0</v>
      </c>
      <c r="AB931" s="2">
        <v>2.09</v>
      </c>
      <c r="AC931" s="3" t="str">
        <f t="shared" si="28"/>
        <v>Loose</v>
      </c>
    </row>
    <row r="932" spans="1:29" x14ac:dyDescent="0.25">
      <c r="A932" s="4" t="s">
        <v>1985</v>
      </c>
      <c r="B932" s="5" t="s">
        <v>29</v>
      </c>
      <c r="C932" s="5"/>
      <c r="D932" s="2"/>
      <c r="E932" s="5" t="s">
        <v>1856</v>
      </c>
      <c r="F932" s="5">
        <v>2</v>
      </c>
      <c r="G932" s="5">
        <v>0.57999999999999996</v>
      </c>
      <c r="H932" s="5" t="s">
        <v>49</v>
      </c>
      <c r="I932" s="5" t="s">
        <v>53</v>
      </c>
      <c r="J932" s="5" t="s">
        <v>33</v>
      </c>
      <c r="K932" s="5"/>
      <c r="L932" s="5"/>
      <c r="M932" s="5"/>
      <c r="N932" s="5"/>
      <c r="O932" s="5" t="s">
        <v>34</v>
      </c>
      <c r="P932" s="5"/>
      <c r="Q932" s="5"/>
      <c r="R932" s="5">
        <v>2800</v>
      </c>
      <c r="S932" s="5">
        <v>1624</v>
      </c>
      <c r="T932" s="14" t="str">
        <f t="shared" si="29"/>
        <v>TRPZS1887</v>
      </c>
      <c r="U932" s="5" t="s">
        <v>1986</v>
      </c>
      <c r="V932" s="5"/>
      <c r="W932" s="5">
        <v>7.5</v>
      </c>
      <c r="X932" s="5">
        <v>3.26</v>
      </c>
      <c r="Y932" s="5">
        <v>1.58</v>
      </c>
      <c r="Z932" s="5">
        <v>0</v>
      </c>
      <c r="AA932" s="5">
        <v>0</v>
      </c>
      <c r="AB932" s="5">
        <v>2.2999999999999998</v>
      </c>
      <c r="AC932" s="6" t="str">
        <f t="shared" si="28"/>
        <v>Pair</v>
      </c>
    </row>
  </sheetData>
  <sheetProtection algorithmName="SHA-512" hashValue="fUYJANBnpCRYtTLqALUCedW2DQHzcU2Zmdhu9AgClWs2sKpuLPgQrzjkmzaORlg/v4KMNcmKrxgqrL5n+BRPKQ==" saltValue="TRKCBEfdgmTsHzOcINQ2fA==" spinCount="100000" sheet="1" objects="1" scenarios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392DA-05BA-4C49-A86D-358F30F8B72A}">
  <sheetPr codeName="Sheet4"/>
  <dimension ref="A1:F932"/>
  <sheetViews>
    <sheetView topLeftCell="A2" workbookViewId="0">
      <selection activeCell="E10" sqref="E10"/>
    </sheetView>
  </sheetViews>
  <sheetFormatPr defaultRowHeight="15" x14ac:dyDescent="0.25"/>
  <cols>
    <col min="2" max="2" width="31.42578125" bestFit="1" customWidth="1"/>
    <col min="3" max="3" width="6.42578125" bestFit="1" customWidth="1"/>
    <col min="4" max="4" width="22.42578125" bestFit="1" customWidth="1"/>
    <col min="5" max="5" width="14.28515625" bestFit="1" customWidth="1"/>
  </cols>
  <sheetData>
    <row r="1" spans="1:6" ht="15.75" x14ac:dyDescent="0.25">
      <c r="A1" s="8" t="s">
        <v>1</v>
      </c>
      <c r="B1" s="8" t="s">
        <v>4</v>
      </c>
      <c r="C1" s="8" t="s">
        <v>7</v>
      </c>
      <c r="D1" s="8" t="s">
        <v>8</v>
      </c>
      <c r="E1" s="8" t="s">
        <v>14</v>
      </c>
      <c r="F1" s="9" t="s">
        <v>1997</v>
      </c>
    </row>
    <row r="2" spans="1:6" x14ac:dyDescent="0.25">
      <c r="A2" s="2" t="s">
        <v>37</v>
      </c>
      <c r="B2" s="2" t="s">
        <v>30</v>
      </c>
      <c r="C2" s="2" t="s">
        <v>396</v>
      </c>
      <c r="D2" s="2" t="s">
        <v>518</v>
      </c>
      <c r="E2" s="2" t="s">
        <v>34</v>
      </c>
      <c r="F2" t="s">
        <v>1998</v>
      </c>
    </row>
    <row r="3" spans="1:6" x14ac:dyDescent="0.25">
      <c r="A3" t="s">
        <v>29</v>
      </c>
      <c r="B3" s="2" t="s">
        <v>64</v>
      </c>
      <c r="C3" s="2" t="s">
        <v>137</v>
      </c>
      <c r="D3" s="2" t="s">
        <v>68</v>
      </c>
      <c r="E3" t="s">
        <v>58</v>
      </c>
      <c r="F3" t="s">
        <v>1999</v>
      </c>
    </row>
    <row r="4" spans="1:6" x14ac:dyDescent="0.25">
      <c r="B4" s="2" t="s">
        <v>424</v>
      </c>
      <c r="C4" s="2" t="s">
        <v>38</v>
      </c>
      <c r="D4" s="2" t="s">
        <v>39</v>
      </c>
      <c r="E4" s="2" t="s">
        <v>77</v>
      </c>
    </row>
    <row r="5" spans="1:6" x14ac:dyDescent="0.25">
      <c r="B5" s="2" t="s">
        <v>437</v>
      </c>
      <c r="C5" s="2" t="s">
        <v>43</v>
      </c>
      <c r="D5" s="2" t="s">
        <v>53</v>
      </c>
      <c r="E5" s="2" t="s">
        <v>46</v>
      </c>
    </row>
    <row r="6" spans="1:6" x14ac:dyDescent="0.25">
      <c r="B6" s="2" t="s">
        <v>505</v>
      </c>
      <c r="C6" s="2" t="s">
        <v>31</v>
      </c>
      <c r="D6" s="2" t="s">
        <v>57</v>
      </c>
      <c r="E6" s="2" t="s">
        <v>70</v>
      </c>
    </row>
    <row r="7" spans="1:6" x14ac:dyDescent="0.25">
      <c r="B7" s="2" t="s">
        <v>508</v>
      </c>
      <c r="C7" s="2" t="s">
        <v>49</v>
      </c>
      <c r="D7" s="2" t="s">
        <v>32</v>
      </c>
      <c r="E7" s="2" t="s">
        <v>54</v>
      </c>
    </row>
    <row r="8" spans="1:6" x14ac:dyDescent="0.25">
      <c r="B8" s="2" t="s">
        <v>511</v>
      </c>
      <c r="C8" s="2" t="s">
        <v>76</v>
      </c>
      <c r="D8" s="2" t="s">
        <v>50</v>
      </c>
      <c r="E8" s="2" t="s">
        <v>61</v>
      </c>
    </row>
    <row r="9" spans="1:6" x14ac:dyDescent="0.25">
      <c r="B9" s="2" t="s">
        <v>517</v>
      </c>
      <c r="C9" s="2" t="s">
        <v>73</v>
      </c>
      <c r="D9" s="2" t="s">
        <v>166</v>
      </c>
      <c r="E9" s="2" t="s">
        <v>40</v>
      </c>
    </row>
    <row r="10" spans="1:6" x14ac:dyDescent="0.25">
      <c r="B10" s="2" t="s">
        <v>523</v>
      </c>
      <c r="C10" s="2" t="s">
        <v>67</v>
      </c>
      <c r="D10" s="2" t="s">
        <v>151</v>
      </c>
    </row>
    <row r="11" spans="1:6" x14ac:dyDescent="0.25">
      <c r="B11" s="2" t="s">
        <v>530</v>
      </c>
      <c r="C11" s="2" t="s">
        <v>108</v>
      </c>
      <c r="D11" s="2" t="s">
        <v>175</v>
      </c>
    </row>
    <row r="12" spans="1:6" x14ac:dyDescent="0.25">
      <c r="B12" s="2" t="s">
        <v>659</v>
      </c>
      <c r="C12" s="2" t="s">
        <v>100</v>
      </c>
      <c r="D12" s="2" t="s">
        <v>148</v>
      </c>
    </row>
    <row r="13" spans="1:6" x14ac:dyDescent="0.25">
      <c r="B13" s="2" t="s">
        <v>666</v>
      </c>
      <c r="D13" s="2" t="s">
        <v>105</v>
      </c>
    </row>
    <row r="14" spans="1:6" x14ac:dyDescent="0.25">
      <c r="B14" s="2" t="s">
        <v>669</v>
      </c>
      <c r="D14" s="2" t="s">
        <v>610</v>
      </c>
    </row>
    <row r="15" spans="1:6" x14ac:dyDescent="0.25">
      <c r="B15" s="2" t="s">
        <v>755</v>
      </c>
      <c r="D15" s="2" t="s">
        <v>686</v>
      </c>
    </row>
    <row r="16" spans="1:6" x14ac:dyDescent="0.25">
      <c r="B16" s="2" t="s">
        <v>758</v>
      </c>
      <c r="D16" s="2" t="s">
        <v>1183</v>
      </c>
    </row>
    <row r="17" spans="2:2" x14ac:dyDescent="0.25">
      <c r="B17" s="2" t="s">
        <v>761</v>
      </c>
    </row>
    <row r="18" spans="2:2" x14ac:dyDescent="0.25">
      <c r="B18" s="2" t="s">
        <v>766</v>
      </c>
    </row>
    <row r="19" spans="2:2" x14ac:dyDescent="0.25">
      <c r="B19" s="2" t="s">
        <v>966</v>
      </c>
    </row>
    <row r="20" spans="2:2" x14ac:dyDescent="0.25">
      <c r="B20" s="2" t="s">
        <v>969</v>
      </c>
    </row>
    <row r="21" spans="2:2" x14ac:dyDescent="0.25">
      <c r="B21" s="2" t="s">
        <v>1020</v>
      </c>
    </row>
    <row r="22" spans="2:2" x14ac:dyDescent="0.25">
      <c r="B22" s="2" t="s">
        <v>1043</v>
      </c>
    </row>
    <row r="23" spans="2:2" x14ac:dyDescent="0.25">
      <c r="B23" s="2" t="s">
        <v>1046</v>
      </c>
    </row>
    <row r="24" spans="2:2" x14ac:dyDescent="0.25">
      <c r="B24" s="2" t="s">
        <v>1049</v>
      </c>
    </row>
    <row r="25" spans="2:2" x14ac:dyDescent="0.25">
      <c r="B25" s="2" t="s">
        <v>1052</v>
      </c>
    </row>
    <row r="26" spans="2:2" x14ac:dyDescent="0.25">
      <c r="B26" s="2" t="s">
        <v>1092</v>
      </c>
    </row>
    <row r="27" spans="2:2" x14ac:dyDescent="0.25">
      <c r="B27" s="2" t="s">
        <v>1099</v>
      </c>
    </row>
    <row r="28" spans="2:2" x14ac:dyDescent="0.25">
      <c r="B28" s="2" t="s">
        <v>1102</v>
      </c>
    </row>
    <row r="29" spans="2:2" x14ac:dyDescent="0.25">
      <c r="B29" s="2" t="s">
        <v>1109</v>
      </c>
    </row>
    <row r="30" spans="2:2" x14ac:dyDescent="0.25">
      <c r="B30" s="2" t="s">
        <v>1120</v>
      </c>
    </row>
    <row r="31" spans="2:2" x14ac:dyDescent="0.25">
      <c r="B31" s="2" t="s">
        <v>1125</v>
      </c>
    </row>
    <row r="32" spans="2:2" x14ac:dyDescent="0.25">
      <c r="B32" s="2" t="s">
        <v>1132</v>
      </c>
    </row>
    <row r="33" spans="2:2" x14ac:dyDescent="0.25">
      <c r="B33" s="2" t="s">
        <v>1135</v>
      </c>
    </row>
    <row r="34" spans="2:2" x14ac:dyDescent="0.25">
      <c r="B34" s="2" t="s">
        <v>1142</v>
      </c>
    </row>
    <row r="35" spans="2:2" x14ac:dyDescent="0.25">
      <c r="B35" s="2" t="s">
        <v>1164</v>
      </c>
    </row>
    <row r="36" spans="2:2" x14ac:dyDescent="0.25">
      <c r="B36" s="2" t="s">
        <v>1171</v>
      </c>
    </row>
    <row r="37" spans="2:2" x14ac:dyDescent="0.25">
      <c r="B37" s="2" t="s">
        <v>1174</v>
      </c>
    </row>
    <row r="38" spans="2:2" x14ac:dyDescent="0.25">
      <c r="B38" s="2" t="s">
        <v>1204</v>
      </c>
    </row>
    <row r="39" spans="2:2" x14ac:dyDescent="0.25">
      <c r="B39" s="2" t="s">
        <v>1218</v>
      </c>
    </row>
    <row r="40" spans="2:2" x14ac:dyDescent="0.25">
      <c r="B40" s="2" t="s">
        <v>1301</v>
      </c>
    </row>
    <row r="41" spans="2:2" x14ac:dyDescent="0.25">
      <c r="B41" s="2" t="s">
        <v>1318</v>
      </c>
    </row>
    <row r="42" spans="2:2" x14ac:dyDescent="0.25">
      <c r="B42" s="2" t="s">
        <v>1323</v>
      </c>
    </row>
    <row r="43" spans="2:2" x14ac:dyDescent="0.25">
      <c r="B43" s="2" t="s">
        <v>1350</v>
      </c>
    </row>
    <row r="44" spans="2:2" x14ac:dyDescent="0.25">
      <c r="B44" s="2" t="s">
        <v>1377</v>
      </c>
    </row>
    <row r="45" spans="2:2" x14ac:dyDescent="0.25">
      <c r="B45" s="2" t="s">
        <v>1572</v>
      </c>
    </row>
    <row r="46" spans="2:2" x14ac:dyDescent="0.25">
      <c r="B46" s="2" t="s">
        <v>1575</v>
      </c>
    </row>
    <row r="47" spans="2:2" x14ac:dyDescent="0.25">
      <c r="B47" s="2" t="s">
        <v>1586</v>
      </c>
    </row>
    <row r="48" spans="2:2" x14ac:dyDescent="0.25">
      <c r="B48" s="2" t="s">
        <v>1856</v>
      </c>
    </row>
    <row r="166" spans="5:5" x14ac:dyDescent="0.25">
      <c r="E166" s="2"/>
    </row>
    <row r="167" spans="5:5" x14ac:dyDescent="0.25">
      <c r="E167" s="2"/>
    </row>
    <row r="168" spans="5:5" x14ac:dyDescent="0.25">
      <c r="E168" s="2" t="s">
        <v>34</v>
      </c>
    </row>
    <row r="169" spans="5:5" x14ac:dyDescent="0.25">
      <c r="E169" s="2"/>
    </row>
    <row r="170" spans="5:5" x14ac:dyDescent="0.25">
      <c r="E170" s="2"/>
    </row>
    <row r="171" spans="5:5" x14ac:dyDescent="0.25">
      <c r="E171" s="2" t="s">
        <v>77</v>
      </c>
    </row>
    <row r="172" spans="5:5" x14ac:dyDescent="0.25">
      <c r="E172" s="2" t="s">
        <v>34</v>
      </c>
    </row>
    <row r="173" spans="5:5" x14ac:dyDescent="0.25">
      <c r="E173" s="2" t="s">
        <v>34</v>
      </c>
    </row>
    <row r="174" spans="5:5" x14ac:dyDescent="0.25">
      <c r="E174" s="2" t="s">
        <v>34</v>
      </c>
    </row>
    <row r="175" spans="5:5" x14ac:dyDescent="0.25">
      <c r="E175" s="2" t="s">
        <v>34</v>
      </c>
    </row>
    <row r="176" spans="5:5" x14ac:dyDescent="0.25">
      <c r="E176" s="2" t="s">
        <v>34</v>
      </c>
    </row>
    <row r="177" spans="3:5" x14ac:dyDescent="0.25">
      <c r="E177" s="2" t="s">
        <v>34</v>
      </c>
    </row>
    <row r="178" spans="3:5" x14ac:dyDescent="0.25">
      <c r="E178" s="2" t="s">
        <v>34</v>
      </c>
    </row>
    <row r="179" spans="3:5" x14ac:dyDescent="0.25">
      <c r="E179" s="2" t="s">
        <v>34</v>
      </c>
    </row>
    <row r="180" spans="3:5" x14ac:dyDescent="0.25">
      <c r="E180" s="2" t="s">
        <v>34</v>
      </c>
    </row>
    <row r="181" spans="3:5" x14ac:dyDescent="0.25">
      <c r="E181" s="2" t="s">
        <v>61</v>
      </c>
    </row>
    <row r="182" spans="3:5" x14ac:dyDescent="0.25">
      <c r="E182" s="2" t="s">
        <v>34</v>
      </c>
    </row>
    <row r="183" spans="3:5" x14ac:dyDescent="0.25">
      <c r="E183" s="2" t="s">
        <v>61</v>
      </c>
    </row>
    <row r="184" spans="3:5" x14ac:dyDescent="0.25">
      <c r="E184" s="2" t="s">
        <v>34</v>
      </c>
    </row>
    <row r="185" spans="3:5" x14ac:dyDescent="0.25">
      <c r="E185" s="2" t="s">
        <v>34</v>
      </c>
    </row>
    <row r="186" spans="3:5" x14ac:dyDescent="0.25">
      <c r="E186" s="2" t="s">
        <v>34</v>
      </c>
    </row>
    <row r="187" spans="3:5" x14ac:dyDescent="0.25">
      <c r="E187" s="2"/>
    </row>
    <row r="188" spans="3:5" x14ac:dyDescent="0.25">
      <c r="C188" s="2"/>
      <c r="E188" s="2"/>
    </row>
    <row r="189" spans="3:5" x14ac:dyDescent="0.25">
      <c r="C189" s="2" t="s">
        <v>100</v>
      </c>
      <c r="E189" s="2" t="s">
        <v>61</v>
      </c>
    </row>
    <row r="190" spans="3:5" x14ac:dyDescent="0.25">
      <c r="C190" s="2" t="s">
        <v>43</v>
      </c>
      <c r="E190" s="2" t="s">
        <v>70</v>
      </c>
    </row>
    <row r="191" spans="3:5" x14ac:dyDescent="0.25">
      <c r="C191" s="2" t="s">
        <v>49</v>
      </c>
      <c r="E191" s="2" t="s">
        <v>34</v>
      </c>
    </row>
    <row r="192" spans="3:5" x14ac:dyDescent="0.25">
      <c r="C192" s="2" t="s">
        <v>73</v>
      </c>
      <c r="E192" s="2"/>
    </row>
    <row r="193" spans="3:5" x14ac:dyDescent="0.25">
      <c r="C193" s="2" t="s">
        <v>49</v>
      </c>
      <c r="E193" s="2" t="s">
        <v>34</v>
      </c>
    </row>
    <row r="194" spans="3:5" x14ac:dyDescent="0.25">
      <c r="C194" s="2" t="s">
        <v>76</v>
      </c>
      <c r="E194" s="2" t="s">
        <v>61</v>
      </c>
    </row>
    <row r="195" spans="3:5" x14ac:dyDescent="0.25">
      <c r="C195" s="2" t="s">
        <v>100</v>
      </c>
      <c r="E195" s="2" t="s">
        <v>58</v>
      </c>
    </row>
    <row r="196" spans="3:5" x14ac:dyDescent="0.25">
      <c r="C196" s="2" t="s">
        <v>73</v>
      </c>
      <c r="E196" s="2" t="s">
        <v>34</v>
      </c>
    </row>
    <row r="197" spans="3:5" x14ac:dyDescent="0.25">
      <c r="C197" s="2" t="s">
        <v>396</v>
      </c>
      <c r="E197" s="2" t="s">
        <v>58</v>
      </c>
    </row>
    <row r="198" spans="3:5" x14ac:dyDescent="0.25">
      <c r="C198" s="2" t="s">
        <v>38</v>
      </c>
      <c r="E198" s="2" t="s">
        <v>58</v>
      </c>
    </row>
    <row r="199" spans="3:5" x14ac:dyDescent="0.25">
      <c r="C199" s="2" t="s">
        <v>396</v>
      </c>
      <c r="E199" s="2" t="s">
        <v>61</v>
      </c>
    </row>
    <row r="200" spans="3:5" x14ac:dyDescent="0.25">
      <c r="C200" s="2" t="s">
        <v>73</v>
      </c>
      <c r="E200" s="2" t="s">
        <v>34</v>
      </c>
    </row>
    <row r="201" spans="3:5" x14ac:dyDescent="0.25">
      <c r="C201" s="2" t="s">
        <v>76</v>
      </c>
      <c r="E201" s="2" t="s">
        <v>61</v>
      </c>
    </row>
    <row r="202" spans="3:5" x14ac:dyDescent="0.25">
      <c r="C202" s="2" t="s">
        <v>38</v>
      </c>
      <c r="E202" s="2" t="s">
        <v>34</v>
      </c>
    </row>
    <row r="203" spans="3:5" x14ac:dyDescent="0.25">
      <c r="C203" s="2" t="s">
        <v>396</v>
      </c>
      <c r="E203" s="2" t="s">
        <v>58</v>
      </c>
    </row>
    <row r="204" spans="3:5" x14ac:dyDescent="0.25">
      <c r="C204" s="2" t="s">
        <v>38</v>
      </c>
      <c r="E204" s="2" t="s">
        <v>34</v>
      </c>
    </row>
    <row r="205" spans="3:5" x14ac:dyDescent="0.25">
      <c r="C205" s="2" t="s">
        <v>38</v>
      </c>
      <c r="E205" s="2" t="s">
        <v>34</v>
      </c>
    </row>
    <row r="206" spans="3:5" x14ac:dyDescent="0.25">
      <c r="C206" s="2" t="s">
        <v>137</v>
      </c>
      <c r="E206" s="2" t="s">
        <v>34</v>
      </c>
    </row>
    <row r="207" spans="3:5" x14ac:dyDescent="0.25">
      <c r="C207" s="2" t="s">
        <v>43</v>
      </c>
      <c r="E207" s="2"/>
    </row>
    <row r="208" spans="3:5" x14ac:dyDescent="0.25">
      <c r="C208" s="2" t="s">
        <v>43</v>
      </c>
      <c r="E208" s="2" t="s">
        <v>34</v>
      </c>
    </row>
    <row r="209" spans="3:5" x14ac:dyDescent="0.25">
      <c r="C209" s="2" t="s">
        <v>49</v>
      </c>
      <c r="E209" s="2" t="s">
        <v>46</v>
      </c>
    </row>
    <row r="210" spans="3:5" x14ac:dyDescent="0.25">
      <c r="C210" s="2" t="s">
        <v>43</v>
      </c>
      <c r="E210" s="2" t="s">
        <v>58</v>
      </c>
    </row>
    <row r="211" spans="3:5" x14ac:dyDescent="0.25">
      <c r="C211" s="2" t="s">
        <v>137</v>
      </c>
      <c r="E211" s="2"/>
    </row>
    <row r="212" spans="3:5" x14ac:dyDescent="0.25">
      <c r="C212" s="2" t="s">
        <v>38</v>
      </c>
      <c r="E212" s="2"/>
    </row>
    <row r="213" spans="3:5" x14ac:dyDescent="0.25">
      <c r="C213" s="2" t="s">
        <v>38</v>
      </c>
      <c r="E213" s="2"/>
    </row>
    <row r="214" spans="3:5" x14ac:dyDescent="0.25">
      <c r="C214" s="2" t="s">
        <v>396</v>
      </c>
      <c r="E214" s="2" t="s">
        <v>34</v>
      </c>
    </row>
    <row r="215" spans="3:5" x14ac:dyDescent="0.25">
      <c r="C215" s="2" t="s">
        <v>43</v>
      </c>
      <c r="E215" s="2" t="s">
        <v>34</v>
      </c>
    </row>
    <row r="216" spans="3:5" x14ac:dyDescent="0.25">
      <c r="C216" s="2" t="s">
        <v>396</v>
      </c>
      <c r="E216" s="2" t="s">
        <v>34</v>
      </c>
    </row>
    <row r="217" spans="3:5" x14ac:dyDescent="0.25">
      <c r="C217" s="2" t="s">
        <v>43</v>
      </c>
      <c r="E217" s="2" t="s">
        <v>34</v>
      </c>
    </row>
    <row r="218" spans="3:5" x14ac:dyDescent="0.25">
      <c r="C218" s="2" t="s">
        <v>396</v>
      </c>
      <c r="E218" s="2"/>
    </row>
    <row r="219" spans="3:5" x14ac:dyDescent="0.25">
      <c r="C219" s="2" t="s">
        <v>137</v>
      </c>
      <c r="E219" s="2" t="s">
        <v>34</v>
      </c>
    </row>
    <row r="220" spans="3:5" x14ac:dyDescent="0.25">
      <c r="C220" s="2" t="s">
        <v>67</v>
      </c>
      <c r="E220" s="2" t="s">
        <v>34</v>
      </c>
    </row>
    <row r="221" spans="3:5" x14ac:dyDescent="0.25">
      <c r="C221" s="2" t="s">
        <v>76</v>
      </c>
      <c r="E221" s="2" t="s">
        <v>58</v>
      </c>
    </row>
    <row r="222" spans="3:5" x14ac:dyDescent="0.25">
      <c r="C222" s="2" t="s">
        <v>31</v>
      </c>
      <c r="E222" s="2" t="s">
        <v>34</v>
      </c>
    </row>
    <row r="223" spans="3:5" x14ac:dyDescent="0.25">
      <c r="C223" s="2" t="s">
        <v>137</v>
      </c>
      <c r="E223" s="2" t="s">
        <v>514</v>
      </c>
    </row>
    <row r="224" spans="3:5" x14ac:dyDescent="0.25">
      <c r="C224" s="2" t="s">
        <v>76</v>
      </c>
      <c r="E224" s="2" t="s">
        <v>58</v>
      </c>
    </row>
    <row r="225" spans="3:5" x14ac:dyDescent="0.25">
      <c r="C225" s="2" t="s">
        <v>137</v>
      </c>
      <c r="E225" s="2" t="s">
        <v>34</v>
      </c>
    </row>
    <row r="226" spans="3:5" x14ac:dyDescent="0.25">
      <c r="C226" s="2" t="s">
        <v>76</v>
      </c>
      <c r="E226" s="2" t="s">
        <v>58</v>
      </c>
    </row>
    <row r="227" spans="3:5" x14ac:dyDescent="0.25">
      <c r="C227" s="2" t="s">
        <v>76</v>
      </c>
      <c r="E227" s="2" t="s">
        <v>58</v>
      </c>
    </row>
    <row r="228" spans="3:5" x14ac:dyDescent="0.25">
      <c r="C228" s="2" t="s">
        <v>73</v>
      </c>
      <c r="E228" s="2" t="s">
        <v>34</v>
      </c>
    </row>
    <row r="229" spans="3:5" x14ac:dyDescent="0.25">
      <c r="C229" s="2" t="s">
        <v>38</v>
      </c>
      <c r="E229" s="2" t="s">
        <v>514</v>
      </c>
    </row>
    <row r="230" spans="3:5" x14ac:dyDescent="0.25">
      <c r="C230" s="2" t="s">
        <v>38</v>
      </c>
      <c r="E230" s="2" t="s">
        <v>533</v>
      </c>
    </row>
    <row r="231" spans="3:5" x14ac:dyDescent="0.25">
      <c r="C231" s="2" t="s">
        <v>43</v>
      </c>
      <c r="E231" s="2" t="s">
        <v>61</v>
      </c>
    </row>
    <row r="232" spans="3:5" x14ac:dyDescent="0.25">
      <c r="C232" s="2" t="s">
        <v>31</v>
      </c>
      <c r="E232" s="2" t="s">
        <v>34</v>
      </c>
    </row>
    <row r="233" spans="3:5" x14ac:dyDescent="0.25">
      <c r="C233" s="2" t="s">
        <v>49</v>
      </c>
      <c r="E233" s="2" t="s">
        <v>58</v>
      </c>
    </row>
    <row r="234" spans="3:5" x14ac:dyDescent="0.25">
      <c r="C234" s="2" t="s">
        <v>43</v>
      </c>
      <c r="E234" s="2" t="s">
        <v>34</v>
      </c>
    </row>
    <row r="235" spans="3:5" x14ac:dyDescent="0.25">
      <c r="C235" s="2" t="s">
        <v>76</v>
      </c>
      <c r="E235" s="2" t="s">
        <v>70</v>
      </c>
    </row>
    <row r="236" spans="3:5" x14ac:dyDescent="0.25">
      <c r="C236" s="2" t="s">
        <v>49</v>
      </c>
      <c r="E236" s="2" t="s">
        <v>61</v>
      </c>
    </row>
    <row r="237" spans="3:5" x14ac:dyDescent="0.25">
      <c r="C237" s="2" t="s">
        <v>137</v>
      </c>
      <c r="E237" s="2" t="s">
        <v>34</v>
      </c>
    </row>
    <row r="238" spans="3:5" x14ac:dyDescent="0.25">
      <c r="C238" s="2" t="s">
        <v>76</v>
      </c>
      <c r="E238" s="2" t="s">
        <v>34</v>
      </c>
    </row>
    <row r="239" spans="3:5" x14ac:dyDescent="0.25">
      <c r="C239" s="2" t="s">
        <v>108</v>
      </c>
      <c r="E239" s="2" t="s">
        <v>58</v>
      </c>
    </row>
    <row r="240" spans="3:5" x14ac:dyDescent="0.25">
      <c r="C240" s="2" t="s">
        <v>76</v>
      </c>
      <c r="E240" s="2" t="s">
        <v>70</v>
      </c>
    </row>
    <row r="241" spans="3:5" x14ac:dyDescent="0.25">
      <c r="C241" s="2" t="s">
        <v>67</v>
      </c>
      <c r="E241" s="2" t="s">
        <v>70</v>
      </c>
    </row>
    <row r="242" spans="3:5" x14ac:dyDescent="0.25">
      <c r="C242" s="2" t="s">
        <v>137</v>
      </c>
      <c r="E242" s="2" t="s">
        <v>70</v>
      </c>
    </row>
    <row r="243" spans="3:5" x14ac:dyDescent="0.25">
      <c r="C243" s="2" t="s">
        <v>43</v>
      </c>
      <c r="E243" s="2" t="s">
        <v>34</v>
      </c>
    </row>
    <row r="244" spans="3:5" x14ac:dyDescent="0.25">
      <c r="C244" s="2" t="s">
        <v>137</v>
      </c>
      <c r="E244" s="2" t="s">
        <v>34</v>
      </c>
    </row>
    <row r="245" spans="3:5" x14ac:dyDescent="0.25">
      <c r="C245" s="2" t="s">
        <v>76</v>
      </c>
      <c r="E245" s="2" t="s">
        <v>70</v>
      </c>
    </row>
    <row r="246" spans="3:5" x14ac:dyDescent="0.25">
      <c r="C246" s="2" t="s">
        <v>49</v>
      </c>
      <c r="E246" s="2" t="s">
        <v>77</v>
      </c>
    </row>
    <row r="247" spans="3:5" x14ac:dyDescent="0.25">
      <c r="C247" s="2" t="s">
        <v>73</v>
      </c>
      <c r="E247" s="2" t="s">
        <v>46</v>
      </c>
    </row>
    <row r="248" spans="3:5" x14ac:dyDescent="0.25">
      <c r="C248" s="2" t="s">
        <v>43</v>
      </c>
      <c r="E248" s="2"/>
    </row>
    <row r="249" spans="3:5" x14ac:dyDescent="0.25">
      <c r="C249" s="2" t="s">
        <v>38</v>
      </c>
      <c r="E249" s="2"/>
    </row>
    <row r="250" spans="3:5" x14ac:dyDescent="0.25">
      <c r="C250" s="2" t="s">
        <v>137</v>
      </c>
      <c r="E250" s="2" t="s">
        <v>34</v>
      </c>
    </row>
    <row r="251" spans="3:5" x14ac:dyDescent="0.25">
      <c r="C251" s="2" t="s">
        <v>396</v>
      </c>
      <c r="E251" s="2" t="s">
        <v>61</v>
      </c>
    </row>
    <row r="252" spans="3:5" x14ac:dyDescent="0.25">
      <c r="C252" s="2" t="s">
        <v>43</v>
      </c>
      <c r="E252" s="2"/>
    </row>
    <row r="253" spans="3:5" x14ac:dyDescent="0.25">
      <c r="C253" s="2" t="s">
        <v>38</v>
      </c>
      <c r="E253" s="2"/>
    </row>
    <row r="254" spans="3:5" x14ac:dyDescent="0.25">
      <c r="C254" s="2" t="s">
        <v>73</v>
      </c>
      <c r="E254" s="2" t="s">
        <v>46</v>
      </c>
    </row>
    <row r="255" spans="3:5" x14ac:dyDescent="0.25">
      <c r="C255" s="2" t="s">
        <v>137</v>
      </c>
      <c r="E255" s="2"/>
    </row>
    <row r="256" spans="3:5" x14ac:dyDescent="0.25">
      <c r="C256" s="2" t="s">
        <v>396</v>
      </c>
      <c r="E256" s="2" t="s">
        <v>61</v>
      </c>
    </row>
    <row r="257" spans="3:5" x14ac:dyDescent="0.25">
      <c r="C257" s="2" t="s">
        <v>38</v>
      </c>
      <c r="E257" s="2"/>
    </row>
    <row r="258" spans="3:5" x14ac:dyDescent="0.25">
      <c r="C258" s="2" t="s">
        <v>396</v>
      </c>
      <c r="E258" s="2" t="s">
        <v>34</v>
      </c>
    </row>
    <row r="259" spans="3:5" x14ac:dyDescent="0.25">
      <c r="C259" s="2" t="s">
        <v>73</v>
      </c>
      <c r="E259" s="2"/>
    </row>
    <row r="260" spans="3:5" x14ac:dyDescent="0.25">
      <c r="C260" s="2" t="s">
        <v>38</v>
      </c>
      <c r="E260" s="2" t="s">
        <v>34</v>
      </c>
    </row>
    <row r="261" spans="3:5" x14ac:dyDescent="0.25">
      <c r="C261" s="2" t="s">
        <v>396</v>
      </c>
      <c r="E261" s="2" t="s">
        <v>34</v>
      </c>
    </row>
    <row r="262" spans="3:5" x14ac:dyDescent="0.25">
      <c r="C262" s="2" t="s">
        <v>31</v>
      </c>
      <c r="E262" s="2" t="s">
        <v>58</v>
      </c>
    </row>
    <row r="263" spans="3:5" x14ac:dyDescent="0.25">
      <c r="C263" s="2" t="s">
        <v>38</v>
      </c>
      <c r="E263" s="2" t="s">
        <v>58</v>
      </c>
    </row>
    <row r="264" spans="3:5" x14ac:dyDescent="0.25">
      <c r="C264" s="2" t="s">
        <v>137</v>
      </c>
      <c r="E264" s="2" t="s">
        <v>61</v>
      </c>
    </row>
    <row r="265" spans="3:5" x14ac:dyDescent="0.25">
      <c r="C265" s="2" t="s">
        <v>396</v>
      </c>
      <c r="E265" s="2" t="s">
        <v>61</v>
      </c>
    </row>
    <row r="266" spans="3:5" x14ac:dyDescent="0.25">
      <c r="C266" s="2" t="s">
        <v>76</v>
      </c>
      <c r="E266" s="2" t="s">
        <v>34</v>
      </c>
    </row>
    <row r="267" spans="3:5" x14ac:dyDescent="0.25">
      <c r="C267" s="2" t="s">
        <v>137</v>
      </c>
      <c r="E267" s="2" t="s">
        <v>77</v>
      </c>
    </row>
    <row r="268" spans="3:5" x14ac:dyDescent="0.25">
      <c r="C268" s="2" t="s">
        <v>49</v>
      </c>
      <c r="E268" s="2" t="s">
        <v>34</v>
      </c>
    </row>
    <row r="269" spans="3:5" x14ac:dyDescent="0.25">
      <c r="C269" s="2" t="s">
        <v>76</v>
      </c>
      <c r="E269" s="2" t="s">
        <v>34</v>
      </c>
    </row>
    <row r="270" spans="3:5" x14ac:dyDescent="0.25">
      <c r="C270" s="2" t="s">
        <v>31</v>
      </c>
      <c r="E270" s="2" t="s">
        <v>46</v>
      </c>
    </row>
    <row r="271" spans="3:5" x14ac:dyDescent="0.25">
      <c r="C271" s="2" t="s">
        <v>31</v>
      </c>
      <c r="E271" s="2" t="s">
        <v>34</v>
      </c>
    </row>
    <row r="272" spans="3:5" x14ac:dyDescent="0.25">
      <c r="C272" s="2" t="s">
        <v>43</v>
      </c>
      <c r="E272" s="2" t="s">
        <v>77</v>
      </c>
    </row>
    <row r="273" spans="3:5" x14ac:dyDescent="0.25">
      <c r="C273" s="2"/>
      <c r="E273" s="2" t="s">
        <v>34</v>
      </c>
    </row>
    <row r="274" spans="3:5" x14ac:dyDescent="0.25">
      <c r="C274" s="2" t="s">
        <v>43</v>
      </c>
      <c r="E274" s="2" t="s">
        <v>77</v>
      </c>
    </row>
    <row r="275" spans="3:5" x14ac:dyDescent="0.25">
      <c r="C275" s="2" t="s">
        <v>137</v>
      </c>
      <c r="E275" s="2" t="s">
        <v>70</v>
      </c>
    </row>
    <row r="276" spans="3:5" x14ac:dyDescent="0.25">
      <c r="C276" s="2" t="s">
        <v>43</v>
      </c>
      <c r="E276" s="2" t="s">
        <v>34</v>
      </c>
    </row>
    <row r="277" spans="3:5" x14ac:dyDescent="0.25">
      <c r="C277" s="2" t="s">
        <v>38</v>
      </c>
      <c r="E277" s="2"/>
    </row>
    <row r="278" spans="3:5" x14ac:dyDescent="0.25">
      <c r="C278" s="2" t="s">
        <v>396</v>
      </c>
      <c r="E278" s="2" t="s">
        <v>34</v>
      </c>
    </row>
    <row r="279" spans="3:5" x14ac:dyDescent="0.25">
      <c r="C279" s="2" t="s">
        <v>43</v>
      </c>
      <c r="E279" s="2" t="s">
        <v>34</v>
      </c>
    </row>
    <row r="280" spans="3:5" x14ac:dyDescent="0.25">
      <c r="C280" s="2" t="s">
        <v>31</v>
      </c>
      <c r="E280" s="2" t="s">
        <v>34</v>
      </c>
    </row>
    <row r="281" spans="3:5" x14ac:dyDescent="0.25">
      <c r="C281" s="2" t="s">
        <v>137</v>
      </c>
      <c r="E281" s="2" t="s">
        <v>34</v>
      </c>
    </row>
    <row r="282" spans="3:5" x14ac:dyDescent="0.25">
      <c r="C282" s="2" t="s">
        <v>43</v>
      </c>
      <c r="E282" s="2"/>
    </row>
    <row r="283" spans="3:5" x14ac:dyDescent="0.25">
      <c r="C283" s="2" t="s">
        <v>396</v>
      </c>
      <c r="E283" s="2" t="s">
        <v>34</v>
      </c>
    </row>
    <row r="284" spans="3:5" x14ac:dyDescent="0.25">
      <c r="C284" s="2" t="s">
        <v>31</v>
      </c>
      <c r="E284" s="2" t="s">
        <v>34</v>
      </c>
    </row>
    <row r="285" spans="3:5" x14ac:dyDescent="0.25">
      <c r="C285" s="2" t="s">
        <v>137</v>
      </c>
      <c r="E285" s="2" t="s">
        <v>34</v>
      </c>
    </row>
    <row r="286" spans="3:5" x14ac:dyDescent="0.25">
      <c r="C286" s="2" t="s">
        <v>396</v>
      </c>
      <c r="E286" s="2" t="s">
        <v>34</v>
      </c>
    </row>
    <row r="287" spans="3:5" x14ac:dyDescent="0.25">
      <c r="C287" s="2" t="s">
        <v>43</v>
      </c>
      <c r="E287" s="2"/>
    </row>
    <row r="288" spans="3:5" x14ac:dyDescent="0.25">
      <c r="C288" s="2" t="s">
        <v>396</v>
      </c>
      <c r="E288" s="2" t="s">
        <v>34</v>
      </c>
    </row>
    <row r="289" spans="3:5" x14ac:dyDescent="0.25">
      <c r="C289" s="2" t="s">
        <v>38</v>
      </c>
      <c r="E289" s="2" t="s">
        <v>34</v>
      </c>
    </row>
    <row r="290" spans="3:5" x14ac:dyDescent="0.25">
      <c r="C290" s="2" t="s">
        <v>43</v>
      </c>
      <c r="E290" s="2"/>
    </row>
    <row r="291" spans="3:5" x14ac:dyDescent="0.25">
      <c r="C291" s="2" t="s">
        <v>396</v>
      </c>
      <c r="E291" s="2" t="s">
        <v>34</v>
      </c>
    </row>
    <row r="292" spans="3:5" x14ac:dyDescent="0.25">
      <c r="C292" s="2" t="s">
        <v>108</v>
      </c>
      <c r="E292" s="2" t="s">
        <v>70</v>
      </c>
    </row>
    <row r="293" spans="3:5" x14ac:dyDescent="0.25">
      <c r="C293" s="2" t="s">
        <v>108</v>
      </c>
      <c r="E293" s="2" t="s">
        <v>70</v>
      </c>
    </row>
    <row r="294" spans="3:5" x14ac:dyDescent="0.25">
      <c r="C294" s="2" t="s">
        <v>76</v>
      </c>
      <c r="E294" s="2" t="s">
        <v>34</v>
      </c>
    </row>
    <row r="295" spans="3:5" x14ac:dyDescent="0.25">
      <c r="C295" s="2" t="s">
        <v>43</v>
      </c>
      <c r="E295" s="2" t="s">
        <v>34</v>
      </c>
    </row>
    <row r="296" spans="3:5" x14ac:dyDescent="0.25">
      <c r="C296" s="2" t="s">
        <v>67</v>
      </c>
      <c r="E296" s="2" t="s">
        <v>40</v>
      </c>
    </row>
    <row r="297" spans="3:5" x14ac:dyDescent="0.25">
      <c r="C297" s="2" t="s">
        <v>67</v>
      </c>
      <c r="E297" s="2" t="s">
        <v>34</v>
      </c>
    </row>
    <row r="298" spans="3:5" x14ac:dyDescent="0.25">
      <c r="C298" s="2" t="s">
        <v>108</v>
      </c>
      <c r="E298" s="2"/>
    </row>
    <row r="299" spans="3:5" x14ac:dyDescent="0.25">
      <c r="C299" s="2" t="s">
        <v>108</v>
      </c>
      <c r="E299" s="2" t="s">
        <v>34</v>
      </c>
    </row>
    <row r="300" spans="3:5" x14ac:dyDescent="0.25">
      <c r="C300" s="2" t="s">
        <v>38</v>
      </c>
      <c r="E300" s="2" t="s">
        <v>34</v>
      </c>
    </row>
    <row r="301" spans="3:5" x14ac:dyDescent="0.25">
      <c r="C301" s="2" t="s">
        <v>73</v>
      </c>
      <c r="E301" s="2" t="s">
        <v>34</v>
      </c>
    </row>
    <row r="302" spans="3:5" x14ac:dyDescent="0.25">
      <c r="C302" s="2" t="s">
        <v>38</v>
      </c>
      <c r="E302" s="2" t="s">
        <v>34</v>
      </c>
    </row>
    <row r="303" spans="3:5" x14ac:dyDescent="0.25">
      <c r="C303" s="2" t="s">
        <v>43</v>
      </c>
      <c r="E303" s="2" t="s">
        <v>34</v>
      </c>
    </row>
    <row r="304" spans="3:5" x14ac:dyDescent="0.25">
      <c r="C304" s="2" t="s">
        <v>31</v>
      </c>
      <c r="E304" s="2" t="s">
        <v>34</v>
      </c>
    </row>
    <row r="305" spans="3:5" x14ac:dyDescent="0.25">
      <c r="C305" s="2" t="s">
        <v>137</v>
      </c>
      <c r="E305" s="2" t="s">
        <v>34</v>
      </c>
    </row>
    <row r="306" spans="3:5" x14ac:dyDescent="0.25">
      <c r="C306" s="2" t="s">
        <v>396</v>
      </c>
      <c r="E306" s="2" t="s">
        <v>34</v>
      </c>
    </row>
    <row r="307" spans="3:5" x14ac:dyDescent="0.25">
      <c r="C307" s="2" t="s">
        <v>38</v>
      </c>
      <c r="E307" s="2" t="s">
        <v>34</v>
      </c>
    </row>
    <row r="308" spans="3:5" x14ac:dyDescent="0.25">
      <c r="C308" s="2" t="s">
        <v>76</v>
      </c>
      <c r="E308" s="2" t="s">
        <v>61</v>
      </c>
    </row>
    <row r="309" spans="3:5" x14ac:dyDescent="0.25">
      <c r="C309" s="2" t="s">
        <v>31</v>
      </c>
      <c r="E309" s="2" t="s">
        <v>61</v>
      </c>
    </row>
    <row r="310" spans="3:5" x14ac:dyDescent="0.25">
      <c r="C310" s="2" t="s">
        <v>396</v>
      </c>
      <c r="E310" s="2" t="s">
        <v>61</v>
      </c>
    </row>
    <row r="311" spans="3:5" x14ac:dyDescent="0.25">
      <c r="C311" s="2" t="s">
        <v>31</v>
      </c>
      <c r="E311" s="2" t="s">
        <v>61</v>
      </c>
    </row>
    <row r="312" spans="3:5" x14ac:dyDescent="0.25">
      <c r="C312" s="2"/>
      <c r="E312" s="2" t="s">
        <v>34</v>
      </c>
    </row>
    <row r="313" spans="3:5" x14ac:dyDescent="0.25">
      <c r="C313" s="2" t="s">
        <v>76</v>
      </c>
      <c r="E313" s="2" t="s">
        <v>34</v>
      </c>
    </row>
    <row r="314" spans="3:5" x14ac:dyDescent="0.25">
      <c r="C314" s="2" t="s">
        <v>43</v>
      </c>
      <c r="E314" s="2"/>
    </row>
    <row r="315" spans="3:5" x14ac:dyDescent="0.25">
      <c r="C315" s="2" t="s">
        <v>137</v>
      </c>
      <c r="E315" s="2" t="s">
        <v>34</v>
      </c>
    </row>
    <row r="316" spans="3:5" x14ac:dyDescent="0.25">
      <c r="C316" s="2" t="s">
        <v>67</v>
      </c>
      <c r="E316" s="2" t="s">
        <v>34</v>
      </c>
    </row>
    <row r="317" spans="3:5" x14ac:dyDescent="0.25">
      <c r="C317" s="2" t="s">
        <v>137</v>
      </c>
      <c r="E317" s="2"/>
    </row>
    <row r="318" spans="3:5" x14ac:dyDescent="0.25">
      <c r="C318" s="2" t="s">
        <v>31</v>
      </c>
      <c r="E318" s="2" t="s">
        <v>34</v>
      </c>
    </row>
    <row r="319" spans="3:5" x14ac:dyDescent="0.25">
      <c r="C319" s="2" t="s">
        <v>38</v>
      </c>
      <c r="E319" s="2"/>
    </row>
    <row r="320" spans="3:5" x14ac:dyDescent="0.25">
      <c r="C320" s="2" t="s">
        <v>137</v>
      </c>
      <c r="E320" s="2"/>
    </row>
    <row r="321" spans="3:5" x14ac:dyDescent="0.25">
      <c r="C321" s="2" t="s">
        <v>137</v>
      </c>
      <c r="E321" s="2" t="s">
        <v>34</v>
      </c>
    </row>
    <row r="322" spans="3:5" x14ac:dyDescent="0.25">
      <c r="C322" s="2" t="s">
        <v>43</v>
      </c>
      <c r="E322" s="2" t="s">
        <v>34</v>
      </c>
    </row>
    <row r="323" spans="3:5" x14ac:dyDescent="0.25">
      <c r="C323" s="2" t="s">
        <v>43</v>
      </c>
      <c r="E323" s="2" t="s">
        <v>34</v>
      </c>
    </row>
    <row r="324" spans="3:5" x14ac:dyDescent="0.25">
      <c r="C324" s="2" t="s">
        <v>31</v>
      </c>
      <c r="E324" s="2" t="s">
        <v>34</v>
      </c>
    </row>
    <row r="325" spans="3:5" x14ac:dyDescent="0.25">
      <c r="C325" s="2" t="s">
        <v>396</v>
      </c>
      <c r="E325" s="2" t="s">
        <v>34</v>
      </c>
    </row>
    <row r="326" spans="3:5" x14ac:dyDescent="0.25">
      <c r="C326" s="2" t="s">
        <v>31</v>
      </c>
      <c r="E326" s="2"/>
    </row>
    <row r="327" spans="3:5" x14ac:dyDescent="0.25">
      <c r="C327" s="2" t="s">
        <v>396</v>
      </c>
      <c r="E327" s="2" t="s">
        <v>34</v>
      </c>
    </row>
    <row r="328" spans="3:5" x14ac:dyDescent="0.25">
      <c r="C328" s="2" t="s">
        <v>38</v>
      </c>
      <c r="E328" s="2"/>
    </row>
    <row r="329" spans="3:5" x14ac:dyDescent="0.25">
      <c r="C329" s="2" t="s">
        <v>137</v>
      </c>
      <c r="E329" s="2"/>
    </row>
    <row r="330" spans="3:5" x14ac:dyDescent="0.25">
      <c r="C330" s="2" t="s">
        <v>38</v>
      </c>
      <c r="E330" s="2" t="s">
        <v>34</v>
      </c>
    </row>
    <row r="331" spans="3:5" x14ac:dyDescent="0.25">
      <c r="C331" s="2" t="s">
        <v>76</v>
      </c>
      <c r="E331" s="2" t="s">
        <v>70</v>
      </c>
    </row>
    <row r="332" spans="3:5" x14ac:dyDescent="0.25">
      <c r="C332" s="2" t="s">
        <v>73</v>
      </c>
      <c r="E332" s="2" t="s">
        <v>70</v>
      </c>
    </row>
    <row r="333" spans="3:5" x14ac:dyDescent="0.25">
      <c r="C333" s="2" t="s">
        <v>38</v>
      </c>
      <c r="E333" s="2"/>
    </row>
    <row r="334" spans="3:5" x14ac:dyDescent="0.25">
      <c r="C334" s="2" t="s">
        <v>38</v>
      </c>
      <c r="E334" s="2" t="s">
        <v>34</v>
      </c>
    </row>
    <row r="335" spans="3:5" x14ac:dyDescent="0.25">
      <c r="C335" s="2" t="s">
        <v>38</v>
      </c>
      <c r="E335" s="2" t="s">
        <v>46</v>
      </c>
    </row>
    <row r="336" spans="3:5" x14ac:dyDescent="0.25">
      <c r="C336" s="2" t="s">
        <v>137</v>
      </c>
      <c r="E336" s="2"/>
    </row>
    <row r="337" spans="3:5" x14ac:dyDescent="0.25">
      <c r="C337" s="2" t="s">
        <v>137</v>
      </c>
      <c r="E337" s="2"/>
    </row>
    <row r="338" spans="3:5" x14ac:dyDescent="0.25">
      <c r="C338" s="2" t="s">
        <v>38</v>
      </c>
      <c r="E338" s="2"/>
    </row>
    <row r="339" spans="3:5" x14ac:dyDescent="0.25">
      <c r="C339" s="2" t="s">
        <v>396</v>
      </c>
      <c r="E339" s="2" t="s">
        <v>34</v>
      </c>
    </row>
    <row r="340" spans="3:5" x14ac:dyDescent="0.25">
      <c r="C340" s="2" t="s">
        <v>43</v>
      </c>
      <c r="E340" s="2" t="s">
        <v>34</v>
      </c>
    </row>
    <row r="341" spans="3:5" x14ac:dyDescent="0.25">
      <c r="C341" s="2" t="s">
        <v>396</v>
      </c>
      <c r="E341" s="2" t="s">
        <v>34</v>
      </c>
    </row>
    <row r="342" spans="3:5" x14ac:dyDescent="0.25">
      <c r="C342" s="2" t="s">
        <v>49</v>
      </c>
      <c r="E342" s="2" t="s">
        <v>34</v>
      </c>
    </row>
    <row r="343" spans="3:5" x14ac:dyDescent="0.25">
      <c r="C343" s="2" t="s">
        <v>49</v>
      </c>
      <c r="E343" s="2" t="s">
        <v>70</v>
      </c>
    </row>
    <row r="344" spans="3:5" x14ac:dyDescent="0.25">
      <c r="C344" s="2" t="s">
        <v>396</v>
      </c>
      <c r="E344" s="2" t="s">
        <v>58</v>
      </c>
    </row>
    <row r="345" spans="3:5" x14ac:dyDescent="0.25">
      <c r="C345" s="2" t="s">
        <v>49</v>
      </c>
      <c r="E345" s="2" t="s">
        <v>34</v>
      </c>
    </row>
    <row r="346" spans="3:5" x14ac:dyDescent="0.25">
      <c r="C346" s="2" t="s">
        <v>73</v>
      </c>
      <c r="E346" s="2"/>
    </row>
    <row r="347" spans="3:5" x14ac:dyDescent="0.25">
      <c r="C347" s="2" t="s">
        <v>49</v>
      </c>
      <c r="E347" s="2" t="s">
        <v>34</v>
      </c>
    </row>
    <row r="348" spans="3:5" x14ac:dyDescent="0.25">
      <c r="C348" s="2" t="s">
        <v>38</v>
      </c>
      <c r="E348" s="2" t="s">
        <v>77</v>
      </c>
    </row>
    <row r="349" spans="3:5" x14ac:dyDescent="0.25">
      <c r="C349" s="2" t="s">
        <v>396</v>
      </c>
      <c r="E349" s="2"/>
    </row>
    <row r="350" spans="3:5" x14ac:dyDescent="0.25">
      <c r="C350" s="2" t="s">
        <v>31</v>
      </c>
      <c r="E350" s="2" t="s">
        <v>34</v>
      </c>
    </row>
    <row r="351" spans="3:5" x14ac:dyDescent="0.25">
      <c r="C351" s="2" t="s">
        <v>73</v>
      </c>
      <c r="E351" s="2" t="s">
        <v>77</v>
      </c>
    </row>
    <row r="352" spans="3:5" x14ac:dyDescent="0.25">
      <c r="C352" s="2" t="s">
        <v>43</v>
      </c>
      <c r="E352" s="2" t="s">
        <v>34</v>
      </c>
    </row>
    <row r="353" spans="3:5" x14ac:dyDescent="0.25">
      <c r="C353" s="2" t="s">
        <v>31</v>
      </c>
      <c r="E353" s="2" t="s">
        <v>70</v>
      </c>
    </row>
    <row r="354" spans="3:5" x14ac:dyDescent="0.25">
      <c r="C354" s="2" t="s">
        <v>137</v>
      </c>
      <c r="E354" s="2" t="s">
        <v>34</v>
      </c>
    </row>
    <row r="355" spans="3:5" x14ac:dyDescent="0.25">
      <c r="C355" s="2" t="s">
        <v>38</v>
      </c>
      <c r="E355" s="2" t="s">
        <v>34</v>
      </c>
    </row>
    <row r="356" spans="3:5" x14ac:dyDescent="0.25">
      <c r="C356" s="2" t="s">
        <v>31</v>
      </c>
      <c r="E356" s="2"/>
    </row>
    <row r="357" spans="3:5" x14ac:dyDescent="0.25">
      <c r="C357" s="2" t="s">
        <v>43</v>
      </c>
      <c r="E357" s="2"/>
    </row>
    <row r="358" spans="3:5" x14ac:dyDescent="0.25">
      <c r="C358" s="2" t="s">
        <v>67</v>
      </c>
      <c r="E358" s="2"/>
    </row>
    <row r="359" spans="3:5" x14ac:dyDescent="0.25">
      <c r="C359" s="2" t="s">
        <v>108</v>
      </c>
      <c r="E359" s="2"/>
    </row>
    <row r="360" spans="3:5" x14ac:dyDescent="0.25">
      <c r="C360" s="2" t="s">
        <v>38</v>
      </c>
      <c r="E360" s="2"/>
    </row>
    <row r="361" spans="3:5" x14ac:dyDescent="0.25">
      <c r="C361" s="2" t="s">
        <v>108</v>
      </c>
      <c r="E361" s="2"/>
    </row>
    <row r="362" spans="3:5" x14ac:dyDescent="0.25">
      <c r="C362" s="2" t="s">
        <v>73</v>
      </c>
      <c r="E362" s="2"/>
    </row>
    <row r="363" spans="3:5" x14ac:dyDescent="0.25">
      <c r="C363" s="2" t="s">
        <v>396</v>
      </c>
      <c r="E363" s="2"/>
    </row>
    <row r="364" spans="3:5" x14ac:dyDescent="0.25">
      <c r="C364" s="2" t="s">
        <v>38</v>
      </c>
      <c r="E364" s="2"/>
    </row>
    <row r="365" spans="3:5" x14ac:dyDescent="0.25">
      <c r="C365" s="2" t="s">
        <v>73</v>
      </c>
      <c r="E365" s="2"/>
    </row>
    <row r="366" spans="3:5" x14ac:dyDescent="0.25">
      <c r="C366" s="2" t="s">
        <v>396</v>
      </c>
      <c r="E366" s="2"/>
    </row>
    <row r="367" spans="3:5" x14ac:dyDescent="0.25">
      <c r="C367" s="2" t="s">
        <v>396</v>
      </c>
      <c r="E367" s="2" t="s">
        <v>34</v>
      </c>
    </row>
    <row r="368" spans="3:5" x14ac:dyDescent="0.25">
      <c r="C368" s="2" t="s">
        <v>396</v>
      </c>
      <c r="E368" s="2" t="s">
        <v>34</v>
      </c>
    </row>
    <row r="369" spans="3:5" x14ac:dyDescent="0.25">
      <c r="C369" s="2" t="s">
        <v>396</v>
      </c>
      <c r="E369" s="2" t="s">
        <v>34</v>
      </c>
    </row>
    <row r="370" spans="3:5" x14ac:dyDescent="0.25">
      <c r="C370" s="2" t="s">
        <v>49</v>
      </c>
      <c r="E370" s="2" t="s">
        <v>58</v>
      </c>
    </row>
    <row r="371" spans="3:5" x14ac:dyDescent="0.25">
      <c r="C371" s="2" t="s">
        <v>73</v>
      </c>
      <c r="E371" s="2" t="s">
        <v>70</v>
      </c>
    </row>
    <row r="372" spans="3:5" x14ac:dyDescent="0.25">
      <c r="C372" s="2" t="s">
        <v>137</v>
      </c>
      <c r="E372" s="2" t="s">
        <v>34</v>
      </c>
    </row>
    <row r="373" spans="3:5" x14ac:dyDescent="0.25">
      <c r="C373" s="2" t="s">
        <v>396</v>
      </c>
      <c r="E373" s="2" t="s">
        <v>34</v>
      </c>
    </row>
    <row r="374" spans="3:5" x14ac:dyDescent="0.25">
      <c r="C374" s="2" t="s">
        <v>137</v>
      </c>
      <c r="E374" s="2" t="s">
        <v>34</v>
      </c>
    </row>
    <row r="375" spans="3:5" x14ac:dyDescent="0.25">
      <c r="C375" s="2" t="s">
        <v>38</v>
      </c>
      <c r="E375" s="2" t="s">
        <v>77</v>
      </c>
    </row>
    <row r="376" spans="3:5" x14ac:dyDescent="0.25">
      <c r="C376" s="2" t="s">
        <v>137</v>
      </c>
      <c r="E376" s="2" t="s">
        <v>34</v>
      </c>
    </row>
    <row r="377" spans="3:5" x14ac:dyDescent="0.25">
      <c r="C377" s="2" t="s">
        <v>31</v>
      </c>
      <c r="E377" s="2" t="s">
        <v>46</v>
      </c>
    </row>
    <row r="378" spans="3:5" x14ac:dyDescent="0.25">
      <c r="C378" s="2" t="s">
        <v>396</v>
      </c>
      <c r="E378" s="2" t="s">
        <v>34</v>
      </c>
    </row>
    <row r="379" spans="3:5" x14ac:dyDescent="0.25">
      <c r="C379" s="2" t="s">
        <v>396</v>
      </c>
      <c r="E379" s="2" t="s">
        <v>46</v>
      </c>
    </row>
    <row r="380" spans="3:5" x14ac:dyDescent="0.25">
      <c r="C380" s="2" t="s">
        <v>396</v>
      </c>
      <c r="E380" s="2" t="s">
        <v>46</v>
      </c>
    </row>
    <row r="381" spans="3:5" x14ac:dyDescent="0.25">
      <c r="C381" s="2" t="s">
        <v>76</v>
      </c>
      <c r="E381" s="2" t="s">
        <v>34</v>
      </c>
    </row>
    <row r="382" spans="3:5" x14ac:dyDescent="0.25">
      <c r="C382" s="2" t="s">
        <v>43</v>
      </c>
      <c r="E382" s="2" t="s">
        <v>34</v>
      </c>
    </row>
    <row r="383" spans="3:5" x14ac:dyDescent="0.25">
      <c r="C383" s="2" t="s">
        <v>396</v>
      </c>
      <c r="E383" s="2" t="s">
        <v>46</v>
      </c>
    </row>
    <row r="384" spans="3:5" x14ac:dyDescent="0.25">
      <c r="C384" s="2" t="s">
        <v>137</v>
      </c>
      <c r="E384" s="2" t="s">
        <v>46</v>
      </c>
    </row>
    <row r="385" spans="3:5" x14ac:dyDescent="0.25">
      <c r="C385" s="2" t="s">
        <v>43</v>
      </c>
      <c r="E385" s="2" t="s">
        <v>34</v>
      </c>
    </row>
    <row r="386" spans="3:5" x14ac:dyDescent="0.25">
      <c r="C386" s="2" t="s">
        <v>396</v>
      </c>
      <c r="E386" s="2" t="s">
        <v>34</v>
      </c>
    </row>
    <row r="387" spans="3:5" x14ac:dyDescent="0.25">
      <c r="C387" s="2" t="s">
        <v>396</v>
      </c>
      <c r="E387" s="2" t="s">
        <v>34</v>
      </c>
    </row>
    <row r="388" spans="3:5" x14ac:dyDescent="0.25">
      <c r="C388" s="2" t="s">
        <v>67</v>
      </c>
      <c r="E388" s="2" t="s">
        <v>70</v>
      </c>
    </row>
    <row r="389" spans="3:5" x14ac:dyDescent="0.25">
      <c r="C389" s="2" t="s">
        <v>43</v>
      </c>
      <c r="E389" s="2" t="s">
        <v>58</v>
      </c>
    </row>
    <row r="390" spans="3:5" x14ac:dyDescent="0.25">
      <c r="C390" s="2" t="s">
        <v>396</v>
      </c>
      <c r="E390" s="2" t="s">
        <v>70</v>
      </c>
    </row>
    <row r="391" spans="3:5" x14ac:dyDescent="0.25">
      <c r="C391" s="2" t="s">
        <v>137</v>
      </c>
      <c r="E391" s="2" t="s">
        <v>34</v>
      </c>
    </row>
    <row r="392" spans="3:5" x14ac:dyDescent="0.25">
      <c r="C392" s="2" t="s">
        <v>137</v>
      </c>
      <c r="E392" s="2"/>
    </row>
    <row r="393" spans="3:5" x14ac:dyDescent="0.25">
      <c r="C393" s="2" t="s">
        <v>396</v>
      </c>
      <c r="E393" s="2" t="s">
        <v>34</v>
      </c>
    </row>
    <row r="394" spans="3:5" x14ac:dyDescent="0.25">
      <c r="C394" s="2" t="s">
        <v>38</v>
      </c>
      <c r="E394" s="2" t="s">
        <v>34</v>
      </c>
    </row>
    <row r="395" spans="3:5" x14ac:dyDescent="0.25">
      <c r="C395" s="2" t="s">
        <v>137</v>
      </c>
      <c r="E395" s="2" t="s">
        <v>34</v>
      </c>
    </row>
    <row r="396" spans="3:5" x14ac:dyDescent="0.25">
      <c r="C396" s="2" t="s">
        <v>137</v>
      </c>
      <c r="E396" s="2" t="s">
        <v>77</v>
      </c>
    </row>
    <row r="397" spans="3:5" x14ac:dyDescent="0.25">
      <c r="C397" s="2" t="s">
        <v>396</v>
      </c>
      <c r="E397" s="2" t="s">
        <v>34</v>
      </c>
    </row>
    <row r="398" spans="3:5" x14ac:dyDescent="0.25">
      <c r="C398" s="2" t="s">
        <v>38</v>
      </c>
      <c r="E398" s="2" t="s">
        <v>58</v>
      </c>
    </row>
    <row r="399" spans="3:5" x14ac:dyDescent="0.25">
      <c r="C399" s="2" t="s">
        <v>137</v>
      </c>
      <c r="E399" s="2" t="s">
        <v>34</v>
      </c>
    </row>
    <row r="400" spans="3:5" x14ac:dyDescent="0.25">
      <c r="C400" s="2" t="s">
        <v>38</v>
      </c>
      <c r="E400" s="2" t="s">
        <v>58</v>
      </c>
    </row>
    <row r="401" spans="3:5" x14ac:dyDescent="0.25">
      <c r="C401" s="2" t="s">
        <v>396</v>
      </c>
      <c r="E401" s="2" t="s">
        <v>34</v>
      </c>
    </row>
    <row r="402" spans="3:5" x14ac:dyDescent="0.25">
      <c r="C402" s="2" t="s">
        <v>396</v>
      </c>
      <c r="E402" s="2" t="s">
        <v>514</v>
      </c>
    </row>
    <row r="403" spans="3:5" x14ac:dyDescent="0.25">
      <c r="C403" s="2" t="s">
        <v>396</v>
      </c>
      <c r="E403" s="2" t="s">
        <v>34</v>
      </c>
    </row>
    <row r="404" spans="3:5" x14ac:dyDescent="0.25">
      <c r="C404" s="2" t="s">
        <v>137</v>
      </c>
      <c r="E404" s="2" t="s">
        <v>34</v>
      </c>
    </row>
    <row r="405" spans="3:5" x14ac:dyDescent="0.25">
      <c r="C405" s="2" t="s">
        <v>396</v>
      </c>
      <c r="E405" s="2" t="s">
        <v>34</v>
      </c>
    </row>
    <row r="406" spans="3:5" x14ac:dyDescent="0.25">
      <c r="C406" s="2" t="s">
        <v>137</v>
      </c>
      <c r="E406" s="2" t="s">
        <v>58</v>
      </c>
    </row>
    <row r="407" spans="3:5" x14ac:dyDescent="0.25">
      <c r="C407" s="2" t="s">
        <v>137</v>
      </c>
      <c r="E407" s="2"/>
    </row>
    <row r="408" spans="3:5" x14ac:dyDescent="0.25">
      <c r="C408" s="2" t="s">
        <v>396</v>
      </c>
      <c r="E408" s="2" t="s">
        <v>34</v>
      </c>
    </row>
    <row r="409" spans="3:5" x14ac:dyDescent="0.25">
      <c r="C409" s="2" t="s">
        <v>38</v>
      </c>
      <c r="E409" s="2" t="s">
        <v>34</v>
      </c>
    </row>
    <row r="410" spans="3:5" x14ac:dyDescent="0.25">
      <c r="C410" s="2" t="s">
        <v>137</v>
      </c>
      <c r="E410" s="2"/>
    </row>
    <row r="411" spans="3:5" x14ac:dyDescent="0.25">
      <c r="C411" s="2" t="s">
        <v>137</v>
      </c>
      <c r="E411" s="2" t="s">
        <v>34</v>
      </c>
    </row>
    <row r="412" spans="3:5" x14ac:dyDescent="0.25">
      <c r="C412" s="2" t="s">
        <v>38</v>
      </c>
      <c r="E412" s="2" t="s">
        <v>514</v>
      </c>
    </row>
    <row r="413" spans="3:5" x14ac:dyDescent="0.25">
      <c r="C413" s="2" t="s">
        <v>137</v>
      </c>
      <c r="E413" s="2" t="s">
        <v>909</v>
      </c>
    </row>
    <row r="414" spans="3:5" x14ac:dyDescent="0.25">
      <c r="C414" s="2" t="s">
        <v>43</v>
      </c>
      <c r="E414" s="2" t="s">
        <v>34</v>
      </c>
    </row>
    <row r="415" spans="3:5" x14ac:dyDescent="0.25">
      <c r="C415" s="2" t="s">
        <v>137</v>
      </c>
      <c r="E415" s="2"/>
    </row>
    <row r="416" spans="3:5" x14ac:dyDescent="0.25">
      <c r="C416" s="2" t="s">
        <v>396</v>
      </c>
      <c r="E416" s="2" t="s">
        <v>34</v>
      </c>
    </row>
    <row r="417" spans="3:5" x14ac:dyDescent="0.25">
      <c r="C417" s="2" t="s">
        <v>137</v>
      </c>
      <c r="E417" s="2" t="s">
        <v>514</v>
      </c>
    </row>
    <row r="418" spans="3:5" x14ac:dyDescent="0.25">
      <c r="C418" s="2" t="s">
        <v>137</v>
      </c>
      <c r="E418" s="2" t="s">
        <v>34</v>
      </c>
    </row>
    <row r="419" spans="3:5" x14ac:dyDescent="0.25">
      <c r="C419" s="2" t="s">
        <v>396</v>
      </c>
      <c r="E419" s="2" t="s">
        <v>34</v>
      </c>
    </row>
    <row r="420" spans="3:5" x14ac:dyDescent="0.25">
      <c r="C420" s="2" t="s">
        <v>396</v>
      </c>
      <c r="E420" s="2" t="s">
        <v>34</v>
      </c>
    </row>
    <row r="421" spans="3:5" x14ac:dyDescent="0.25">
      <c r="C421" s="2" t="s">
        <v>43</v>
      </c>
      <c r="E421" s="2" t="s">
        <v>58</v>
      </c>
    </row>
    <row r="422" spans="3:5" x14ac:dyDescent="0.25">
      <c r="C422" s="2" t="s">
        <v>38</v>
      </c>
      <c r="E422" s="2" t="s">
        <v>34</v>
      </c>
    </row>
    <row r="423" spans="3:5" x14ac:dyDescent="0.25">
      <c r="C423" s="2" t="s">
        <v>396</v>
      </c>
      <c r="E423" s="2" t="s">
        <v>34</v>
      </c>
    </row>
    <row r="424" spans="3:5" x14ac:dyDescent="0.25">
      <c r="C424" s="2" t="s">
        <v>137</v>
      </c>
      <c r="E424" s="2" t="s">
        <v>34</v>
      </c>
    </row>
    <row r="425" spans="3:5" x14ac:dyDescent="0.25">
      <c r="C425" s="2" t="s">
        <v>38</v>
      </c>
      <c r="E425" s="2" t="s">
        <v>34</v>
      </c>
    </row>
    <row r="426" spans="3:5" x14ac:dyDescent="0.25">
      <c r="C426" s="2" t="s">
        <v>38</v>
      </c>
      <c r="E426" s="2" t="s">
        <v>34</v>
      </c>
    </row>
    <row r="427" spans="3:5" x14ac:dyDescent="0.25">
      <c r="C427" s="2" t="s">
        <v>396</v>
      </c>
      <c r="E427" s="2" t="s">
        <v>34</v>
      </c>
    </row>
    <row r="428" spans="3:5" x14ac:dyDescent="0.25">
      <c r="C428" s="2" t="s">
        <v>137</v>
      </c>
      <c r="E428" s="2" t="s">
        <v>34</v>
      </c>
    </row>
    <row r="429" spans="3:5" x14ac:dyDescent="0.25">
      <c r="C429" s="2" t="s">
        <v>38</v>
      </c>
      <c r="E429" s="2" t="s">
        <v>58</v>
      </c>
    </row>
    <row r="430" spans="3:5" x14ac:dyDescent="0.25">
      <c r="C430" s="2" t="s">
        <v>396</v>
      </c>
      <c r="E430" s="2" t="s">
        <v>34</v>
      </c>
    </row>
    <row r="431" spans="3:5" x14ac:dyDescent="0.25">
      <c r="C431" s="2" t="s">
        <v>137</v>
      </c>
      <c r="E431" s="2" t="s">
        <v>46</v>
      </c>
    </row>
    <row r="432" spans="3:5" x14ac:dyDescent="0.25">
      <c r="C432" s="2" t="s">
        <v>137</v>
      </c>
      <c r="E432" s="2" t="s">
        <v>58</v>
      </c>
    </row>
    <row r="433" spans="3:5" x14ac:dyDescent="0.25">
      <c r="C433" s="2" t="s">
        <v>137</v>
      </c>
      <c r="E433" s="2" t="s">
        <v>34</v>
      </c>
    </row>
    <row r="434" spans="3:5" x14ac:dyDescent="0.25">
      <c r="C434" s="2" t="s">
        <v>396</v>
      </c>
      <c r="E434" s="2" t="s">
        <v>34</v>
      </c>
    </row>
    <row r="435" spans="3:5" x14ac:dyDescent="0.25">
      <c r="C435" s="2" t="s">
        <v>137</v>
      </c>
      <c r="E435" s="2" t="s">
        <v>46</v>
      </c>
    </row>
    <row r="436" spans="3:5" x14ac:dyDescent="0.25">
      <c r="C436" s="2" t="s">
        <v>31</v>
      </c>
      <c r="E436" s="2" t="s">
        <v>77</v>
      </c>
    </row>
    <row r="437" spans="3:5" x14ac:dyDescent="0.25">
      <c r="C437" s="2" t="s">
        <v>396</v>
      </c>
      <c r="E437" s="2" t="s">
        <v>34</v>
      </c>
    </row>
    <row r="438" spans="3:5" x14ac:dyDescent="0.25">
      <c r="C438" s="2" t="s">
        <v>137</v>
      </c>
      <c r="E438" s="2"/>
    </row>
    <row r="439" spans="3:5" x14ac:dyDescent="0.25">
      <c r="C439" s="2" t="s">
        <v>38</v>
      </c>
      <c r="E439" s="2" t="s">
        <v>34</v>
      </c>
    </row>
    <row r="440" spans="3:5" x14ac:dyDescent="0.25">
      <c r="C440" s="2" t="s">
        <v>396</v>
      </c>
      <c r="E440" s="2" t="s">
        <v>34</v>
      </c>
    </row>
    <row r="441" spans="3:5" x14ac:dyDescent="0.25">
      <c r="C441" s="2" t="s">
        <v>76</v>
      </c>
      <c r="E441" s="2" t="s">
        <v>34</v>
      </c>
    </row>
    <row r="442" spans="3:5" x14ac:dyDescent="0.25">
      <c r="C442" s="2" t="s">
        <v>108</v>
      </c>
      <c r="E442" s="2" t="s">
        <v>77</v>
      </c>
    </row>
    <row r="443" spans="3:5" x14ac:dyDescent="0.25">
      <c r="C443" s="2" t="s">
        <v>108</v>
      </c>
      <c r="E443" s="2" t="s">
        <v>58</v>
      </c>
    </row>
    <row r="444" spans="3:5" x14ac:dyDescent="0.25">
      <c r="C444" s="2" t="s">
        <v>31</v>
      </c>
      <c r="E444" s="2" t="s">
        <v>70</v>
      </c>
    </row>
    <row r="445" spans="3:5" x14ac:dyDescent="0.25">
      <c r="C445" s="2" t="s">
        <v>38</v>
      </c>
      <c r="E445" s="2" t="s">
        <v>34</v>
      </c>
    </row>
    <row r="446" spans="3:5" x14ac:dyDescent="0.25">
      <c r="C446" s="2" t="s">
        <v>49</v>
      </c>
      <c r="E446" s="2" t="s">
        <v>70</v>
      </c>
    </row>
    <row r="447" spans="3:5" x14ac:dyDescent="0.25">
      <c r="C447" s="2" t="s">
        <v>137</v>
      </c>
      <c r="E447" s="2" t="s">
        <v>34</v>
      </c>
    </row>
    <row r="448" spans="3:5" x14ac:dyDescent="0.25">
      <c r="C448" s="2" t="s">
        <v>396</v>
      </c>
      <c r="E448" s="2"/>
    </row>
    <row r="449" spans="3:5" x14ac:dyDescent="0.25">
      <c r="C449" s="2" t="s">
        <v>396</v>
      </c>
      <c r="E449" s="2"/>
    </row>
    <row r="450" spans="3:5" x14ac:dyDescent="0.25">
      <c r="C450" s="2" t="s">
        <v>137</v>
      </c>
      <c r="E450" s="2"/>
    </row>
    <row r="451" spans="3:5" x14ac:dyDescent="0.25">
      <c r="C451" s="2" t="s">
        <v>396</v>
      </c>
      <c r="E451" s="2" t="s">
        <v>34</v>
      </c>
    </row>
    <row r="452" spans="3:5" x14ac:dyDescent="0.25">
      <c r="C452" s="2" t="s">
        <v>137</v>
      </c>
      <c r="E452" s="2"/>
    </row>
    <row r="453" spans="3:5" x14ac:dyDescent="0.25">
      <c r="C453" s="2" t="s">
        <v>396</v>
      </c>
      <c r="E453" s="2" t="s">
        <v>58</v>
      </c>
    </row>
    <row r="454" spans="3:5" x14ac:dyDescent="0.25">
      <c r="C454" s="2" t="s">
        <v>396</v>
      </c>
      <c r="E454" s="2" t="s">
        <v>34</v>
      </c>
    </row>
    <row r="455" spans="3:5" x14ac:dyDescent="0.25">
      <c r="C455" s="2" t="s">
        <v>396</v>
      </c>
      <c r="E455" s="2" t="s">
        <v>34</v>
      </c>
    </row>
    <row r="456" spans="3:5" x14ac:dyDescent="0.25">
      <c r="C456" s="2" t="s">
        <v>73</v>
      </c>
      <c r="E456" s="2" t="s">
        <v>77</v>
      </c>
    </row>
    <row r="457" spans="3:5" x14ac:dyDescent="0.25">
      <c r="C457" s="2" t="s">
        <v>396</v>
      </c>
      <c r="E457" s="2" t="s">
        <v>34</v>
      </c>
    </row>
    <row r="458" spans="3:5" x14ac:dyDescent="0.25">
      <c r="C458" s="2" t="s">
        <v>137</v>
      </c>
      <c r="E458" s="2" t="s">
        <v>34</v>
      </c>
    </row>
    <row r="459" spans="3:5" x14ac:dyDescent="0.25">
      <c r="C459" s="2" t="s">
        <v>38</v>
      </c>
      <c r="E459" s="2" t="s">
        <v>34</v>
      </c>
    </row>
    <row r="460" spans="3:5" x14ac:dyDescent="0.25">
      <c r="C460" s="2" t="s">
        <v>396</v>
      </c>
      <c r="E460" s="2" t="s">
        <v>34</v>
      </c>
    </row>
    <row r="461" spans="3:5" x14ac:dyDescent="0.25">
      <c r="C461" s="2" t="s">
        <v>137</v>
      </c>
      <c r="E461" s="2" t="s">
        <v>34</v>
      </c>
    </row>
    <row r="462" spans="3:5" x14ac:dyDescent="0.25">
      <c r="C462" s="2" t="s">
        <v>396</v>
      </c>
      <c r="E462" s="2" t="s">
        <v>34</v>
      </c>
    </row>
    <row r="463" spans="3:5" x14ac:dyDescent="0.25">
      <c r="C463" s="2" t="s">
        <v>31</v>
      </c>
      <c r="E463" s="2" t="s">
        <v>34</v>
      </c>
    </row>
    <row r="464" spans="3:5" x14ac:dyDescent="0.25">
      <c r="C464" s="2" t="s">
        <v>43</v>
      </c>
      <c r="E464" s="2" t="s">
        <v>34</v>
      </c>
    </row>
    <row r="465" spans="3:5" x14ac:dyDescent="0.25">
      <c r="C465" s="2" t="s">
        <v>43</v>
      </c>
      <c r="E465" s="2" t="s">
        <v>34</v>
      </c>
    </row>
    <row r="466" spans="3:5" x14ac:dyDescent="0.25">
      <c r="C466" s="2" t="s">
        <v>396</v>
      </c>
      <c r="E466" s="2" t="s">
        <v>34</v>
      </c>
    </row>
    <row r="467" spans="3:5" x14ac:dyDescent="0.25">
      <c r="C467" s="2" t="s">
        <v>38</v>
      </c>
      <c r="E467" s="2" t="s">
        <v>34</v>
      </c>
    </row>
    <row r="468" spans="3:5" x14ac:dyDescent="0.25">
      <c r="C468" s="2" t="s">
        <v>396</v>
      </c>
      <c r="E468" s="2" t="s">
        <v>61</v>
      </c>
    </row>
    <row r="469" spans="3:5" x14ac:dyDescent="0.25">
      <c r="C469" s="2" t="s">
        <v>49</v>
      </c>
      <c r="E469" s="2" t="s">
        <v>34</v>
      </c>
    </row>
    <row r="470" spans="3:5" x14ac:dyDescent="0.25">
      <c r="C470" s="2" t="s">
        <v>38</v>
      </c>
      <c r="E470" s="2"/>
    </row>
    <row r="471" spans="3:5" x14ac:dyDescent="0.25">
      <c r="C471" s="2" t="s">
        <v>137</v>
      </c>
      <c r="E471" s="2"/>
    </row>
    <row r="472" spans="3:5" x14ac:dyDescent="0.25">
      <c r="C472" s="2" t="s">
        <v>396</v>
      </c>
      <c r="E472" s="2"/>
    </row>
    <row r="473" spans="3:5" x14ac:dyDescent="0.25">
      <c r="C473" s="2" t="s">
        <v>73</v>
      </c>
      <c r="E473" s="2" t="s">
        <v>34</v>
      </c>
    </row>
    <row r="474" spans="3:5" x14ac:dyDescent="0.25">
      <c r="C474" s="2" t="s">
        <v>38</v>
      </c>
      <c r="E474" s="2" t="s">
        <v>34</v>
      </c>
    </row>
    <row r="475" spans="3:5" x14ac:dyDescent="0.25">
      <c r="C475" s="2" t="s">
        <v>396</v>
      </c>
      <c r="E475" s="2" t="s">
        <v>70</v>
      </c>
    </row>
    <row r="476" spans="3:5" x14ac:dyDescent="0.25">
      <c r="C476" s="2" t="s">
        <v>137</v>
      </c>
      <c r="E476" s="2"/>
    </row>
    <row r="477" spans="3:5" x14ac:dyDescent="0.25">
      <c r="C477" s="2" t="s">
        <v>38</v>
      </c>
      <c r="E477" s="2" t="s">
        <v>70</v>
      </c>
    </row>
    <row r="478" spans="3:5" x14ac:dyDescent="0.25">
      <c r="C478" s="2" t="s">
        <v>396</v>
      </c>
      <c r="E478" s="2" t="s">
        <v>34</v>
      </c>
    </row>
    <row r="479" spans="3:5" x14ac:dyDescent="0.25">
      <c r="C479" s="2" t="s">
        <v>396</v>
      </c>
      <c r="E479" s="2" t="s">
        <v>34</v>
      </c>
    </row>
    <row r="480" spans="3:5" x14ac:dyDescent="0.25">
      <c r="C480" s="2" t="s">
        <v>38</v>
      </c>
      <c r="E480" s="2" t="s">
        <v>58</v>
      </c>
    </row>
    <row r="481" spans="3:5" x14ac:dyDescent="0.25">
      <c r="C481" s="2" t="s">
        <v>76</v>
      </c>
      <c r="E481" s="2" t="s">
        <v>77</v>
      </c>
    </row>
    <row r="482" spans="3:5" x14ac:dyDescent="0.25">
      <c r="C482" s="2" t="s">
        <v>73</v>
      </c>
      <c r="E482" s="2"/>
    </row>
    <row r="483" spans="3:5" x14ac:dyDescent="0.25">
      <c r="C483" s="2" t="s">
        <v>76</v>
      </c>
      <c r="E483" s="2" t="s">
        <v>77</v>
      </c>
    </row>
    <row r="484" spans="3:5" x14ac:dyDescent="0.25">
      <c r="C484" s="2" t="s">
        <v>38</v>
      </c>
      <c r="E484" s="2" t="s">
        <v>70</v>
      </c>
    </row>
    <row r="485" spans="3:5" x14ac:dyDescent="0.25">
      <c r="C485" s="2" t="s">
        <v>49</v>
      </c>
      <c r="E485" s="2" t="s">
        <v>34</v>
      </c>
    </row>
    <row r="486" spans="3:5" x14ac:dyDescent="0.25">
      <c r="C486" s="2" t="s">
        <v>38</v>
      </c>
      <c r="E486" s="2" t="s">
        <v>34</v>
      </c>
    </row>
    <row r="487" spans="3:5" x14ac:dyDescent="0.25">
      <c r="C487" s="2" t="s">
        <v>76</v>
      </c>
      <c r="E487" s="2" t="s">
        <v>34</v>
      </c>
    </row>
    <row r="488" spans="3:5" x14ac:dyDescent="0.25">
      <c r="C488" s="2" t="s">
        <v>31</v>
      </c>
      <c r="E488" s="2" t="s">
        <v>34</v>
      </c>
    </row>
    <row r="489" spans="3:5" x14ac:dyDescent="0.25">
      <c r="C489" s="2" t="s">
        <v>38</v>
      </c>
      <c r="E489" s="2" t="s">
        <v>61</v>
      </c>
    </row>
    <row r="490" spans="3:5" x14ac:dyDescent="0.25">
      <c r="C490" s="2" t="s">
        <v>43</v>
      </c>
      <c r="E490" s="2" t="s">
        <v>34</v>
      </c>
    </row>
    <row r="491" spans="3:5" x14ac:dyDescent="0.25">
      <c r="C491" s="2" t="s">
        <v>38</v>
      </c>
      <c r="E491" s="2" t="s">
        <v>34</v>
      </c>
    </row>
    <row r="492" spans="3:5" x14ac:dyDescent="0.25">
      <c r="C492" s="2" t="s">
        <v>38</v>
      </c>
      <c r="E492" s="2" t="s">
        <v>58</v>
      </c>
    </row>
    <row r="493" spans="3:5" x14ac:dyDescent="0.25">
      <c r="C493" s="2" t="s">
        <v>73</v>
      </c>
      <c r="E493" s="2" t="s">
        <v>34</v>
      </c>
    </row>
    <row r="494" spans="3:5" x14ac:dyDescent="0.25">
      <c r="C494" s="2" t="s">
        <v>73</v>
      </c>
      <c r="E494" s="2" t="s">
        <v>34</v>
      </c>
    </row>
    <row r="495" spans="3:5" x14ac:dyDescent="0.25">
      <c r="C495" s="2" t="s">
        <v>76</v>
      </c>
      <c r="E495" s="2" t="s">
        <v>34</v>
      </c>
    </row>
    <row r="496" spans="3:5" x14ac:dyDescent="0.25">
      <c r="C496" s="2" t="s">
        <v>73</v>
      </c>
      <c r="E496" s="2" t="s">
        <v>34</v>
      </c>
    </row>
    <row r="497" spans="3:5" x14ac:dyDescent="0.25">
      <c r="C497" s="2" t="s">
        <v>43</v>
      </c>
      <c r="E497" s="2" t="s">
        <v>34</v>
      </c>
    </row>
    <row r="498" spans="3:5" x14ac:dyDescent="0.25">
      <c r="C498" s="2" t="s">
        <v>108</v>
      </c>
      <c r="E498" s="2" t="s">
        <v>34</v>
      </c>
    </row>
    <row r="499" spans="3:5" x14ac:dyDescent="0.25">
      <c r="C499" s="2" t="s">
        <v>396</v>
      </c>
      <c r="E499" s="2" t="s">
        <v>34</v>
      </c>
    </row>
    <row r="500" spans="3:5" x14ac:dyDescent="0.25">
      <c r="C500" s="2" t="s">
        <v>137</v>
      </c>
      <c r="E500" s="2" t="s">
        <v>34</v>
      </c>
    </row>
    <row r="501" spans="3:5" x14ac:dyDescent="0.25">
      <c r="C501" s="2" t="s">
        <v>31</v>
      </c>
      <c r="E501" s="2" t="s">
        <v>34</v>
      </c>
    </row>
    <row r="502" spans="3:5" x14ac:dyDescent="0.25">
      <c r="C502" s="2" t="s">
        <v>73</v>
      </c>
      <c r="E502" s="2"/>
    </row>
    <row r="503" spans="3:5" x14ac:dyDescent="0.25">
      <c r="C503" s="2" t="s">
        <v>43</v>
      </c>
      <c r="E503" s="2" t="s">
        <v>34</v>
      </c>
    </row>
    <row r="504" spans="3:5" x14ac:dyDescent="0.25">
      <c r="C504" s="2" t="s">
        <v>31</v>
      </c>
      <c r="E504" s="2" t="s">
        <v>34</v>
      </c>
    </row>
    <row r="505" spans="3:5" x14ac:dyDescent="0.25">
      <c r="C505" s="2" t="s">
        <v>137</v>
      </c>
      <c r="E505" s="2" t="s">
        <v>34</v>
      </c>
    </row>
    <row r="506" spans="3:5" x14ac:dyDescent="0.25">
      <c r="C506" s="2" t="s">
        <v>396</v>
      </c>
      <c r="E506" s="2" t="s">
        <v>34</v>
      </c>
    </row>
    <row r="507" spans="3:5" x14ac:dyDescent="0.25">
      <c r="C507" s="2" t="s">
        <v>43</v>
      </c>
      <c r="E507" s="2" t="s">
        <v>34</v>
      </c>
    </row>
    <row r="508" spans="3:5" x14ac:dyDescent="0.25">
      <c r="C508" s="2" t="s">
        <v>31</v>
      </c>
      <c r="E508" s="2"/>
    </row>
    <row r="509" spans="3:5" x14ac:dyDescent="0.25">
      <c r="C509" s="2" t="s">
        <v>31</v>
      </c>
      <c r="E509" s="2"/>
    </row>
    <row r="510" spans="3:5" x14ac:dyDescent="0.25">
      <c r="C510" s="2" t="s">
        <v>67</v>
      </c>
      <c r="E510" s="2" t="s">
        <v>61</v>
      </c>
    </row>
    <row r="511" spans="3:5" x14ac:dyDescent="0.25">
      <c r="C511" s="2" t="s">
        <v>31</v>
      </c>
      <c r="E511" s="2" t="s">
        <v>34</v>
      </c>
    </row>
    <row r="512" spans="3:5" x14ac:dyDescent="0.25">
      <c r="C512" s="2" t="s">
        <v>73</v>
      </c>
      <c r="E512" s="2" t="s">
        <v>34</v>
      </c>
    </row>
    <row r="513" spans="3:5" x14ac:dyDescent="0.25">
      <c r="C513" s="2" t="s">
        <v>137</v>
      </c>
      <c r="E513" s="2" t="s">
        <v>70</v>
      </c>
    </row>
    <row r="514" spans="3:5" x14ac:dyDescent="0.25">
      <c r="C514" s="2" t="s">
        <v>396</v>
      </c>
      <c r="E514" s="2" t="s">
        <v>34</v>
      </c>
    </row>
    <row r="515" spans="3:5" x14ac:dyDescent="0.25">
      <c r="C515" s="2" t="s">
        <v>38</v>
      </c>
      <c r="E515" s="2"/>
    </row>
    <row r="516" spans="3:5" x14ac:dyDescent="0.25">
      <c r="C516" s="2" t="s">
        <v>43</v>
      </c>
      <c r="E516" s="2"/>
    </row>
    <row r="517" spans="3:5" x14ac:dyDescent="0.25">
      <c r="C517" s="2" t="s">
        <v>76</v>
      </c>
      <c r="E517" s="2" t="s">
        <v>34</v>
      </c>
    </row>
    <row r="518" spans="3:5" x14ac:dyDescent="0.25">
      <c r="C518" s="2" t="s">
        <v>73</v>
      </c>
      <c r="E518" s="2" t="s">
        <v>34</v>
      </c>
    </row>
    <row r="519" spans="3:5" x14ac:dyDescent="0.25">
      <c r="C519" s="2" t="s">
        <v>73</v>
      </c>
      <c r="E519" s="2" t="s">
        <v>70</v>
      </c>
    </row>
    <row r="520" spans="3:5" x14ac:dyDescent="0.25">
      <c r="C520" s="2" t="s">
        <v>396</v>
      </c>
      <c r="E520" s="2" t="s">
        <v>34</v>
      </c>
    </row>
    <row r="521" spans="3:5" x14ac:dyDescent="0.25">
      <c r="C521" s="2" t="s">
        <v>76</v>
      </c>
      <c r="E521" s="2" t="s">
        <v>34</v>
      </c>
    </row>
    <row r="522" spans="3:5" x14ac:dyDescent="0.25">
      <c r="C522" s="2" t="s">
        <v>137</v>
      </c>
      <c r="E522" s="2" t="s">
        <v>34</v>
      </c>
    </row>
    <row r="523" spans="3:5" x14ac:dyDescent="0.25">
      <c r="C523" s="2" t="s">
        <v>49</v>
      </c>
      <c r="E523" s="2"/>
    </row>
    <row r="524" spans="3:5" x14ac:dyDescent="0.25">
      <c r="C524" s="2" t="s">
        <v>100</v>
      </c>
      <c r="E524" s="2" t="s">
        <v>77</v>
      </c>
    </row>
    <row r="525" spans="3:5" x14ac:dyDescent="0.25">
      <c r="C525" s="2" t="s">
        <v>38</v>
      </c>
      <c r="E525" s="2" t="s">
        <v>61</v>
      </c>
    </row>
    <row r="526" spans="3:5" x14ac:dyDescent="0.25">
      <c r="C526" s="2" t="s">
        <v>100</v>
      </c>
      <c r="E526" s="2" t="s">
        <v>61</v>
      </c>
    </row>
    <row r="527" spans="3:5" x14ac:dyDescent="0.25">
      <c r="C527" s="2" t="s">
        <v>1155</v>
      </c>
      <c r="E527" s="2" t="s">
        <v>61</v>
      </c>
    </row>
    <row r="528" spans="3:5" x14ac:dyDescent="0.25">
      <c r="C528" s="2" t="s">
        <v>67</v>
      </c>
      <c r="E528" s="2" t="s">
        <v>34</v>
      </c>
    </row>
    <row r="529" spans="3:5" x14ac:dyDescent="0.25">
      <c r="C529" s="2" t="s">
        <v>396</v>
      </c>
      <c r="E529" s="2" t="s">
        <v>58</v>
      </c>
    </row>
    <row r="530" spans="3:5" x14ac:dyDescent="0.25">
      <c r="C530" s="2" t="s">
        <v>396</v>
      </c>
      <c r="E530" s="2" t="s">
        <v>58</v>
      </c>
    </row>
    <row r="531" spans="3:5" x14ac:dyDescent="0.25">
      <c r="C531" s="2" t="s">
        <v>43</v>
      </c>
      <c r="E531" s="2" t="s">
        <v>909</v>
      </c>
    </row>
    <row r="532" spans="3:5" x14ac:dyDescent="0.25">
      <c r="C532" s="2" t="s">
        <v>108</v>
      </c>
      <c r="E532" s="2" t="s">
        <v>34</v>
      </c>
    </row>
    <row r="533" spans="3:5" x14ac:dyDescent="0.25">
      <c r="C533" s="2" t="s">
        <v>137</v>
      </c>
      <c r="E533" s="2" t="s">
        <v>34</v>
      </c>
    </row>
    <row r="534" spans="3:5" x14ac:dyDescent="0.25">
      <c r="C534" s="2" t="s">
        <v>43</v>
      </c>
      <c r="E534" s="2" t="s">
        <v>34</v>
      </c>
    </row>
    <row r="535" spans="3:5" x14ac:dyDescent="0.25">
      <c r="C535" s="2" t="s">
        <v>137</v>
      </c>
      <c r="E535" s="2" t="s">
        <v>34</v>
      </c>
    </row>
    <row r="536" spans="3:5" x14ac:dyDescent="0.25">
      <c r="C536" s="2" t="s">
        <v>67</v>
      </c>
      <c r="E536" s="2" t="s">
        <v>34</v>
      </c>
    </row>
    <row r="537" spans="3:5" x14ac:dyDescent="0.25">
      <c r="C537" s="2" t="s">
        <v>49</v>
      </c>
      <c r="E537" s="2" t="s">
        <v>61</v>
      </c>
    </row>
    <row r="538" spans="3:5" x14ac:dyDescent="0.25">
      <c r="C538" s="2" t="s">
        <v>38</v>
      </c>
      <c r="E538" s="2" t="s">
        <v>34</v>
      </c>
    </row>
    <row r="539" spans="3:5" x14ac:dyDescent="0.25">
      <c r="C539" s="2" t="s">
        <v>49</v>
      </c>
      <c r="E539" s="2" t="s">
        <v>34</v>
      </c>
    </row>
    <row r="540" spans="3:5" x14ac:dyDescent="0.25">
      <c r="C540" s="2" t="s">
        <v>73</v>
      </c>
      <c r="E540" s="2" t="s">
        <v>34</v>
      </c>
    </row>
    <row r="541" spans="3:5" x14ac:dyDescent="0.25">
      <c r="C541" s="2" t="s">
        <v>31</v>
      </c>
      <c r="E541" s="2" t="s">
        <v>34</v>
      </c>
    </row>
    <row r="542" spans="3:5" x14ac:dyDescent="0.25">
      <c r="C542" s="2" t="s">
        <v>38</v>
      </c>
      <c r="E542" s="2" t="s">
        <v>34</v>
      </c>
    </row>
    <row r="543" spans="3:5" x14ac:dyDescent="0.25">
      <c r="C543" s="2" t="s">
        <v>43</v>
      </c>
      <c r="E543" s="2" t="s">
        <v>34</v>
      </c>
    </row>
    <row r="544" spans="3:5" x14ac:dyDescent="0.25">
      <c r="C544" s="2" t="s">
        <v>49</v>
      </c>
      <c r="E544" s="2" t="s">
        <v>34</v>
      </c>
    </row>
    <row r="545" spans="3:5" x14ac:dyDescent="0.25">
      <c r="C545" s="2" t="s">
        <v>396</v>
      </c>
      <c r="E545" s="2"/>
    </row>
    <row r="546" spans="3:5" x14ac:dyDescent="0.25">
      <c r="C546" s="2" t="s">
        <v>43</v>
      </c>
      <c r="E546" s="2" t="s">
        <v>34</v>
      </c>
    </row>
    <row r="547" spans="3:5" x14ac:dyDescent="0.25">
      <c r="C547" s="2" t="s">
        <v>38</v>
      </c>
      <c r="E547" s="2" t="s">
        <v>34</v>
      </c>
    </row>
    <row r="548" spans="3:5" x14ac:dyDescent="0.25">
      <c r="C548" s="2" t="s">
        <v>396</v>
      </c>
      <c r="E548" s="2" t="s">
        <v>34</v>
      </c>
    </row>
    <row r="549" spans="3:5" x14ac:dyDescent="0.25">
      <c r="C549" s="2" t="s">
        <v>396</v>
      </c>
      <c r="E549" s="2" t="s">
        <v>34</v>
      </c>
    </row>
    <row r="550" spans="3:5" x14ac:dyDescent="0.25">
      <c r="C550" s="2" t="s">
        <v>43</v>
      </c>
      <c r="E550" s="2" t="s">
        <v>34</v>
      </c>
    </row>
    <row r="551" spans="3:5" x14ac:dyDescent="0.25">
      <c r="C551" s="2" t="s">
        <v>38</v>
      </c>
      <c r="E551" s="2" t="s">
        <v>34</v>
      </c>
    </row>
    <row r="552" spans="3:5" x14ac:dyDescent="0.25">
      <c r="C552" s="2" t="s">
        <v>137</v>
      </c>
      <c r="E552" s="2" t="s">
        <v>34</v>
      </c>
    </row>
    <row r="553" spans="3:5" x14ac:dyDescent="0.25">
      <c r="C553" s="2" t="s">
        <v>76</v>
      </c>
      <c r="E553" s="2" t="s">
        <v>34</v>
      </c>
    </row>
    <row r="554" spans="3:5" x14ac:dyDescent="0.25">
      <c r="C554" s="2" t="s">
        <v>137</v>
      </c>
      <c r="E554" s="2" t="s">
        <v>34</v>
      </c>
    </row>
    <row r="555" spans="3:5" x14ac:dyDescent="0.25">
      <c r="C555" s="2" t="s">
        <v>100</v>
      </c>
      <c r="E555" s="2"/>
    </row>
    <row r="556" spans="3:5" x14ac:dyDescent="0.25">
      <c r="C556" s="2" t="s">
        <v>73</v>
      </c>
      <c r="E556" s="2"/>
    </row>
    <row r="557" spans="3:5" x14ac:dyDescent="0.25">
      <c r="C557" s="2" t="s">
        <v>67</v>
      </c>
      <c r="E557" s="2"/>
    </row>
    <row r="558" spans="3:5" x14ac:dyDescent="0.25">
      <c r="C558" s="2" t="s">
        <v>31</v>
      </c>
      <c r="E558" s="2" t="s">
        <v>70</v>
      </c>
    </row>
    <row r="559" spans="3:5" x14ac:dyDescent="0.25">
      <c r="C559" s="2" t="s">
        <v>49</v>
      </c>
      <c r="E559" s="2" t="s">
        <v>34</v>
      </c>
    </row>
    <row r="560" spans="3:5" x14ac:dyDescent="0.25">
      <c r="C560" s="2" t="s">
        <v>76</v>
      </c>
      <c r="E560" s="2" t="s">
        <v>70</v>
      </c>
    </row>
    <row r="561" spans="3:5" x14ac:dyDescent="0.25">
      <c r="C561" s="2" t="s">
        <v>73</v>
      </c>
      <c r="E561" s="2" t="s">
        <v>61</v>
      </c>
    </row>
    <row r="562" spans="3:5" x14ac:dyDescent="0.25">
      <c r="C562" s="2" t="s">
        <v>38</v>
      </c>
      <c r="E562" s="2" t="s">
        <v>34</v>
      </c>
    </row>
    <row r="563" spans="3:5" x14ac:dyDescent="0.25">
      <c r="C563" s="2" t="s">
        <v>38</v>
      </c>
      <c r="E563" s="2" t="s">
        <v>34</v>
      </c>
    </row>
    <row r="564" spans="3:5" x14ac:dyDescent="0.25">
      <c r="C564" s="2" t="s">
        <v>49</v>
      </c>
      <c r="E564" s="2" t="s">
        <v>34</v>
      </c>
    </row>
    <row r="565" spans="3:5" x14ac:dyDescent="0.25">
      <c r="C565" s="2" t="s">
        <v>76</v>
      </c>
      <c r="E565" s="2"/>
    </row>
    <row r="566" spans="3:5" x14ac:dyDescent="0.25">
      <c r="C566" s="2" t="s">
        <v>67</v>
      </c>
      <c r="E566" s="2" t="s">
        <v>70</v>
      </c>
    </row>
    <row r="567" spans="3:5" x14ac:dyDescent="0.25">
      <c r="C567" s="2" t="s">
        <v>73</v>
      </c>
      <c r="E567" s="2" t="s">
        <v>34</v>
      </c>
    </row>
    <row r="568" spans="3:5" x14ac:dyDescent="0.25">
      <c r="C568" s="2" t="s">
        <v>108</v>
      </c>
      <c r="E568" s="2" t="s">
        <v>34</v>
      </c>
    </row>
    <row r="569" spans="3:5" x14ac:dyDescent="0.25">
      <c r="C569" s="2" t="s">
        <v>49</v>
      </c>
      <c r="E569" s="2" t="s">
        <v>1248</v>
      </c>
    </row>
    <row r="570" spans="3:5" x14ac:dyDescent="0.25">
      <c r="C570" s="2" t="s">
        <v>43</v>
      </c>
      <c r="E570" s="2" t="s">
        <v>34</v>
      </c>
    </row>
    <row r="571" spans="3:5" x14ac:dyDescent="0.25">
      <c r="C571" s="2" t="s">
        <v>31</v>
      </c>
      <c r="E571" s="2" t="s">
        <v>34</v>
      </c>
    </row>
    <row r="572" spans="3:5" x14ac:dyDescent="0.25">
      <c r="C572" s="2" t="s">
        <v>31</v>
      </c>
      <c r="E572" s="2" t="s">
        <v>34</v>
      </c>
    </row>
    <row r="573" spans="3:5" x14ac:dyDescent="0.25">
      <c r="C573" s="2" t="s">
        <v>43</v>
      </c>
      <c r="E573" s="2" t="s">
        <v>40</v>
      </c>
    </row>
    <row r="574" spans="3:5" x14ac:dyDescent="0.25">
      <c r="C574" s="2" t="s">
        <v>31</v>
      </c>
      <c r="E574" s="2" t="s">
        <v>61</v>
      </c>
    </row>
    <row r="575" spans="3:5" x14ac:dyDescent="0.25">
      <c r="C575" s="2" t="s">
        <v>31</v>
      </c>
      <c r="E575" s="2" t="s">
        <v>34</v>
      </c>
    </row>
    <row r="576" spans="3:5" x14ac:dyDescent="0.25">
      <c r="C576" s="2" t="s">
        <v>396</v>
      </c>
      <c r="E576" s="2" t="s">
        <v>34</v>
      </c>
    </row>
    <row r="577" spans="3:5" x14ac:dyDescent="0.25">
      <c r="C577" s="2" t="s">
        <v>73</v>
      </c>
      <c r="E577" s="2"/>
    </row>
    <row r="578" spans="3:5" x14ac:dyDescent="0.25">
      <c r="C578" s="2" t="s">
        <v>43</v>
      </c>
      <c r="E578" s="2" t="s">
        <v>40</v>
      </c>
    </row>
    <row r="579" spans="3:5" x14ac:dyDescent="0.25">
      <c r="C579" s="2" t="s">
        <v>38</v>
      </c>
      <c r="E579" s="2" t="s">
        <v>34</v>
      </c>
    </row>
    <row r="580" spans="3:5" x14ac:dyDescent="0.25">
      <c r="C580" s="2" t="s">
        <v>67</v>
      </c>
      <c r="E580" s="2" t="s">
        <v>34</v>
      </c>
    </row>
    <row r="581" spans="3:5" x14ac:dyDescent="0.25">
      <c r="C581" s="2" t="s">
        <v>43</v>
      </c>
      <c r="E581" s="2"/>
    </row>
    <row r="582" spans="3:5" x14ac:dyDescent="0.25">
      <c r="C582" s="2" t="s">
        <v>73</v>
      </c>
      <c r="E582" s="2"/>
    </row>
    <row r="583" spans="3:5" x14ac:dyDescent="0.25">
      <c r="C583" s="2" t="s">
        <v>43</v>
      </c>
      <c r="E583" s="2"/>
    </row>
    <row r="584" spans="3:5" x14ac:dyDescent="0.25">
      <c r="C584" s="2" t="s">
        <v>396</v>
      </c>
      <c r="E584" s="2"/>
    </row>
    <row r="585" spans="3:5" x14ac:dyDescent="0.25">
      <c r="C585" s="2" t="s">
        <v>73</v>
      </c>
      <c r="E585" s="2" t="s">
        <v>34</v>
      </c>
    </row>
    <row r="586" spans="3:5" x14ac:dyDescent="0.25">
      <c r="C586" s="2" t="s">
        <v>137</v>
      </c>
      <c r="E586" s="2"/>
    </row>
    <row r="587" spans="3:5" x14ac:dyDescent="0.25">
      <c r="C587" s="2" t="s">
        <v>67</v>
      </c>
      <c r="E587" s="2" t="s">
        <v>34</v>
      </c>
    </row>
    <row r="588" spans="3:5" x14ac:dyDescent="0.25">
      <c r="C588" s="2" t="s">
        <v>137</v>
      </c>
      <c r="E588" s="2"/>
    </row>
    <row r="589" spans="3:5" x14ac:dyDescent="0.25">
      <c r="C589" s="2" t="s">
        <v>43</v>
      </c>
      <c r="E589" s="2" t="s">
        <v>34</v>
      </c>
    </row>
    <row r="590" spans="3:5" x14ac:dyDescent="0.25">
      <c r="C590" s="2" t="s">
        <v>38</v>
      </c>
      <c r="E590" s="2"/>
    </row>
    <row r="591" spans="3:5" x14ac:dyDescent="0.25">
      <c r="C591" s="2" t="s">
        <v>43</v>
      </c>
      <c r="E591" s="2" t="s">
        <v>58</v>
      </c>
    </row>
    <row r="592" spans="3:5" x14ac:dyDescent="0.25">
      <c r="C592" s="2" t="s">
        <v>38</v>
      </c>
      <c r="E592" s="2" t="s">
        <v>34</v>
      </c>
    </row>
    <row r="593" spans="3:5" x14ac:dyDescent="0.25">
      <c r="C593" s="2" t="s">
        <v>396</v>
      </c>
      <c r="E593" s="2"/>
    </row>
    <row r="594" spans="3:5" x14ac:dyDescent="0.25">
      <c r="C594" s="2" t="s">
        <v>137</v>
      </c>
      <c r="E594" s="2" t="s">
        <v>40</v>
      </c>
    </row>
    <row r="595" spans="3:5" x14ac:dyDescent="0.25">
      <c r="C595" s="2" t="s">
        <v>76</v>
      </c>
      <c r="E595" s="2"/>
    </row>
    <row r="596" spans="3:5" x14ac:dyDescent="0.25">
      <c r="C596" s="2"/>
      <c r="E596" s="2" t="s">
        <v>77</v>
      </c>
    </row>
    <row r="597" spans="3:5" x14ac:dyDescent="0.25">
      <c r="C597" s="2" t="s">
        <v>49</v>
      </c>
      <c r="E597" s="2" t="s">
        <v>40</v>
      </c>
    </row>
    <row r="598" spans="3:5" x14ac:dyDescent="0.25">
      <c r="C598" s="2" t="s">
        <v>137</v>
      </c>
      <c r="E598" s="2" t="s">
        <v>70</v>
      </c>
    </row>
    <row r="599" spans="3:5" x14ac:dyDescent="0.25">
      <c r="C599" s="2" t="s">
        <v>49</v>
      </c>
      <c r="E599" s="2" t="s">
        <v>34</v>
      </c>
    </row>
    <row r="600" spans="3:5" x14ac:dyDescent="0.25">
      <c r="C600" s="2" t="s">
        <v>396</v>
      </c>
      <c r="E600" s="2"/>
    </row>
    <row r="601" spans="3:5" x14ac:dyDescent="0.25">
      <c r="C601" s="2" t="s">
        <v>49</v>
      </c>
      <c r="E601" s="2" t="s">
        <v>46</v>
      </c>
    </row>
    <row r="602" spans="3:5" x14ac:dyDescent="0.25">
      <c r="C602" s="2" t="s">
        <v>38</v>
      </c>
      <c r="E602" s="2"/>
    </row>
    <row r="603" spans="3:5" x14ac:dyDescent="0.25">
      <c r="C603" s="2" t="s">
        <v>31</v>
      </c>
      <c r="E603" s="2" t="s">
        <v>34</v>
      </c>
    </row>
    <row r="604" spans="3:5" x14ac:dyDescent="0.25">
      <c r="C604" s="2" t="s">
        <v>137</v>
      </c>
      <c r="E604" s="2"/>
    </row>
    <row r="605" spans="3:5" x14ac:dyDescent="0.25">
      <c r="C605" s="2" t="s">
        <v>76</v>
      </c>
      <c r="E605" s="2" t="s">
        <v>34</v>
      </c>
    </row>
    <row r="606" spans="3:5" x14ac:dyDescent="0.25">
      <c r="C606" s="2" t="s">
        <v>137</v>
      </c>
      <c r="E606" s="2" t="s">
        <v>77</v>
      </c>
    </row>
    <row r="607" spans="3:5" x14ac:dyDescent="0.25">
      <c r="C607" s="2" t="s">
        <v>49</v>
      </c>
      <c r="E607" s="2" t="s">
        <v>34</v>
      </c>
    </row>
    <row r="608" spans="3:5" x14ac:dyDescent="0.25">
      <c r="C608" s="2" t="s">
        <v>137</v>
      </c>
      <c r="E608" s="2" t="s">
        <v>34</v>
      </c>
    </row>
    <row r="609" spans="3:5" x14ac:dyDescent="0.25">
      <c r="C609" s="2" t="s">
        <v>31</v>
      </c>
      <c r="E609" s="2" t="s">
        <v>34</v>
      </c>
    </row>
    <row r="610" spans="3:5" x14ac:dyDescent="0.25">
      <c r="C610" s="2" t="s">
        <v>43</v>
      </c>
      <c r="E610" s="2"/>
    </row>
    <row r="611" spans="3:5" x14ac:dyDescent="0.25">
      <c r="C611" s="2" t="s">
        <v>43</v>
      </c>
      <c r="E611" s="2"/>
    </row>
    <row r="612" spans="3:5" x14ac:dyDescent="0.25">
      <c r="C612" s="2" t="s">
        <v>73</v>
      </c>
      <c r="E612" s="2"/>
    </row>
    <row r="613" spans="3:5" x14ac:dyDescent="0.25">
      <c r="C613" s="2" t="s">
        <v>73</v>
      </c>
      <c r="E613" s="2"/>
    </row>
    <row r="614" spans="3:5" x14ac:dyDescent="0.25">
      <c r="C614" s="2" t="s">
        <v>137</v>
      </c>
      <c r="E614" s="2" t="s">
        <v>58</v>
      </c>
    </row>
    <row r="615" spans="3:5" x14ac:dyDescent="0.25">
      <c r="C615" s="2" t="s">
        <v>38</v>
      </c>
      <c r="E615" s="2" t="s">
        <v>46</v>
      </c>
    </row>
    <row r="616" spans="3:5" x14ac:dyDescent="0.25">
      <c r="C616" s="2" t="s">
        <v>76</v>
      </c>
      <c r="E616" s="2" t="s">
        <v>46</v>
      </c>
    </row>
    <row r="617" spans="3:5" x14ac:dyDescent="0.25">
      <c r="C617" s="2" t="s">
        <v>76</v>
      </c>
      <c r="E617" s="2" t="s">
        <v>34</v>
      </c>
    </row>
    <row r="618" spans="3:5" x14ac:dyDescent="0.25">
      <c r="C618" s="2" t="s">
        <v>31</v>
      </c>
      <c r="E618" s="2" t="s">
        <v>34</v>
      </c>
    </row>
    <row r="619" spans="3:5" x14ac:dyDescent="0.25">
      <c r="C619" s="2" t="s">
        <v>43</v>
      </c>
      <c r="E619" s="2" t="s">
        <v>34</v>
      </c>
    </row>
    <row r="620" spans="3:5" x14ac:dyDescent="0.25">
      <c r="C620" s="2"/>
      <c r="E620" s="2" t="s">
        <v>34</v>
      </c>
    </row>
    <row r="621" spans="3:5" x14ac:dyDescent="0.25">
      <c r="C621" s="2" t="s">
        <v>396</v>
      </c>
      <c r="E621" s="2" t="s">
        <v>34</v>
      </c>
    </row>
    <row r="622" spans="3:5" x14ac:dyDescent="0.25">
      <c r="C622" s="2" t="s">
        <v>31</v>
      </c>
      <c r="E622" s="2" t="s">
        <v>77</v>
      </c>
    </row>
    <row r="623" spans="3:5" x14ac:dyDescent="0.25">
      <c r="C623" s="2" t="s">
        <v>396</v>
      </c>
      <c r="E623" s="2" t="s">
        <v>34</v>
      </c>
    </row>
    <row r="624" spans="3:5" x14ac:dyDescent="0.25">
      <c r="C624" s="2" t="s">
        <v>396</v>
      </c>
      <c r="E624" s="2"/>
    </row>
    <row r="625" spans="3:5" x14ac:dyDescent="0.25">
      <c r="C625" s="2" t="s">
        <v>137</v>
      </c>
      <c r="E625" s="2" t="s">
        <v>34</v>
      </c>
    </row>
    <row r="626" spans="3:5" x14ac:dyDescent="0.25">
      <c r="C626" s="2" t="s">
        <v>31</v>
      </c>
      <c r="E626" s="2" t="s">
        <v>34</v>
      </c>
    </row>
    <row r="627" spans="3:5" x14ac:dyDescent="0.25">
      <c r="C627" s="2" t="s">
        <v>43</v>
      </c>
      <c r="E627" s="2" t="s">
        <v>34</v>
      </c>
    </row>
    <row r="628" spans="3:5" x14ac:dyDescent="0.25">
      <c r="C628" s="2" t="s">
        <v>396</v>
      </c>
      <c r="E628" s="2" t="s">
        <v>34</v>
      </c>
    </row>
    <row r="629" spans="3:5" x14ac:dyDescent="0.25">
      <c r="C629" s="2" t="s">
        <v>396</v>
      </c>
      <c r="E629" s="2" t="s">
        <v>77</v>
      </c>
    </row>
    <row r="630" spans="3:5" x14ac:dyDescent="0.25">
      <c r="C630" s="2" t="s">
        <v>137</v>
      </c>
      <c r="E630" s="2" t="s">
        <v>34</v>
      </c>
    </row>
    <row r="631" spans="3:5" x14ac:dyDescent="0.25">
      <c r="C631" s="2" t="s">
        <v>31</v>
      </c>
      <c r="E631" s="2" t="s">
        <v>77</v>
      </c>
    </row>
    <row r="632" spans="3:5" x14ac:dyDescent="0.25">
      <c r="C632" s="2" t="s">
        <v>137</v>
      </c>
      <c r="E632" s="2" t="s">
        <v>77</v>
      </c>
    </row>
    <row r="633" spans="3:5" x14ac:dyDescent="0.25">
      <c r="C633" s="2" t="s">
        <v>43</v>
      </c>
      <c r="E633" s="2" t="s">
        <v>70</v>
      </c>
    </row>
    <row r="634" spans="3:5" x14ac:dyDescent="0.25">
      <c r="C634" s="2" t="s">
        <v>76</v>
      </c>
      <c r="E634" s="2" t="s">
        <v>34</v>
      </c>
    </row>
    <row r="635" spans="3:5" x14ac:dyDescent="0.25">
      <c r="C635" s="2" t="s">
        <v>67</v>
      </c>
      <c r="E635" s="2" t="s">
        <v>70</v>
      </c>
    </row>
    <row r="636" spans="3:5" x14ac:dyDescent="0.25">
      <c r="C636" s="2" t="s">
        <v>73</v>
      </c>
      <c r="E636" s="2" t="s">
        <v>70</v>
      </c>
    </row>
    <row r="637" spans="3:5" x14ac:dyDescent="0.25">
      <c r="C637" s="2" t="s">
        <v>31</v>
      </c>
      <c r="E637" s="2" t="s">
        <v>34</v>
      </c>
    </row>
    <row r="638" spans="3:5" x14ac:dyDescent="0.25">
      <c r="C638" s="2" t="s">
        <v>73</v>
      </c>
      <c r="E638" s="2" t="s">
        <v>46</v>
      </c>
    </row>
    <row r="639" spans="3:5" x14ac:dyDescent="0.25">
      <c r="C639" s="2" t="s">
        <v>73</v>
      </c>
      <c r="E639" s="2" t="s">
        <v>46</v>
      </c>
    </row>
    <row r="640" spans="3:5" x14ac:dyDescent="0.25">
      <c r="C640" s="2" t="s">
        <v>76</v>
      </c>
      <c r="E640" s="2" t="s">
        <v>61</v>
      </c>
    </row>
    <row r="641" spans="3:5" x14ac:dyDescent="0.25">
      <c r="C641" s="2" t="s">
        <v>76</v>
      </c>
      <c r="E641" s="2" t="s">
        <v>61</v>
      </c>
    </row>
    <row r="642" spans="3:5" x14ac:dyDescent="0.25">
      <c r="C642" s="2" t="s">
        <v>76</v>
      </c>
      <c r="E642" s="2" t="s">
        <v>70</v>
      </c>
    </row>
    <row r="643" spans="3:5" x14ac:dyDescent="0.25">
      <c r="C643" s="2" t="s">
        <v>76</v>
      </c>
      <c r="E643" s="2" t="s">
        <v>34</v>
      </c>
    </row>
    <row r="644" spans="3:5" x14ac:dyDescent="0.25">
      <c r="C644" s="2" t="s">
        <v>31</v>
      </c>
      <c r="E644" s="2" t="s">
        <v>70</v>
      </c>
    </row>
    <row r="645" spans="3:5" x14ac:dyDescent="0.25">
      <c r="C645" s="2" t="s">
        <v>31</v>
      </c>
      <c r="E645" s="2" t="s">
        <v>70</v>
      </c>
    </row>
    <row r="646" spans="3:5" x14ac:dyDescent="0.25">
      <c r="C646" s="2" t="s">
        <v>31</v>
      </c>
      <c r="E646" s="2" t="s">
        <v>34</v>
      </c>
    </row>
    <row r="647" spans="3:5" x14ac:dyDescent="0.25">
      <c r="C647" s="2" t="s">
        <v>49</v>
      </c>
      <c r="E647" s="2" t="s">
        <v>34</v>
      </c>
    </row>
    <row r="648" spans="3:5" x14ac:dyDescent="0.25">
      <c r="C648" s="2" t="s">
        <v>49</v>
      </c>
      <c r="E648" s="2" t="s">
        <v>34</v>
      </c>
    </row>
    <row r="649" spans="3:5" x14ac:dyDescent="0.25">
      <c r="C649" s="2" t="s">
        <v>137</v>
      </c>
      <c r="E649" s="2" t="s">
        <v>34</v>
      </c>
    </row>
    <row r="650" spans="3:5" x14ac:dyDescent="0.25">
      <c r="C650" s="2" t="s">
        <v>38</v>
      </c>
      <c r="E650" s="2" t="s">
        <v>58</v>
      </c>
    </row>
    <row r="651" spans="3:5" x14ac:dyDescent="0.25">
      <c r="C651" s="2" t="s">
        <v>38</v>
      </c>
      <c r="E651" s="2" t="s">
        <v>34</v>
      </c>
    </row>
    <row r="652" spans="3:5" x14ac:dyDescent="0.25">
      <c r="C652" s="2" t="s">
        <v>38</v>
      </c>
      <c r="E652" s="2" t="s">
        <v>34</v>
      </c>
    </row>
    <row r="653" spans="3:5" x14ac:dyDescent="0.25">
      <c r="C653" s="2" t="s">
        <v>43</v>
      </c>
      <c r="E653" s="2" t="s">
        <v>34</v>
      </c>
    </row>
    <row r="654" spans="3:5" x14ac:dyDescent="0.25">
      <c r="C654" s="2" t="s">
        <v>38</v>
      </c>
      <c r="E654" s="2" t="s">
        <v>34</v>
      </c>
    </row>
    <row r="655" spans="3:5" x14ac:dyDescent="0.25">
      <c r="C655" s="2" t="s">
        <v>31</v>
      </c>
      <c r="E655" s="2" t="s">
        <v>34</v>
      </c>
    </row>
    <row r="656" spans="3:5" x14ac:dyDescent="0.25">
      <c r="C656" s="2" t="s">
        <v>31</v>
      </c>
      <c r="E656" s="2" t="s">
        <v>34</v>
      </c>
    </row>
    <row r="657" spans="3:5" x14ac:dyDescent="0.25">
      <c r="C657" s="2" t="s">
        <v>31</v>
      </c>
      <c r="E657" s="2" t="s">
        <v>34</v>
      </c>
    </row>
    <row r="658" spans="3:5" x14ac:dyDescent="0.25">
      <c r="C658" s="2" t="s">
        <v>43</v>
      </c>
      <c r="E658" s="2" t="s">
        <v>70</v>
      </c>
    </row>
    <row r="659" spans="3:5" x14ac:dyDescent="0.25">
      <c r="C659" s="2" t="s">
        <v>76</v>
      </c>
      <c r="E659" s="2" t="s">
        <v>46</v>
      </c>
    </row>
    <row r="660" spans="3:5" x14ac:dyDescent="0.25">
      <c r="C660" s="2" t="s">
        <v>76</v>
      </c>
      <c r="E660" s="2" t="s">
        <v>58</v>
      </c>
    </row>
    <row r="661" spans="3:5" x14ac:dyDescent="0.25">
      <c r="C661" s="2" t="s">
        <v>73</v>
      </c>
      <c r="E661" s="2" t="s">
        <v>61</v>
      </c>
    </row>
    <row r="662" spans="3:5" x14ac:dyDescent="0.25">
      <c r="C662" s="2" t="s">
        <v>73</v>
      </c>
      <c r="E662" s="2" t="s">
        <v>34</v>
      </c>
    </row>
    <row r="663" spans="3:5" x14ac:dyDescent="0.25">
      <c r="C663" s="2" t="s">
        <v>73</v>
      </c>
      <c r="E663" s="2" t="s">
        <v>34</v>
      </c>
    </row>
    <row r="664" spans="3:5" x14ac:dyDescent="0.25">
      <c r="C664" s="2" t="s">
        <v>31</v>
      </c>
      <c r="E664" s="2" t="s">
        <v>34</v>
      </c>
    </row>
    <row r="665" spans="3:5" x14ac:dyDescent="0.25">
      <c r="C665" s="2" t="s">
        <v>76</v>
      </c>
      <c r="E665" s="2" t="s">
        <v>34</v>
      </c>
    </row>
    <row r="666" spans="3:5" x14ac:dyDescent="0.25">
      <c r="C666" s="2" t="s">
        <v>38</v>
      </c>
      <c r="E666" s="2" t="s">
        <v>70</v>
      </c>
    </row>
    <row r="667" spans="3:5" x14ac:dyDescent="0.25">
      <c r="C667" s="2" t="s">
        <v>49</v>
      </c>
      <c r="E667" s="2" t="s">
        <v>34</v>
      </c>
    </row>
    <row r="668" spans="3:5" x14ac:dyDescent="0.25">
      <c r="C668" s="2" t="s">
        <v>38</v>
      </c>
      <c r="E668" s="2" t="s">
        <v>70</v>
      </c>
    </row>
    <row r="669" spans="3:5" x14ac:dyDescent="0.25">
      <c r="C669" s="2" t="s">
        <v>31</v>
      </c>
      <c r="E669" s="2" t="s">
        <v>61</v>
      </c>
    </row>
    <row r="670" spans="3:5" x14ac:dyDescent="0.25">
      <c r="C670" s="2" t="s">
        <v>38</v>
      </c>
      <c r="E670" s="2" t="s">
        <v>34</v>
      </c>
    </row>
    <row r="671" spans="3:5" x14ac:dyDescent="0.25">
      <c r="C671" s="2" t="s">
        <v>43</v>
      </c>
      <c r="E671" s="2" t="s">
        <v>34</v>
      </c>
    </row>
    <row r="672" spans="3:5" x14ac:dyDescent="0.25">
      <c r="C672" s="2" t="s">
        <v>31</v>
      </c>
      <c r="E672" s="2" t="s">
        <v>34</v>
      </c>
    </row>
    <row r="673" spans="3:5" x14ac:dyDescent="0.25">
      <c r="C673" s="2" t="s">
        <v>49</v>
      </c>
      <c r="E673" s="2" t="s">
        <v>34</v>
      </c>
    </row>
    <row r="674" spans="3:5" x14ac:dyDescent="0.25">
      <c r="C674" s="2" t="s">
        <v>49</v>
      </c>
      <c r="E674" s="2" t="s">
        <v>34</v>
      </c>
    </row>
    <row r="675" spans="3:5" x14ac:dyDescent="0.25">
      <c r="C675" s="2" t="s">
        <v>43</v>
      </c>
      <c r="E675" s="2" t="s">
        <v>34</v>
      </c>
    </row>
    <row r="676" spans="3:5" x14ac:dyDescent="0.25">
      <c r="C676" s="2" t="s">
        <v>38</v>
      </c>
      <c r="E676" s="2" t="s">
        <v>34</v>
      </c>
    </row>
    <row r="677" spans="3:5" x14ac:dyDescent="0.25">
      <c r="C677" s="2" t="s">
        <v>38</v>
      </c>
      <c r="E677" s="2" t="s">
        <v>34</v>
      </c>
    </row>
    <row r="678" spans="3:5" x14ac:dyDescent="0.25">
      <c r="C678" s="2" t="s">
        <v>38</v>
      </c>
      <c r="E678" s="2" t="s">
        <v>34</v>
      </c>
    </row>
    <row r="679" spans="3:5" x14ac:dyDescent="0.25">
      <c r="C679" s="2" t="s">
        <v>38</v>
      </c>
      <c r="E679" s="2" t="s">
        <v>34</v>
      </c>
    </row>
    <row r="680" spans="3:5" x14ac:dyDescent="0.25">
      <c r="C680" s="2" t="s">
        <v>43</v>
      </c>
      <c r="E680" s="2" t="s">
        <v>34</v>
      </c>
    </row>
    <row r="681" spans="3:5" x14ac:dyDescent="0.25">
      <c r="C681" s="2" t="s">
        <v>38</v>
      </c>
      <c r="E681" s="2" t="s">
        <v>34</v>
      </c>
    </row>
    <row r="682" spans="3:5" x14ac:dyDescent="0.25">
      <c r="C682" s="2" t="s">
        <v>396</v>
      </c>
      <c r="E682" s="2" t="s">
        <v>34</v>
      </c>
    </row>
    <row r="683" spans="3:5" x14ac:dyDescent="0.25">
      <c r="C683" s="2" t="s">
        <v>49</v>
      </c>
      <c r="E683" s="2" t="s">
        <v>34</v>
      </c>
    </row>
    <row r="684" spans="3:5" x14ac:dyDescent="0.25">
      <c r="C684" s="2" t="s">
        <v>38</v>
      </c>
      <c r="E684" s="2"/>
    </row>
    <row r="685" spans="3:5" x14ac:dyDescent="0.25">
      <c r="C685" s="2" t="s">
        <v>38</v>
      </c>
      <c r="E685" s="2"/>
    </row>
    <row r="686" spans="3:5" x14ac:dyDescent="0.25">
      <c r="C686" s="2" t="s">
        <v>49</v>
      </c>
      <c r="E686" s="2" t="s">
        <v>70</v>
      </c>
    </row>
    <row r="687" spans="3:5" x14ac:dyDescent="0.25">
      <c r="C687" s="2" t="s">
        <v>137</v>
      </c>
      <c r="E687" s="2"/>
    </row>
    <row r="688" spans="3:5" x14ac:dyDescent="0.25">
      <c r="C688" s="2" t="s">
        <v>396</v>
      </c>
      <c r="E688" s="2" t="s">
        <v>34</v>
      </c>
    </row>
    <row r="689" spans="3:5" x14ac:dyDescent="0.25">
      <c r="C689" s="2" t="s">
        <v>38</v>
      </c>
      <c r="E689" s="2" t="s">
        <v>34</v>
      </c>
    </row>
    <row r="690" spans="3:5" x14ac:dyDescent="0.25">
      <c r="C690" s="2" t="s">
        <v>38</v>
      </c>
      <c r="E690" s="2"/>
    </row>
    <row r="691" spans="3:5" x14ac:dyDescent="0.25">
      <c r="C691" s="2" t="s">
        <v>38</v>
      </c>
      <c r="E691" s="2"/>
    </row>
    <row r="692" spans="3:5" x14ac:dyDescent="0.25">
      <c r="C692" s="2" t="s">
        <v>31</v>
      </c>
      <c r="E692" s="2" t="s">
        <v>34</v>
      </c>
    </row>
    <row r="693" spans="3:5" x14ac:dyDescent="0.25">
      <c r="C693" s="2" t="s">
        <v>396</v>
      </c>
      <c r="E693" s="2" t="s">
        <v>34</v>
      </c>
    </row>
    <row r="694" spans="3:5" x14ac:dyDescent="0.25">
      <c r="C694" s="2" t="s">
        <v>76</v>
      </c>
      <c r="E694" s="2" t="s">
        <v>70</v>
      </c>
    </row>
    <row r="695" spans="3:5" x14ac:dyDescent="0.25">
      <c r="C695" s="2" t="s">
        <v>49</v>
      </c>
      <c r="E695" s="2"/>
    </row>
    <row r="696" spans="3:5" x14ac:dyDescent="0.25">
      <c r="C696" s="2" t="s">
        <v>31</v>
      </c>
      <c r="E696" s="2" t="s">
        <v>34</v>
      </c>
    </row>
    <row r="697" spans="3:5" x14ac:dyDescent="0.25">
      <c r="C697" s="2" t="s">
        <v>31</v>
      </c>
      <c r="E697" s="2" t="s">
        <v>70</v>
      </c>
    </row>
    <row r="698" spans="3:5" x14ac:dyDescent="0.25">
      <c r="C698" s="2" t="s">
        <v>43</v>
      </c>
      <c r="E698" s="2"/>
    </row>
    <row r="699" spans="3:5" x14ac:dyDescent="0.25">
      <c r="C699" s="2" t="s">
        <v>38</v>
      </c>
      <c r="E699" s="2"/>
    </row>
    <row r="700" spans="3:5" x14ac:dyDescent="0.25">
      <c r="C700" s="2" t="s">
        <v>38</v>
      </c>
      <c r="E700" s="2"/>
    </row>
    <row r="701" spans="3:5" x14ac:dyDescent="0.25">
      <c r="C701" s="2" t="s">
        <v>38</v>
      </c>
      <c r="E701" s="2"/>
    </row>
    <row r="702" spans="3:5" x14ac:dyDescent="0.25">
      <c r="C702" s="2" t="s">
        <v>38</v>
      </c>
      <c r="E702" s="2"/>
    </row>
    <row r="703" spans="3:5" x14ac:dyDescent="0.25">
      <c r="C703" s="2" t="s">
        <v>38</v>
      </c>
      <c r="E703" s="2"/>
    </row>
    <row r="704" spans="3:5" x14ac:dyDescent="0.25">
      <c r="C704" s="2" t="s">
        <v>38</v>
      </c>
      <c r="E704" s="2"/>
    </row>
    <row r="705" spans="3:5" x14ac:dyDescent="0.25">
      <c r="C705" s="2" t="s">
        <v>38</v>
      </c>
      <c r="E705" s="2"/>
    </row>
    <row r="706" spans="3:5" x14ac:dyDescent="0.25">
      <c r="C706" s="2" t="s">
        <v>38</v>
      </c>
      <c r="E706" s="2"/>
    </row>
    <row r="707" spans="3:5" x14ac:dyDescent="0.25">
      <c r="C707" s="2" t="s">
        <v>49</v>
      </c>
      <c r="E707" s="2"/>
    </row>
    <row r="708" spans="3:5" x14ac:dyDescent="0.25">
      <c r="C708" s="2" t="s">
        <v>38</v>
      </c>
      <c r="E708" s="2"/>
    </row>
    <row r="709" spans="3:5" x14ac:dyDescent="0.25">
      <c r="C709" s="2" t="s">
        <v>38</v>
      </c>
      <c r="E709" s="2"/>
    </row>
    <row r="710" spans="3:5" x14ac:dyDescent="0.25">
      <c r="C710" s="2" t="s">
        <v>76</v>
      </c>
      <c r="E710" s="2"/>
    </row>
    <row r="711" spans="3:5" x14ac:dyDescent="0.25">
      <c r="C711" s="2" t="s">
        <v>38</v>
      </c>
      <c r="E711" s="2" t="s">
        <v>34</v>
      </c>
    </row>
    <row r="712" spans="3:5" x14ac:dyDescent="0.25">
      <c r="C712" s="2" t="s">
        <v>31</v>
      </c>
      <c r="E712" s="2" t="s">
        <v>70</v>
      </c>
    </row>
    <row r="713" spans="3:5" x14ac:dyDescent="0.25">
      <c r="C713" s="2" t="s">
        <v>396</v>
      </c>
      <c r="E713" s="2" t="s">
        <v>34</v>
      </c>
    </row>
    <row r="714" spans="3:5" x14ac:dyDescent="0.25">
      <c r="C714" s="2" t="s">
        <v>137</v>
      </c>
      <c r="E714" s="2" t="s">
        <v>34</v>
      </c>
    </row>
    <row r="715" spans="3:5" x14ac:dyDescent="0.25">
      <c r="C715" s="2" t="s">
        <v>38</v>
      </c>
      <c r="E715" s="2" t="s">
        <v>34</v>
      </c>
    </row>
    <row r="716" spans="3:5" x14ac:dyDescent="0.25">
      <c r="C716" s="2" t="s">
        <v>38</v>
      </c>
      <c r="E716" s="2" t="s">
        <v>34</v>
      </c>
    </row>
    <row r="717" spans="3:5" x14ac:dyDescent="0.25">
      <c r="C717" s="2" t="s">
        <v>38</v>
      </c>
      <c r="E717" s="2" t="s">
        <v>34</v>
      </c>
    </row>
    <row r="718" spans="3:5" x14ac:dyDescent="0.25">
      <c r="C718" s="2" t="s">
        <v>137</v>
      </c>
      <c r="E718" s="2" t="s">
        <v>34</v>
      </c>
    </row>
    <row r="719" spans="3:5" x14ac:dyDescent="0.25">
      <c r="C719" s="2" t="s">
        <v>38</v>
      </c>
      <c r="E719" s="2" t="s">
        <v>34</v>
      </c>
    </row>
    <row r="720" spans="3:5" x14ac:dyDescent="0.25">
      <c r="C720" s="2" t="s">
        <v>73</v>
      </c>
      <c r="E720" s="2" t="s">
        <v>77</v>
      </c>
    </row>
    <row r="721" spans="3:5" x14ac:dyDescent="0.25">
      <c r="C721" s="2" t="s">
        <v>38</v>
      </c>
      <c r="E721" s="2" t="s">
        <v>34</v>
      </c>
    </row>
    <row r="722" spans="3:5" x14ac:dyDescent="0.25">
      <c r="C722" s="2" t="s">
        <v>396</v>
      </c>
      <c r="E722" s="2" t="s">
        <v>34</v>
      </c>
    </row>
    <row r="723" spans="3:5" x14ac:dyDescent="0.25">
      <c r="C723" s="2" t="s">
        <v>396</v>
      </c>
      <c r="E723" s="2" t="s">
        <v>34</v>
      </c>
    </row>
    <row r="724" spans="3:5" x14ac:dyDescent="0.25">
      <c r="C724" s="2" t="s">
        <v>396</v>
      </c>
      <c r="E724" s="2" t="s">
        <v>34</v>
      </c>
    </row>
    <row r="725" spans="3:5" x14ac:dyDescent="0.25">
      <c r="C725" s="2" t="s">
        <v>396</v>
      </c>
      <c r="E725" s="2" t="s">
        <v>46</v>
      </c>
    </row>
    <row r="726" spans="3:5" x14ac:dyDescent="0.25">
      <c r="C726" s="2" t="s">
        <v>137</v>
      </c>
      <c r="E726" s="2" t="s">
        <v>34</v>
      </c>
    </row>
    <row r="727" spans="3:5" x14ac:dyDescent="0.25">
      <c r="C727" s="2" t="s">
        <v>137</v>
      </c>
      <c r="E727" s="2" t="s">
        <v>34</v>
      </c>
    </row>
    <row r="728" spans="3:5" x14ac:dyDescent="0.25">
      <c r="C728" s="2" t="s">
        <v>38</v>
      </c>
      <c r="E728" s="2" t="s">
        <v>34</v>
      </c>
    </row>
    <row r="729" spans="3:5" x14ac:dyDescent="0.25">
      <c r="C729" s="2" t="s">
        <v>31</v>
      </c>
      <c r="E729" s="2" t="s">
        <v>61</v>
      </c>
    </row>
    <row r="730" spans="3:5" x14ac:dyDescent="0.25">
      <c r="C730" s="2" t="s">
        <v>31</v>
      </c>
      <c r="E730" s="2" t="s">
        <v>34</v>
      </c>
    </row>
    <row r="731" spans="3:5" x14ac:dyDescent="0.25">
      <c r="C731" s="2" t="s">
        <v>137</v>
      </c>
      <c r="E731" s="2" t="s">
        <v>70</v>
      </c>
    </row>
    <row r="732" spans="3:5" x14ac:dyDescent="0.25">
      <c r="C732" s="2" t="s">
        <v>76</v>
      </c>
      <c r="E732" s="2" t="s">
        <v>34</v>
      </c>
    </row>
    <row r="733" spans="3:5" x14ac:dyDescent="0.25">
      <c r="C733" s="2" t="s">
        <v>396</v>
      </c>
      <c r="E733" s="2"/>
    </row>
    <row r="734" spans="3:5" x14ac:dyDescent="0.25">
      <c r="C734" s="2" t="s">
        <v>100</v>
      </c>
      <c r="E734" s="2"/>
    </row>
    <row r="735" spans="3:5" x14ac:dyDescent="0.25">
      <c r="C735" s="2" t="s">
        <v>73</v>
      </c>
      <c r="E735" s="2" t="s">
        <v>61</v>
      </c>
    </row>
    <row r="736" spans="3:5" x14ac:dyDescent="0.25">
      <c r="C736" s="2" t="s">
        <v>38</v>
      </c>
      <c r="E736" s="2" t="s">
        <v>77</v>
      </c>
    </row>
    <row r="737" spans="3:5" x14ac:dyDescent="0.25">
      <c r="C737" s="2" t="s">
        <v>73</v>
      </c>
      <c r="E737" s="2" t="s">
        <v>1593</v>
      </c>
    </row>
    <row r="738" spans="3:5" x14ac:dyDescent="0.25">
      <c r="C738" s="2" t="s">
        <v>38</v>
      </c>
      <c r="E738" s="2" t="s">
        <v>77</v>
      </c>
    </row>
    <row r="739" spans="3:5" x14ac:dyDescent="0.25">
      <c r="C739" s="2" t="s">
        <v>43</v>
      </c>
      <c r="E739" s="2"/>
    </row>
    <row r="740" spans="3:5" x14ac:dyDescent="0.25">
      <c r="C740" s="2" t="s">
        <v>38</v>
      </c>
      <c r="E740" s="2" t="s">
        <v>34</v>
      </c>
    </row>
    <row r="741" spans="3:5" x14ac:dyDescent="0.25">
      <c r="C741" s="2" t="s">
        <v>43</v>
      </c>
      <c r="E741" s="2" t="s">
        <v>70</v>
      </c>
    </row>
    <row r="742" spans="3:5" x14ac:dyDescent="0.25">
      <c r="C742" s="2" t="s">
        <v>38</v>
      </c>
      <c r="E742" s="2" t="s">
        <v>34</v>
      </c>
    </row>
    <row r="743" spans="3:5" x14ac:dyDescent="0.25">
      <c r="C743" s="2" t="s">
        <v>396</v>
      </c>
      <c r="E743" s="2" t="s">
        <v>70</v>
      </c>
    </row>
    <row r="744" spans="3:5" x14ac:dyDescent="0.25">
      <c r="C744" s="2" t="s">
        <v>38</v>
      </c>
      <c r="E744" s="2" t="s">
        <v>34</v>
      </c>
    </row>
    <row r="745" spans="3:5" x14ac:dyDescent="0.25">
      <c r="C745" s="2" t="s">
        <v>137</v>
      </c>
      <c r="E745" s="2" t="s">
        <v>70</v>
      </c>
    </row>
    <row r="746" spans="3:5" x14ac:dyDescent="0.25">
      <c r="C746" s="2" t="s">
        <v>38</v>
      </c>
      <c r="E746" s="2" t="s">
        <v>34</v>
      </c>
    </row>
    <row r="747" spans="3:5" x14ac:dyDescent="0.25">
      <c r="C747" s="2" t="s">
        <v>76</v>
      </c>
      <c r="E747" s="2" t="s">
        <v>34</v>
      </c>
    </row>
    <row r="748" spans="3:5" x14ac:dyDescent="0.25">
      <c r="C748" s="2" t="s">
        <v>396</v>
      </c>
      <c r="E748" s="2" t="s">
        <v>34</v>
      </c>
    </row>
    <row r="749" spans="3:5" x14ac:dyDescent="0.25">
      <c r="C749" s="2" t="s">
        <v>137</v>
      </c>
      <c r="E749" s="2"/>
    </row>
    <row r="750" spans="3:5" x14ac:dyDescent="0.25">
      <c r="C750" s="2" t="s">
        <v>67</v>
      </c>
      <c r="E750" s="2" t="s">
        <v>61</v>
      </c>
    </row>
    <row r="751" spans="3:5" x14ac:dyDescent="0.25">
      <c r="C751" s="2" t="s">
        <v>43</v>
      </c>
      <c r="E751" s="2"/>
    </row>
    <row r="752" spans="3:5" x14ac:dyDescent="0.25">
      <c r="C752" s="2" t="s">
        <v>396</v>
      </c>
      <c r="E752" s="2"/>
    </row>
    <row r="753" spans="3:5" x14ac:dyDescent="0.25">
      <c r="C753" s="2" t="s">
        <v>38</v>
      </c>
      <c r="E753" s="2" t="s">
        <v>34</v>
      </c>
    </row>
    <row r="754" spans="3:5" x14ac:dyDescent="0.25">
      <c r="C754" s="2" t="s">
        <v>31</v>
      </c>
      <c r="E754" s="2" t="s">
        <v>34</v>
      </c>
    </row>
    <row r="755" spans="3:5" x14ac:dyDescent="0.25">
      <c r="C755" s="2" t="s">
        <v>38</v>
      </c>
      <c r="E755" s="2" t="s">
        <v>70</v>
      </c>
    </row>
    <row r="756" spans="3:5" x14ac:dyDescent="0.25">
      <c r="C756" s="2" t="s">
        <v>73</v>
      </c>
      <c r="E756" s="2" t="s">
        <v>34</v>
      </c>
    </row>
    <row r="757" spans="3:5" x14ac:dyDescent="0.25">
      <c r="C757" s="2" t="s">
        <v>38</v>
      </c>
      <c r="E757" s="2"/>
    </row>
    <row r="758" spans="3:5" x14ac:dyDescent="0.25">
      <c r="C758" s="2" t="s">
        <v>396</v>
      </c>
      <c r="E758" s="2" t="s">
        <v>909</v>
      </c>
    </row>
    <row r="759" spans="3:5" x14ac:dyDescent="0.25">
      <c r="C759" s="2" t="s">
        <v>38</v>
      </c>
      <c r="E759" s="2" t="s">
        <v>514</v>
      </c>
    </row>
    <row r="760" spans="3:5" x14ac:dyDescent="0.25">
      <c r="C760" s="2" t="s">
        <v>49</v>
      </c>
      <c r="E760" s="2" t="s">
        <v>34</v>
      </c>
    </row>
    <row r="761" spans="3:5" x14ac:dyDescent="0.25">
      <c r="C761" s="2" t="s">
        <v>38</v>
      </c>
      <c r="E761" s="2"/>
    </row>
    <row r="762" spans="3:5" x14ac:dyDescent="0.25">
      <c r="C762" s="2" t="s">
        <v>43</v>
      </c>
      <c r="E762" s="2" t="s">
        <v>34</v>
      </c>
    </row>
    <row r="763" spans="3:5" x14ac:dyDescent="0.25">
      <c r="C763" s="2" t="s">
        <v>137</v>
      </c>
      <c r="E763" s="2"/>
    </row>
    <row r="764" spans="3:5" x14ac:dyDescent="0.25">
      <c r="C764" s="2" t="s">
        <v>43</v>
      </c>
      <c r="E764" s="2" t="s">
        <v>34</v>
      </c>
    </row>
    <row r="765" spans="3:5" x14ac:dyDescent="0.25">
      <c r="C765" s="2" t="s">
        <v>396</v>
      </c>
      <c r="E765" s="2" t="s">
        <v>34</v>
      </c>
    </row>
    <row r="766" spans="3:5" x14ac:dyDescent="0.25">
      <c r="C766" s="2" t="s">
        <v>38</v>
      </c>
      <c r="E766" s="2" t="s">
        <v>34</v>
      </c>
    </row>
    <row r="767" spans="3:5" x14ac:dyDescent="0.25">
      <c r="C767" s="2" t="s">
        <v>137</v>
      </c>
      <c r="E767" s="2" t="s">
        <v>34</v>
      </c>
    </row>
    <row r="768" spans="3:5" x14ac:dyDescent="0.25">
      <c r="C768" s="2" t="s">
        <v>396</v>
      </c>
      <c r="E768" s="2" t="s">
        <v>70</v>
      </c>
    </row>
    <row r="769" spans="3:5" x14ac:dyDescent="0.25">
      <c r="C769" s="2" t="s">
        <v>73</v>
      </c>
      <c r="E769" s="2"/>
    </row>
    <row r="770" spans="3:5" x14ac:dyDescent="0.25">
      <c r="C770" s="2" t="s">
        <v>49</v>
      </c>
      <c r="E770" s="2" t="s">
        <v>34</v>
      </c>
    </row>
    <row r="771" spans="3:5" x14ac:dyDescent="0.25">
      <c r="C771" s="2" t="s">
        <v>43</v>
      </c>
      <c r="E771" s="2" t="s">
        <v>58</v>
      </c>
    </row>
    <row r="772" spans="3:5" x14ac:dyDescent="0.25">
      <c r="C772" s="2" t="s">
        <v>31</v>
      </c>
      <c r="E772" s="2"/>
    </row>
    <row r="773" spans="3:5" x14ac:dyDescent="0.25">
      <c r="C773" s="2" t="s">
        <v>137</v>
      </c>
      <c r="E773" s="2"/>
    </row>
    <row r="774" spans="3:5" x14ac:dyDescent="0.25">
      <c r="C774" s="2" t="s">
        <v>137</v>
      </c>
      <c r="E774" s="2" t="s">
        <v>34</v>
      </c>
    </row>
    <row r="775" spans="3:5" x14ac:dyDescent="0.25">
      <c r="C775" s="2" t="s">
        <v>43</v>
      </c>
      <c r="E775" s="2"/>
    </row>
    <row r="776" spans="3:5" x14ac:dyDescent="0.25">
      <c r="C776" s="2" t="s">
        <v>31</v>
      </c>
      <c r="E776" s="2"/>
    </row>
    <row r="777" spans="3:5" x14ac:dyDescent="0.25">
      <c r="C777" s="2" t="s">
        <v>137</v>
      </c>
      <c r="E777" s="2"/>
    </row>
    <row r="778" spans="3:5" x14ac:dyDescent="0.25">
      <c r="C778" s="2" t="s">
        <v>43</v>
      </c>
      <c r="E778" s="2" t="s">
        <v>61</v>
      </c>
    </row>
    <row r="779" spans="3:5" x14ac:dyDescent="0.25">
      <c r="C779" s="2" t="s">
        <v>396</v>
      </c>
      <c r="E779" s="2" t="s">
        <v>34</v>
      </c>
    </row>
    <row r="780" spans="3:5" x14ac:dyDescent="0.25">
      <c r="C780" s="2" t="s">
        <v>396</v>
      </c>
      <c r="E780" s="2" t="s">
        <v>34</v>
      </c>
    </row>
    <row r="781" spans="3:5" x14ac:dyDescent="0.25">
      <c r="C781" s="2" t="s">
        <v>137</v>
      </c>
      <c r="E781" s="2" t="s">
        <v>909</v>
      </c>
    </row>
    <row r="782" spans="3:5" x14ac:dyDescent="0.25">
      <c r="C782" s="2" t="s">
        <v>49</v>
      </c>
      <c r="E782" s="2"/>
    </row>
    <row r="783" spans="3:5" x14ac:dyDescent="0.25">
      <c r="C783" s="2" t="s">
        <v>396</v>
      </c>
      <c r="E783" s="2" t="s">
        <v>34</v>
      </c>
    </row>
    <row r="784" spans="3:5" x14ac:dyDescent="0.25">
      <c r="C784" s="2" t="s">
        <v>396</v>
      </c>
      <c r="E784" s="2" t="s">
        <v>34</v>
      </c>
    </row>
    <row r="785" spans="3:5" x14ac:dyDescent="0.25">
      <c r="C785" s="2" t="s">
        <v>137</v>
      </c>
      <c r="E785" s="2"/>
    </row>
    <row r="786" spans="3:5" x14ac:dyDescent="0.25">
      <c r="C786" s="2" t="s">
        <v>43</v>
      </c>
      <c r="E786" s="2"/>
    </row>
    <row r="787" spans="3:5" x14ac:dyDescent="0.25">
      <c r="C787" s="2" t="s">
        <v>67</v>
      </c>
      <c r="E787" s="2" t="s">
        <v>58</v>
      </c>
    </row>
    <row r="788" spans="3:5" x14ac:dyDescent="0.25">
      <c r="C788" s="2" t="s">
        <v>49</v>
      </c>
      <c r="E788" s="2" t="s">
        <v>61</v>
      </c>
    </row>
    <row r="789" spans="3:5" x14ac:dyDescent="0.25">
      <c r="C789" s="2" t="s">
        <v>38</v>
      </c>
      <c r="E789" s="2" t="s">
        <v>70</v>
      </c>
    </row>
    <row r="790" spans="3:5" x14ac:dyDescent="0.25">
      <c r="C790" s="2" t="s">
        <v>396</v>
      </c>
      <c r="E790" s="2" t="s">
        <v>34</v>
      </c>
    </row>
    <row r="791" spans="3:5" x14ac:dyDescent="0.25">
      <c r="C791" s="2" t="s">
        <v>137</v>
      </c>
      <c r="E791" s="2"/>
    </row>
    <row r="792" spans="3:5" x14ac:dyDescent="0.25">
      <c r="C792" s="2" t="s">
        <v>396</v>
      </c>
      <c r="E792" s="2" t="s">
        <v>61</v>
      </c>
    </row>
    <row r="793" spans="3:5" x14ac:dyDescent="0.25">
      <c r="C793" s="2" t="s">
        <v>396</v>
      </c>
      <c r="E793" s="2"/>
    </row>
    <row r="794" spans="3:5" x14ac:dyDescent="0.25">
      <c r="C794" s="2" t="s">
        <v>76</v>
      </c>
      <c r="E794" s="2" t="s">
        <v>70</v>
      </c>
    </row>
    <row r="795" spans="3:5" x14ac:dyDescent="0.25">
      <c r="C795" s="2" t="s">
        <v>137</v>
      </c>
      <c r="E795" s="2"/>
    </row>
    <row r="796" spans="3:5" x14ac:dyDescent="0.25">
      <c r="C796" s="2" t="s">
        <v>49</v>
      </c>
      <c r="E796" s="2" t="s">
        <v>58</v>
      </c>
    </row>
    <row r="797" spans="3:5" x14ac:dyDescent="0.25">
      <c r="C797" s="2" t="s">
        <v>38</v>
      </c>
      <c r="E797" s="2" t="s">
        <v>34</v>
      </c>
    </row>
    <row r="798" spans="3:5" x14ac:dyDescent="0.25">
      <c r="C798" s="2" t="s">
        <v>67</v>
      </c>
      <c r="E798" s="2" t="s">
        <v>61</v>
      </c>
    </row>
    <row r="799" spans="3:5" x14ac:dyDescent="0.25">
      <c r="C799" s="2" t="s">
        <v>76</v>
      </c>
      <c r="E799" s="2" t="s">
        <v>34</v>
      </c>
    </row>
    <row r="800" spans="3:5" x14ac:dyDescent="0.25">
      <c r="C800" s="2" t="s">
        <v>73</v>
      </c>
      <c r="E800" s="2" t="s">
        <v>70</v>
      </c>
    </row>
    <row r="801" spans="3:5" x14ac:dyDescent="0.25">
      <c r="C801" s="2" t="s">
        <v>137</v>
      </c>
      <c r="E801" s="2" t="s">
        <v>61</v>
      </c>
    </row>
    <row r="802" spans="3:5" x14ac:dyDescent="0.25">
      <c r="C802" s="2" t="s">
        <v>38</v>
      </c>
      <c r="E802" s="2" t="s">
        <v>34</v>
      </c>
    </row>
    <row r="803" spans="3:5" x14ac:dyDescent="0.25">
      <c r="C803" s="2" t="s">
        <v>43</v>
      </c>
      <c r="E803" s="2" t="s">
        <v>58</v>
      </c>
    </row>
    <row r="804" spans="3:5" x14ac:dyDescent="0.25">
      <c r="C804" s="2" t="s">
        <v>396</v>
      </c>
      <c r="E804" s="2" t="s">
        <v>58</v>
      </c>
    </row>
    <row r="805" spans="3:5" x14ac:dyDescent="0.25">
      <c r="C805" s="2" t="s">
        <v>43</v>
      </c>
      <c r="E805" s="2"/>
    </row>
    <row r="806" spans="3:5" x14ac:dyDescent="0.25">
      <c r="C806" s="2" t="s">
        <v>43</v>
      </c>
      <c r="E806" s="2" t="s">
        <v>58</v>
      </c>
    </row>
    <row r="807" spans="3:5" x14ac:dyDescent="0.25">
      <c r="C807" s="2" t="s">
        <v>38</v>
      </c>
      <c r="E807" s="2" t="s">
        <v>46</v>
      </c>
    </row>
    <row r="808" spans="3:5" x14ac:dyDescent="0.25">
      <c r="C808" s="2" t="s">
        <v>137</v>
      </c>
      <c r="E808" s="2" t="s">
        <v>58</v>
      </c>
    </row>
    <row r="809" spans="3:5" x14ac:dyDescent="0.25">
      <c r="C809" s="2" t="s">
        <v>137</v>
      </c>
      <c r="E809" s="2" t="s">
        <v>58</v>
      </c>
    </row>
    <row r="810" spans="3:5" x14ac:dyDescent="0.25">
      <c r="C810" s="2" t="s">
        <v>43</v>
      </c>
      <c r="E810" s="2" t="s">
        <v>46</v>
      </c>
    </row>
    <row r="811" spans="3:5" x14ac:dyDescent="0.25">
      <c r="C811" s="2" t="s">
        <v>38</v>
      </c>
      <c r="E811" s="2"/>
    </row>
    <row r="812" spans="3:5" x14ac:dyDescent="0.25">
      <c r="C812" s="2" t="s">
        <v>43</v>
      </c>
      <c r="E812" s="2"/>
    </row>
    <row r="813" spans="3:5" x14ac:dyDescent="0.25">
      <c r="C813" s="2" t="s">
        <v>43</v>
      </c>
      <c r="E813" s="2" t="s">
        <v>34</v>
      </c>
    </row>
    <row r="814" spans="3:5" x14ac:dyDescent="0.25">
      <c r="C814" s="2" t="s">
        <v>396</v>
      </c>
      <c r="E814" s="2"/>
    </row>
    <row r="815" spans="3:5" x14ac:dyDescent="0.25">
      <c r="C815" s="2" t="s">
        <v>31</v>
      </c>
      <c r="E815" s="2" t="s">
        <v>58</v>
      </c>
    </row>
    <row r="816" spans="3:5" x14ac:dyDescent="0.25">
      <c r="C816" s="2" t="s">
        <v>38</v>
      </c>
      <c r="E816" s="2" t="s">
        <v>70</v>
      </c>
    </row>
    <row r="817" spans="3:5" x14ac:dyDescent="0.25">
      <c r="C817" s="2" t="s">
        <v>43</v>
      </c>
      <c r="E817" s="2"/>
    </row>
    <row r="818" spans="3:5" x14ac:dyDescent="0.25">
      <c r="C818" s="2" t="s">
        <v>76</v>
      </c>
      <c r="E818" s="2" t="s">
        <v>70</v>
      </c>
    </row>
    <row r="819" spans="3:5" x14ac:dyDescent="0.25">
      <c r="C819" s="2" t="s">
        <v>396</v>
      </c>
      <c r="E819" s="2" t="s">
        <v>909</v>
      </c>
    </row>
    <row r="820" spans="3:5" x14ac:dyDescent="0.25">
      <c r="C820" s="2" t="s">
        <v>43</v>
      </c>
      <c r="E820" s="2" t="s">
        <v>58</v>
      </c>
    </row>
    <row r="821" spans="3:5" x14ac:dyDescent="0.25">
      <c r="C821" s="2" t="s">
        <v>73</v>
      </c>
      <c r="E821" s="2" t="s">
        <v>34</v>
      </c>
    </row>
    <row r="822" spans="3:5" x14ac:dyDescent="0.25">
      <c r="C822" s="2" t="s">
        <v>49</v>
      </c>
      <c r="E822" s="2" t="s">
        <v>34</v>
      </c>
    </row>
    <row r="823" spans="3:5" x14ac:dyDescent="0.25">
      <c r="C823" s="2" t="s">
        <v>137</v>
      </c>
      <c r="E823" s="2" t="s">
        <v>70</v>
      </c>
    </row>
    <row r="824" spans="3:5" x14ac:dyDescent="0.25">
      <c r="C824" s="2" t="s">
        <v>49</v>
      </c>
      <c r="E824" s="2" t="s">
        <v>61</v>
      </c>
    </row>
    <row r="825" spans="3:5" x14ac:dyDescent="0.25">
      <c r="C825" s="2" t="s">
        <v>137</v>
      </c>
      <c r="E825" s="2" t="s">
        <v>70</v>
      </c>
    </row>
    <row r="826" spans="3:5" x14ac:dyDescent="0.25">
      <c r="C826" s="2" t="s">
        <v>137</v>
      </c>
      <c r="E826" s="2"/>
    </row>
    <row r="827" spans="3:5" x14ac:dyDescent="0.25">
      <c r="C827" s="2" t="s">
        <v>31</v>
      </c>
      <c r="E827" s="2" t="s">
        <v>46</v>
      </c>
    </row>
    <row r="828" spans="3:5" x14ac:dyDescent="0.25">
      <c r="C828" s="2" t="s">
        <v>43</v>
      </c>
      <c r="E828" s="2" t="s">
        <v>58</v>
      </c>
    </row>
    <row r="829" spans="3:5" x14ac:dyDescent="0.25">
      <c r="C829" s="2" t="s">
        <v>43</v>
      </c>
      <c r="E829" s="2"/>
    </row>
    <row r="830" spans="3:5" x14ac:dyDescent="0.25">
      <c r="C830" s="2" t="s">
        <v>43</v>
      </c>
      <c r="E830" s="2" t="s">
        <v>58</v>
      </c>
    </row>
    <row r="831" spans="3:5" x14ac:dyDescent="0.25">
      <c r="C831" s="2" t="s">
        <v>396</v>
      </c>
      <c r="E831" s="2"/>
    </row>
    <row r="832" spans="3:5" x14ac:dyDescent="0.25">
      <c r="C832" s="2" t="s">
        <v>43</v>
      </c>
      <c r="E832" s="2" t="s">
        <v>58</v>
      </c>
    </row>
    <row r="833" spans="3:5" x14ac:dyDescent="0.25">
      <c r="C833" s="2" t="s">
        <v>73</v>
      </c>
      <c r="E833" s="2" t="s">
        <v>58</v>
      </c>
    </row>
    <row r="834" spans="3:5" x14ac:dyDescent="0.25">
      <c r="C834" s="2" t="s">
        <v>396</v>
      </c>
      <c r="E834" s="2" t="s">
        <v>34</v>
      </c>
    </row>
    <row r="835" spans="3:5" x14ac:dyDescent="0.25">
      <c r="C835" s="2" t="s">
        <v>137</v>
      </c>
      <c r="E835" s="2" t="s">
        <v>514</v>
      </c>
    </row>
    <row r="836" spans="3:5" x14ac:dyDescent="0.25">
      <c r="C836" s="2" t="s">
        <v>137</v>
      </c>
      <c r="E836" s="2"/>
    </row>
    <row r="837" spans="3:5" x14ac:dyDescent="0.25">
      <c r="C837" s="2" t="s">
        <v>396</v>
      </c>
      <c r="E837" s="2"/>
    </row>
    <row r="838" spans="3:5" x14ac:dyDescent="0.25">
      <c r="C838" s="2" t="s">
        <v>396</v>
      </c>
      <c r="E838" s="2" t="s">
        <v>34</v>
      </c>
    </row>
    <row r="839" spans="3:5" x14ac:dyDescent="0.25">
      <c r="C839" s="2" t="s">
        <v>31</v>
      </c>
      <c r="E839" s="2" t="s">
        <v>61</v>
      </c>
    </row>
    <row r="840" spans="3:5" x14ac:dyDescent="0.25">
      <c r="C840" s="2" t="s">
        <v>137</v>
      </c>
      <c r="E840" s="2"/>
    </row>
    <row r="841" spans="3:5" x14ac:dyDescent="0.25">
      <c r="C841" s="2" t="s">
        <v>396</v>
      </c>
      <c r="E841" s="2" t="s">
        <v>61</v>
      </c>
    </row>
    <row r="842" spans="3:5" x14ac:dyDescent="0.25">
      <c r="C842" s="2" t="s">
        <v>43</v>
      </c>
      <c r="E842" s="2" t="s">
        <v>34</v>
      </c>
    </row>
    <row r="843" spans="3:5" x14ac:dyDescent="0.25">
      <c r="C843" s="2" t="s">
        <v>49</v>
      </c>
      <c r="E843" s="2" t="s">
        <v>58</v>
      </c>
    </row>
    <row r="844" spans="3:5" x14ac:dyDescent="0.25">
      <c r="C844" s="2" t="s">
        <v>43</v>
      </c>
      <c r="E844" s="2" t="s">
        <v>34</v>
      </c>
    </row>
    <row r="845" spans="3:5" x14ac:dyDescent="0.25">
      <c r="C845" s="2" t="s">
        <v>38</v>
      </c>
      <c r="E845" s="2" t="s">
        <v>46</v>
      </c>
    </row>
    <row r="846" spans="3:5" x14ac:dyDescent="0.25">
      <c r="C846" s="2" t="s">
        <v>31</v>
      </c>
      <c r="E846" s="2" t="s">
        <v>34</v>
      </c>
    </row>
    <row r="847" spans="3:5" x14ac:dyDescent="0.25">
      <c r="C847" s="2" t="s">
        <v>396</v>
      </c>
      <c r="E847" s="2" t="s">
        <v>34</v>
      </c>
    </row>
    <row r="848" spans="3:5" x14ac:dyDescent="0.25">
      <c r="C848" s="2" t="s">
        <v>31</v>
      </c>
      <c r="E848" s="2"/>
    </row>
    <row r="849" spans="3:5" x14ac:dyDescent="0.25">
      <c r="C849" s="2" t="s">
        <v>73</v>
      </c>
      <c r="E849" s="2" t="s">
        <v>34</v>
      </c>
    </row>
    <row r="850" spans="3:5" x14ac:dyDescent="0.25">
      <c r="C850" s="2" t="s">
        <v>43</v>
      </c>
      <c r="E850" s="2" t="s">
        <v>34</v>
      </c>
    </row>
    <row r="851" spans="3:5" x14ac:dyDescent="0.25">
      <c r="C851" s="2" t="s">
        <v>38</v>
      </c>
      <c r="E851" s="2" t="s">
        <v>34</v>
      </c>
    </row>
    <row r="852" spans="3:5" x14ac:dyDescent="0.25">
      <c r="C852" s="2" t="s">
        <v>396</v>
      </c>
      <c r="E852" s="2" t="s">
        <v>34</v>
      </c>
    </row>
    <row r="853" spans="3:5" x14ac:dyDescent="0.25">
      <c r="C853" s="2" t="s">
        <v>137</v>
      </c>
      <c r="E853" s="2" t="s">
        <v>58</v>
      </c>
    </row>
    <row r="854" spans="3:5" x14ac:dyDescent="0.25">
      <c r="C854" s="2" t="s">
        <v>396</v>
      </c>
      <c r="E854" s="2" t="s">
        <v>34</v>
      </c>
    </row>
    <row r="855" spans="3:5" x14ac:dyDescent="0.25">
      <c r="C855" s="2" t="s">
        <v>137</v>
      </c>
      <c r="E855" s="2"/>
    </row>
    <row r="856" spans="3:5" x14ac:dyDescent="0.25">
      <c r="C856" s="2" t="s">
        <v>38</v>
      </c>
      <c r="E856" s="2" t="s">
        <v>34</v>
      </c>
    </row>
    <row r="857" spans="3:5" x14ac:dyDescent="0.25">
      <c r="C857" s="2" t="s">
        <v>396</v>
      </c>
      <c r="E857" s="2" t="s">
        <v>46</v>
      </c>
    </row>
    <row r="858" spans="3:5" x14ac:dyDescent="0.25">
      <c r="C858" s="2" t="s">
        <v>396</v>
      </c>
      <c r="E858" s="2" t="s">
        <v>909</v>
      </c>
    </row>
    <row r="859" spans="3:5" x14ac:dyDescent="0.25">
      <c r="C859" s="2" t="s">
        <v>38</v>
      </c>
      <c r="E859" s="2"/>
    </row>
    <row r="860" spans="3:5" x14ac:dyDescent="0.25">
      <c r="C860" s="2" t="s">
        <v>38</v>
      </c>
      <c r="E860" s="2" t="s">
        <v>34</v>
      </c>
    </row>
    <row r="861" spans="3:5" x14ac:dyDescent="0.25">
      <c r="C861" s="2" t="s">
        <v>38</v>
      </c>
      <c r="E861" s="2"/>
    </row>
    <row r="862" spans="3:5" x14ac:dyDescent="0.25">
      <c r="C862" s="2" t="s">
        <v>43</v>
      </c>
      <c r="E862" s="2"/>
    </row>
    <row r="863" spans="3:5" x14ac:dyDescent="0.25">
      <c r="C863" s="2" t="s">
        <v>396</v>
      </c>
      <c r="E863" s="2" t="s">
        <v>58</v>
      </c>
    </row>
    <row r="864" spans="3:5" x14ac:dyDescent="0.25">
      <c r="C864" s="2" t="s">
        <v>49</v>
      </c>
      <c r="E864" s="2" t="s">
        <v>46</v>
      </c>
    </row>
    <row r="865" spans="3:5" x14ac:dyDescent="0.25">
      <c r="C865" s="2" t="s">
        <v>43</v>
      </c>
      <c r="E865" s="2" t="s">
        <v>46</v>
      </c>
    </row>
    <row r="866" spans="3:5" x14ac:dyDescent="0.25">
      <c r="C866" s="2" t="s">
        <v>38</v>
      </c>
      <c r="E866" s="2" t="s">
        <v>61</v>
      </c>
    </row>
    <row r="867" spans="3:5" x14ac:dyDescent="0.25">
      <c r="C867" s="2" t="s">
        <v>137</v>
      </c>
      <c r="E867" s="2" t="s">
        <v>70</v>
      </c>
    </row>
    <row r="868" spans="3:5" x14ac:dyDescent="0.25">
      <c r="C868" s="2" t="s">
        <v>38</v>
      </c>
      <c r="E868" s="2" t="s">
        <v>34</v>
      </c>
    </row>
    <row r="869" spans="3:5" x14ac:dyDescent="0.25">
      <c r="C869" s="2" t="s">
        <v>31</v>
      </c>
      <c r="E869" s="2" t="s">
        <v>34</v>
      </c>
    </row>
    <row r="870" spans="3:5" x14ac:dyDescent="0.25">
      <c r="C870" s="2" t="s">
        <v>49</v>
      </c>
      <c r="E870" s="2" t="s">
        <v>34</v>
      </c>
    </row>
    <row r="871" spans="3:5" x14ac:dyDescent="0.25">
      <c r="C871" s="2" t="s">
        <v>43</v>
      </c>
      <c r="E871" s="2"/>
    </row>
    <row r="872" spans="3:5" x14ac:dyDescent="0.25">
      <c r="C872" s="2" t="s">
        <v>31</v>
      </c>
      <c r="E872" s="2" t="s">
        <v>34</v>
      </c>
    </row>
    <row r="873" spans="3:5" x14ac:dyDescent="0.25">
      <c r="C873" s="2" t="s">
        <v>137</v>
      </c>
      <c r="E873" s="2" t="s">
        <v>34</v>
      </c>
    </row>
    <row r="874" spans="3:5" x14ac:dyDescent="0.25">
      <c r="C874" s="2" t="s">
        <v>73</v>
      </c>
      <c r="E874" s="2"/>
    </row>
    <row r="875" spans="3:5" x14ac:dyDescent="0.25">
      <c r="C875" s="2" t="s">
        <v>67</v>
      </c>
      <c r="E875" s="2" t="s">
        <v>58</v>
      </c>
    </row>
    <row r="876" spans="3:5" x14ac:dyDescent="0.25">
      <c r="C876" s="2" t="s">
        <v>76</v>
      </c>
      <c r="E876" s="2" t="s">
        <v>34</v>
      </c>
    </row>
    <row r="877" spans="3:5" x14ac:dyDescent="0.25">
      <c r="C877" s="2" t="s">
        <v>137</v>
      </c>
      <c r="E877" s="2" t="s">
        <v>1875</v>
      </c>
    </row>
    <row r="878" spans="3:5" x14ac:dyDescent="0.25">
      <c r="C878" s="2" t="s">
        <v>76</v>
      </c>
      <c r="E878" s="2" t="s">
        <v>34</v>
      </c>
    </row>
    <row r="879" spans="3:5" x14ac:dyDescent="0.25">
      <c r="C879" s="2" t="s">
        <v>137</v>
      </c>
      <c r="E879" s="2"/>
    </row>
    <row r="880" spans="3:5" x14ac:dyDescent="0.25">
      <c r="C880" s="2" t="s">
        <v>38</v>
      </c>
      <c r="E880" s="2"/>
    </row>
    <row r="881" spans="3:5" x14ac:dyDescent="0.25">
      <c r="C881" s="2" t="s">
        <v>43</v>
      </c>
      <c r="E881" s="2" t="s">
        <v>34</v>
      </c>
    </row>
    <row r="882" spans="3:5" x14ac:dyDescent="0.25">
      <c r="C882" s="2" t="s">
        <v>43</v>
      </c>
      <c r="E882" s="2"/>
    </row>
    <row r="883" spans="3:5" x14ac:dyDescent="0.25">
      <c r="C883" s="2" t="s">
        <v>137</v>
      </c>
      <c r="E883" s="2" t="s">
        <v>34</v>
      </c>
    </row>
    <row r="884" spans="3:5" x14ac:dyDescent="0.25">
      <c r="C884" s="2" t="s">
        <v>108</v>
      </c>
      <c r="E884" s="2"/>
    </row>
    <row r="885" spans="3:5" x14ac:dyDescent="0.25">
      <c r="C885" s="2" t="s">
        <v>108</v>
      </c>
      <c r="E885" s="2"/>
    </row>
    <row r="886" spans="3:5" x14ac:dyDescent="0.25">
      <c r="C886" s="2" t="s">
        <v>396</v>
      </c>
      <c r="E886" s="2" t="s">
        <v>34</v>
      </c>
    </row>
    <row r="887" spans="3:5" x14ac:dyDescent="0.25">
      <c r="C887" s="2" t="s">
        <v>43</v>
      </c>
      <c r="E887" s="2" t="s">
        <v>58</v>
      </c>
    </row>
    <row r="888" spans="3:5" x14ac:dyDescent="0.25">
      <c r="C888" s="2" t="s">
        <v>108</v>
      </c>
      <c r="E888" s="2"/>
    </row>
    <row r="889" spans="3:5" x14ac:dyDescent="0.25">
      <c r="C889" s="2" t="s">
        <v>67</v>
      </c>
      <c r="E889" s="2"/>
    </row>
    <row r="890" spans="3:5" x14ac:dyDescent="0.25">
      <c r="C890" s="2" t="s">
        <v>137</v>
      </c>
      <c r="E890" s="2" t="s">
        <v>34</v>
      </c>
    </row>
    <row r="891" spans="3:5" x14ac:dyDescent="0.25">
      <c r="C891" s="2" t="s">
        <v>137</v>
      </c>
      <c r="E891" s="2" t="s">
        <v>34</v>
      </c>
    </row>
    <row r="892" spans="3:5" x14ac:dyDescent="0.25">
      <c r="C892" s="2" t="s">
        <v>137</v>
      </c>
      <c r="E892" s="2" t="s">
        <v>34</v>
      </c>
    </row>
    <row r="893" spans="3:5" x14ac:dyDescent="0.25">
      <c r="C893" s="2" t="s">
        <v>137</v>
      </c>
      <c r="E893" s="2" t="s">
        <v>34</v>
      </c>
    </row>
    <row r="894" spans="3:5" x14ac:dyDescent="0.25">
      <c r="C894" s="2" t="s">
        <v>396</v>
      </c>
      <c r="E894" s="2" t="s">
        <v>34</v>
      </c>
    </row>
    <row r="895" spans="3:5" x14ac:dyDescent="0.25">
      <c r="C895" s="2" t="s">
        <v>31</v>
      </c>
      <c r="E895" s="2" t="s">
        <v>58</v>
      </c>
    </row>
    <row r="896" spans="3:5" x14ac:dyDescent="0.25">
      <c r="C896" s="2" t="s">
        <v>396</v>
      </c>
      <c r="E896" s="2"/>
    </row>
    <row r="897" spans="3:5" x14ac:dyDescent="0.25">
      <c r="C897" s="2" t="s">
        <v>137</v>
      </c>
      <c r="E897" s="2"/>
    </row>
    <row r="898" spans="3:5" x14ac:dyDescent="0.25">
      <c r="C898" s="2" t="s">
        <v>396</v>
      </c>
      <c r="E898" s="2" t="s">
        <v>34</v>
      </c>
    </row>
    <row r="899" spans="3:5" x14ac:dyDescent="0.25">
      <c r="C899" s="2" t="s">
        <v>396</v>
      </c>
      <c r="E899" s="2" t="s">
        <v>34</v>
      </c>
    </row>
    <row r="900" spans="3:5" x14ac:dyDescent="0.25">
      <c r="C900" s="2" t="s">
        <v>396</v>
      </c>
      <c r="E900" s="2"/>
    </row>
    <row r="901" spans="3:5" x14ac:dyDescent="0.25">
      <c r="C901" s="2" t="s">
        <v>396</v>
      </c>
      <c r="E901" s="2"/>
    </row>
    <row r="902" spans="3:5" x14ac:dyDescent="0.25">
      <c r="C902" s="2" t="s">
        <v>73</v>
      </c>
      <c r="E902" s="2" t="s">
        <v>58</v>
      </c>
    </row>
    <row r="903" spans="3:5" x14ac:dyDescent="0.25">
      <c r="C903" s="2" t="s">
        <v>38</v>
      </c>
      <c r="E903" s="2"/>
    </row>
    <row r="904" spans="3:5" x14ac:dyDescent="0.25">
      <c r="C904" s="2" t="s">
        <v>396</v>
      </c>
      <c r="E904" s="2" t="s">
        <v>34</v>
      </c>
    </row>
    <row r="905" spans="3:5" x14ac:dyDescent="0.25">
      <c r="C905" s="2" t="s">
        <v>137</v>
      </c>
      <c r="E905" s="2" t="s">
        <v>34</v>
      </c>
    </row>
    <row r="906" spans="3:5" x14ac:dyDescent="0.25">
      <c r="C906" s="2" t="s">
        <v>396</v>
      </c>
      <c r="E906" s="2" t="s">
        <v>34</v>
      </c>
    </row>
    <row r="907" spans="3:5" x14ac:dyDescent="0.25">
      <c r="C907" s="2" t="s">
        <v>43</v>
      </c>
      <c r="E907" s="2" t="s">
        <v>34</v>
      </c>
    </row>
    <row r="908" spans="3:5" x14ac:dyDescent="0.25">
      <c r="C908" s="2" t="s">
        <v>137</v>
      </c>
      <c r="E908" s="2" t="s">
        <v>70</v>
      </c>
    </row>
    <row r="909" spans="3:5" x14ac:dyDescent="0.25">
      <c r="C909" s="2" t="s">
        <v>49</v>
      </c>
      <c r="E909" s="2" t="s">
        <v>61</v>
      </c>
    </row>
    <row r="910" spans="3:5" x14ac:dyDescent="0.25">
      <c r="C910" s="2" t="s">
        <v>396</v>
      </c>
      <c r="E910" s="2" t="s">
        <v>70</v>
      </c>
    </row>
    <row r="911" spans="3:5" x14ac:dyDescent="0.25">
      <c r="C911" s="2" t="s">
        <v>38</v>
      </c>
      <c r="E911" s="2"/>
    </row>
    <row r="912" spans="3:5" x14ac:dyDescent="0.25">
      <c r="C912" s="2" t="s">
        <v>137</v>
      </c>
      <c r="E912" s="2" t="s">
        <v>514</v>
      </c>
    </row>
    <row r="913" spans="3:5" x14ac:dyDescent="0.25">
      <c r="C913" s="2" t="s">
        <v>76</v>
      </c>
      <c r="E913" s="2" t="s">
        <v>34</v>
      </c>
    </row>
    <row r="914" spans="3:5" x14ac:dyDescent="0.25">
      <c r="C914" s="2" t="s">
        <v>43</v>
      </c>
      <c r="E914" s="2" t="s">
        <v>58</v>
      </c>
    </row>
    <row r="915" spans="3:5" x14ac:dyDescent="0.25">
      <c r="C915" s="2" t="s">
        <v>396</v>
      </c>
      <c r="E915" s="2"/>
    </row>
    <row r="916" spans="3:5" x14ac:dyDescent="0.25">
      <c r="C916" s="2" t="s">
        <v>43</v>
      </c>
      <c r="E916" s="2" t="s">
        <v>34</v>
      </c>
    </row>
    <row r="917" spans="3:5" x14ac:dyDescent="0.25">
      <c r="C917" s="2" t="s">
        <v>38</v>
      </c>
      <c r="E917" s="2" t="s">
        <v>46</v>
      </c>
    </row>
    <row r="918" spans="3:5" x14ac:dyDescent="0.25">
      <c r="C918" s="2" t="s">
        <v>73</v>
      </c>
      <c r="E918" s="2" t="s">
        <v>70</v>
      </c>
    </row>
    <row r="919" spans="3:5" x14ac:dyDescent="0.25">
      <c r="C919" s="2" t="s">
        <v>31</v>
      </c>
      <c r="E919" s="2" t="s">
        <v>58</v>
      </c>
    </row>
    <row r="920" spans="3:5" x14ac:dyDescent="0.25">
      <c r="C920" s="2" t="s">
        <v>38</v>
      </c>
      <c r="E920" s="2" t="s">
        <v>34</v>
      </c>
    </row>
    <row r="921" spans="3:5" x14ac:dyDescent="0.25">
      <c r="C921" s="2" t="s">
        <v>396</v>
      </c>
      <c r="E921" s="2" t="s">
        <v>34</v>
      </c>
    </row>
    <row r="922" spans="3:5" x14ac:dyDescent="0.25">
      <c r="C922" s="2" t="s">
        <v>67</v>
      </c>
      <c r="E922" s="2" t="s">
        <v>70</v>
      </c>
    </row>
    <row r="923" spans="3:5" x14ac:dyDescent="0.25">
      <c r="C923" s="2" t="s">
        <v>38</v>
      </c>
      <c r="E923" s="2"/>
    </row>
    <row r="924" spans="3:5" x14ac:dyDescent="0.25">
      <c r="C924" s="2" t="s">
        <v>49</v>
      </c>
      <c r="E924" s="2" t="s">
        <v>58</v>
      </c>
    </row>
    <row r="925" spans="3:5" x14ac:dyDescent="0.25">
      <c r="C925" s="2" t="s">
        <v>396</v>
      </c>
      <c r="E925" s="2"/>
    </row>
    <row r="926" spans="3:5" x14ac:dyDescent="0.25">
      <c r="C926" s="2" t="s">
        <v>31</v>
      </c>
      <c r="E926" s="2" t="s">
        <v>58</v>
      </c>
    </row>
    <row r="927" spans="3:5" x14ac:dyDescent="0.25">
      <c r="C927" s="2" t="s">
        <v>137</v>
      </c>
      <c r="E927" s="2"/>
    </row>
    <row r="928" spans="3:5" x14ac:dyDescent="0.25">
      <c r="C928" s="2" t="s">
        <v>76</v>
      </c>
      <c r="E928" s="2" t="s">
        <v>58</v>
      </c>
    </row>
    <row r="929" spans="3:5" x14ac:dyDescent="0.25">
      <c r="C929" s="2" t="s">
        <v>76</v>
      </c>
      <c r="E929" s="2" t="s">
        <v>34</v>
      </c>
    </row>
    <row r="930" spans="3:5" x14ac:dyDescent="0.25">
      <c r="C930" s="2" t="s">
        <v>137</v>
      </c>
      <c r="E930" s="2" t="s">
        <v>514</v>
      </c>
    </row>
    <row r="931" spans="3:5" x14ac:dyDescent="0.25">
      <c r="C931" s="2" t="s">
        <v>31</v>
      </c>
      <c r="E931" s="2" t="s">
        <v>61</v>
      </c>
    </row>
    <row r="932" spans="3:5" x14ac:dyDescent="0.25">
      <c r="C932" s="5" t="s">
        <v>49</v>
      </c>
      <c r="E932" s="5" t="s">
        <v>34</v>
      </c>
    </row>
  </sheetData>
  <sortState xmlns:xlrd2="http://schemas.microsoft.com/office/spreadsheetml/2017/richdata2" ref="A2:F48">
    <sortCondition ref="E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FEAD0-05A1-494A-8BB3-BFE2F27C6023}">
  <sheetPr codeName="wsPortal"/>
  <dimension ref="A2:Y10000"/>
  <sheetViews>
    <sheetView tabSelected="1" zoomScale="130" zoomScaleNormal="130" workbookViewId="0">
      <pane ySplit="8" topLeftCell="A9" activePane="bottomLeft" state="frozen"/>
      <selection pane="bottomLeft" activeCell="F14" sqref="F14"/>
    </sheetView>
  </sheetViews>
  <sheetFormatPr defaultColWidth="9" defaultRowHeight="15" x14ac:dyDescent="0.25"/>
  <cols>
    <col min="1" max="1" width="9.28515625" bestFit="1" customWidth="1"/>
    <col min="2" max="2" width="15.5703125" bestFit="1" customWidth="1"/>
    <col min="3" max="3" width="10.85546875" bestFit="1" customWidth="1"/>
    <col min="4" max="4" width="12.42578125" bestFit="1" customWidth="1"/>
    <col min="5" max="5" width="12.7109375" bestFit="1" customWidth="1"/>
    <col min="6" max="6" width="8.140625" bestFit="1" customWidth="1"/>
    <col min="7" max="8" width="7.28515625" bestFit="1" customWidth="1"/>
    <col min="9" max="9" width="12" bestFit="1" customWidth="1"/>
    <col min="10" max="10" width="12.28515625" bestFit="1" customWidth="1"/>
    <col min="11" max="11" width="11.42578125" bestFit="1" customWidth="1"/>
    <col min="12" max="13" width="11.7109375" bestFit="1" customWidth="1"/>
    <col min="14" max="14" width="13.7109375" bestFit="1" customWidth="1"/>
    <col min="15" max="15" width="14.28515625" bestFit="1" customWidth="1"/>
    <col min="16" max="16" width="8.140625" bestFit="1" customWidth="1"/>
    <col min="17" max="17" width="9.85546875" bestFit="1" customWidth="1"/>
    <col min="18" max="18" width="15.5703125" bestFit="1" customWidth="1"/>
    <col min="19" max="19" width="7.7109375" bestFit="1" customWidth="1"/>
    <col min="20" max="20" width="7.140625" bestFit="1" customWidth="1"/>
    <col min="21" max="21" width="7.42578125" bestFit="1" customWidth="1"/>
    <col min="22" max="22" width="9.28515625" bestFit="1" customWidth="1"/>
    <col min="23" max="23" width="8.5703125" bestFit="1" customWidth="1"/>
    <col min="24" max="24" width="6.140625" bestFit="1" customWidth="1"/>
    <col min="25" max="25" width="16.140625" bestFit="1" customWidth="1"/>
  </cols>
  <sheetData>
    <row r="2" spans="1:25" s="16" customFormat="1" ht="15.75" x14ac:dyDescent="0.25">
      <c r="B2" s="11" t="s">
        <v>1</v>
      </c>
      <c r="C2" s="11" t="s">
        <v>4</v>
      </c>
      <c r="D2" s="11" t="s">
        <v>1989</v>
      </c>
      <c r="E2" s="11" t="s">
        <v>1990</v>
      </c>
      <c r="F2" s="11" t="s">
        <v>7</v>
      </c>
      <c r="G2" s="11" t="s">
        <v>8</v>
      </c>
      <c r="H2" s="11" t="s">
        <v>1987</v>
      </c>
      <c r="I2" s="11" t="s">
        <v>1991</v>
      </c>
      <c r="J2" s="11" t="s">
        <v>1992</v>
      </c>
      <c r="K2" s="11" t="s">
        <v>1993</v>
      </c>
      <c r="L2" s="11" t="s">
        <v>1994</v>
      </c>
      <c r="M2" s="11" t="s">
        <v>1995</v>
      </c>
      <c r="N2" s="11" t="s">
        <v>1996</v>
      </c>
      <c r="O2" s="11" t="s">
        <v>1988</v>
      </c>
    </row>
    <row r="3" spans="1:25" ht="18.75" customHeight="1" x14ac:dyDescent="0.25">
      <c r="B3" s="10"/>
      <c r="C3" s="10" t="s">
        <v>1586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7" spans="1:25" x14ac:dyDescent="0.25">
      <c r="A7" s="17" t="s">
        <v>2005</v>
      </c>
      <c r="B7" s="17"/>
      <c r="C7" s="17"/>
    </row>
    <row r="8" spans="1:25" ht="19.5" customHeight="1" x14ac:dyDescent="0.25">
      <c r="A8" s="11" t="s">
        <v>2000</v>
      </c>
      <c r="B8" s="11" t="s">
        <v>2001</v>
      </c>
      <c r="C8" s="11" t="s">
        <v>1</v>
      </c>
      <c r="D8" s="11" t="s">
        <v>4</v>
      </c>
      <c r="E8" s="11" t="s">
        <v>2004</v>
      </c>
      <c r="F8" s="11" t="s">
        <v>6</v>
      </c>
      <c r="G8" s="11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2003</v>
      </c>
      <c r="P8" s="11" t="s">
        <v>16</v>
      </c>
      <c r="Q8" s="11" t="s">
        <v>17</v>
      </c>
      <c r="R8" s="11" t="s">
        <v>18</v>
      </c>
      <c r="S8" s="11" t="s">
        <v>21</v>
      </c>
      <c r="T8" s="11" t="s">
        <v>22</v>
      </c>
      <c r="U8" s="11" t="s">
        <v>23</v>
      </c>
      <c r="V8" s="11" t="s">
        <v>24</v>
      </c>
      <c r="W8" s="11" t="s">
        <v>25</v>
      </c>
      <c r="X8" s="11" t="s">
        <v>26</v>
      </c>
      <c r="Y8" s="11" t="s">
        <v>2002</v>
      </c>
    </row>
    <row r="9" spans="1:25" x14ac:dyDescent="0.25">
      <c r="A9" s="15" t="s">
        <v>2006</v>
      </c>
      <c r="B9" t="s">
        <v>1585</v>
      </c>
      <c r="C9" t="s">
        <v>37</v>
      </c>
      <c r="D9" t="s">
        <v>1586</v>
      </c>
      <c r="E9">
        <v>2</v>
      </c>
      <c r="F9">
        <v>0.56000000000000005</v>
      </c>
      <c r="G9" t="s">
        <v>100</v>
      </c>
      <c r="H9" t="s">
        <v>53</v>
      </c>
      <c r="I9" t="s">
        <v>69</v>
      </c>
      <c r="P9">
        <v>1000</v>
      </c>
      <c r="Q9">
        <v>560</v>
      </c>
      <c r="R9" s="18" t="str">
        <f>IF(OR(TRIM(B9&amp;"")="",TRIM(B9&amp;"")="0"),"",HYPERLINK("https://gs.gsdiamonds.com/StoneDetails.aspx?name=" &amp; _xlfn.ENCODEURL(TRIM(B9)), TRIM(B9)))</f>
        <v>TRPZ088N</v>
      </c>
      <c r="S9">
        <v>3.32</v>
      </c>
      <c r="T9">
        <v>5.44</v>
      </c>
      <c r="U9">
        <v>2.02</v>
      </c>
      <c r="V9">
        <v>0</v>
      </c>
      <c r="W9">
        <v>0</v>
      </c>
      <c r="X9">
        <v>0.61</v>
      </c>
      <c r="Y9" t="s">
        <v>1999</v>
      </c>
    </row>
    <row r="10" spans="1:25" x14ac:dyDescent="0.25">
      <c r="A10" s="15" t="s">
        <v>2006</v>
      </c>
      <c r="B10" t="s">
        <v>1588</v>
      </c>
      <c r="C10" t="s">
        <v>29</v>
      </c>
      <c r="D10" t="s">
        <v>1586</v>
      </c>
      <c r="E10">
        <v>1</v>
      </c>
      <c r="F10">
        <v>0.39</v>
      </c>
      <c r="G10" t="s">
        <v>73</v>
      </c>
      <c r="H10" t="s">
        <v>39</v>
      </c>
      <c r="I10" t="s">
        <v>33</v>
      </c>
      <c r="N10" t="s">
        <v>61</v>
      </c>
      <c r="P10">
        <v>1400</v>
      </c>
      <c r="Q10">
        <v>546</v>
      </c>
      <c r="R10" s="18" t="str">
        <f>IF(OR(TRIM(B10&amp;"")="",TRIM(B10&amp;"")="0"),"",HYPERLINK("https://gs.gsdiamonds.com/StoneDetails.aspx?name=" &amp; _xlfn.ENCODEURL(TRIM(B10)), TRIM(B10)))</f>
        <v>MTH8007</v>
      </c>
      <c r="S10">
        <v>3.29</v>
      </c>
      <c r="T10">
        <v>6.45</v>
      </c>
      <c r="U10">
        <v>2.41</v>
      </c>
      <c r="V10">
        <v>0</v>
      </c>
      <c r="W10">
        <v>0</v>
      </c>
      <c r="X10">
        <v>0.51</v>
      </c>
      <c r="Y10" t="s">
        <v>1998</v>
      </c>
    </row>
    <row r="11" spans="1:25" x14ac:dyDescent="0.25">
      <c r="A11" s="15" t="s">
        <v>2006</v>
      </c>
      <c r="B11" t="s">
        <v>1590</v>
      </c>
      <c r="C11" t="s">
        <v>37</v>
      </c>
      <c r="D11" t="s">
        <v>1586</v>
      </c>
      <c r="E11">
        <v>1</v>
      </c>
      <c r="F11">
        <v>0.12</v>
      </c>
      <c r="G11" t="s">
        <v>38</v>
      </c>
      <c r="H11" t="s">
        <v>151</v>
      </c>
      <c r="I11" t="s">
        <v>69</v>
      </c>
      <c r="N11" t="s">
        <v>77</v>
      </c>
      <c r="P11">
        <v>700</v>
      </c>
      <c r="Q11">
        <v>84</v>
      </c>
      <c r="R11" s="18" t="str">
        <f>IF(OR(TRIM(B11&amp;"")="",TRIM(B11&amp;"")="0"),"",HYPERLINK("https://gs.gsdiamonds.com/StoneDetails.aspx?name=" &amp; _xlfn.ENCODEURL(TRIM(B11)), TRIM(B11)))</f>
        <v>MTH8157</v>
      </c>
      <c r="S11">
        <v>4.46</v>
      </c>
      <c r="T11">
        <v>2.15</v>
      </c>
      <c r="U11">
        <v>1.72</v>
      </c>
      <c r="V11">
        <v>0</v>
      </c>
      <c r="W11">
        <v>0</v>
      </c>
      <c r="X11">
        <v>2.0699999999999998</v>
      </c>
      <c r="Y11" t="s">
        <v>1998</v>
      </c>
    </row>
    <row r="12" spans="1:25" x14ac:dyDescent="0.25">
      <c r="A12" s="15" t="s">
        <v>2006</v>
      </c>
      <c r="B12" t="s">
        <v>1592</v>
      </c>
      <c r="C12" t="s">
        <v>29</v>
      </c>
      <c r="D12" t="s">
        <v>1586</v>
      </c>
      <c r="E12">
        <v>1</v>
      </c>
      <c r="F12">
        <v>0.5</v>
      </c>
      <c r="G12" t="s">
        <v>73</v>
      </c>
      <c r="H12" t="s">
        <v>50</v>
      </c>
      <c r="I12" t="s">
        <v>33</v>
      </c>
      <c r="N12" t="s">
        <v>1593</v>
      </c>
      <c r="P12">
        <v>1000</v>
      </c>
      <c r="Q12">
        <v>500</v>
      </c>
      <c r="R12" s="18" t="str">
        <f>IF(OR(TRIM(B12&amp;"")="",TRIM(B12&amp;"")="0"),"",HYPERLINK("https://gs.gsdiamonds.com/StoneDetails.aspx?name=" &amp; _xlfn.ENCODEURL(TRIM(B12)), TRIM(B12)))</f>
        <v>MTH5534</v>
      </c>
      <c r="S12">
        <v>6.31</v>
      </c>
      <c r="T12">
        <v>3.62</v>
      </c>
      <c r="U12">
        <v>2.75</v>
      </c>
      <c r="V12">
        <v>0</v>
      </c>
      <c r="W12">
        <v>0</v>
      </c>
      <c r="X12">
        <v>1.74</v>
      </c>
      <c r="Y12" t="s">
        <v>1998</v>
      </c>
    </row>
    <row r="13" spans="1:25" x14ac:dyDescent="0.25">
      <c r="A13" s="15" t="s">
        <v>2006</v>
      </c>
      <c r="B13" t="s">
        <v>1595</v>
      </c>
      <c r="C13" t="s">
        <v>37</v>
      </c>
      <c r="D13" t="s">
        <v>1586</v>
      </c>
      <c r="E13">
        <v>1</v>
      </c>
      <c r="F13">
        <v>0.16</v>
      </c>
      <c r="G13" t="s">
        <v>38</v>
      </c>
      <c r="H13" t="s">
        <v>686</v>
      </c>
      <c r="I13" t="s">
        <v>69</v>
      </c>
      <c r="N13" t="s">
        <v>77</v>
      </c>
      <c r="P13">
        <v>700</v>
      </c>
      <c r="Q13">
        <v>112</v>
      </c>
      <c r="R13" s="18" t="str">
        <f>IF(OR(TRIM(B13&amp;"")="",TRIM(B13&amp;"")="0"),"",HYPERLINK("https://gs.gsdiamonds.com/StoneDetails.aspx?name=" &amp; _xlfn.ENCODEURL(TRIM(B13)), TRIM(B13)))</f>
        <v>MTH524A</v>
      </c>
      <c r="S13">
        <v>4.58</v>
      </c>
      <c r="T13">
        <v>2.93</v>
      </c>
      <c r="U13">
        <v>1.66</v>
      </c>
      <c r="V13">
        <v>0</v>
      </c>
      <c r="W13">
        <v>0</v>
      </c>
      <c r="X13">
        <v>1.56</v>
      </c>
      <c r="Y13" t="s">
        <v>1998</v>
      </c>
    </row>
    <row r="14" spans="1:25" x14ac:dyDescent="0.25">
      <c r="A14" s="15" t="s">
        <v>2006</v>
      </c>
      <c r="B14" t="s">
        <v>1597</v>
      </c>
      <c r="C14" t="s">
        <v>37</v>
      </c>
      <c r="D14" t="s">
        <v>1586</v>
      </c>
      <c r="E14">
        <v>2</v>
      </c>
      <c r="F14">
        <v>0.24</v>
      </c>
      <c r="G14" t="s">
        <v>43</v>
      </c>
      <c r="H14" t="s">
        <v>68</v>
      </c>
      <c r="I14" t="s">
        <v>33</v>
      </c>
      <c r="P14">
        <v>1300</v>
      </c>
      <c r="Q14">
        <v>312</v>
      </c>
      <c r="R14" s="18" t="str">
        <f>IF(OR(TRIM(B14&amp;"")="",TRIM(B14&amp;"")="0"),"",HYPERLINK("https://gs.gsdiamonds.com/StoneDetails.aspx?name=" &amp; _xlfn.ENCODEURL(TRIM(B14)), TRIM(B14)))</f>
        <v>TRPZ1180C</v>
      </c>
      <c r="S14">
        <v>4.28</v>
      </c>
      <c r="T14">
        <v>2.11</v>
      </c>
      <c r="U14">
        <v>1.59</v>
      </c>
      <c r="V14">
        <v>0</v>
      </c>
      <c r="W14">
        <v>0</v>
      </c>
      <c r="X14">
        <v>2.0299999999999998</v>
      </c>
      <c r="Y14" t="s">
        <v>1999</v>
      </c>
    </row>
    <row r="15" spans="1:25" x14ac:dyDescent="0.25">
      <c r="A15" s="15" t="s">
        <v>2006</v>
      </c>
      <c r="B15" t="s">
        <v>1599</v>
      </c>
      <c r="C15" t="s">
        <v>37</v>
      </c>
      <c r="D15" t="s">
        <v>1586</v>
      </c>
      <c r="E15">
        <v>1</v>
      </c>
      <c r="F15">
        <v>0.57999999999999996</v>
      </c>
      <c r="G15" t="s">
        <v>38</v>
      </c>
      <c r="H15" t="s">
        <v>105</v>
      </c>
      <c r="I15" t="s">
        <v>69</v>
      </c>
      <c r="N15" t="s">
        <v>34</v>
      </c>
      <c r="P15">
        <v>1500</v>
      </c>
      <c r="Q15">
        <v>870</v>
      </c>
      <c r="R15" s="18" t="str">
        <f>IF(OR(TRIM(B15&amp;"")="",TRIM(B15&amp;"")="0"),"",HYPERLINK("https://gs.gsdiamonds.com/StoneDetails.aspx?name=" &amp; _xlfn.ENCODEURL(TRIM(B15)), TRIM(B15)))</f>
        <v>PLT7711043</v>
      </c>
      <c r="S15">
        <v>7.57</v>
      </c>
      <c r="T15">
        <v>3.48</v>
      </c>
      <c r="U15">
        <v>5.9</v>
      </c>
      <c r="V15">
        <v>0</v>
      </c>
      <c r="W15">
        <v>0</v>
      </c>
      <c r="X15">
        <v>2.1800000000000002</v>
      </c>
      <c r="Y15" t="s">
        <v>1998</v>
      </c>
    </row>
    <row r="16" spans="1:25" x14ac:dyDescent="0.25">
      <c r="A16" s="15" t="s">
        <v>2006</v>
      </c>
      <c r="B16" t="s">
        <v>1601</v>
      </c>
      <c r="C16" t="s">
        <v>29</v>
      </c>
      <c r="D16" t="s">
        <v>1586</v>
      </c>
      <c r="E16">
        <v>1</v>
      </c>
      <c r="F16">
        <v>0.47</v>
      </c>
      <c r="G16" t="s">
        <v>43</v>
      </c>
      <c r="H16" t="s">
        <v>175</v>
      </c>
      <c r="I16" t="s">
        <v>69</v>
      </c>
      <c r="N16" t="s">
        <v>70</v>
      </c>
      <c r="P16">
        <v>1724</v>
      </c>
      <c r="Q16">
        <v>810.28</v>
      </c>
      <c r="R16" s="18" t="str">
        <f>IF(OR(TRIM(B16&amp;"")="",TRIM(B16&amp;"")="0"),"",HYPERLINK("https://gs.gsdiamonds.com/StoneDetails.aspx?name=" &amp; _xlfn.ENCODEURL(TRIM(B16)), TRIM(B16)))</f>
        <v>EZD110AA</v>
      </c>
      <c r="S16">
        <v>7.93</v>
      </c>
      <c r="T16">
        <v>3.9</v>
      </c>
      <c r="U16">
        <v>2.1800000000000002</v>
      </c>
      <c r="V16">
        <v>0</v>
      </c>
      <c r="W16">
        <v>0</v>
      </c>
      <c r="X16">
        <v>2.0299999999999998</v>
      </c>
      <c r="Y16" t="s">
        <v>1998</v>
      </c>
    </row>
    <row r="17" spans="1:25" x14ac:dyDescent="0.25">
      <c r="A17" s="15" t="s">
        <v>2006</v>
      </c>
      <c r="B17" t="s">
        <v>1603</v>
      </c>
      <c r="C17" t="s">
        <v>29</v>
      </c>
      <c r="D17" t="s">
        <v>1586</v>
      </c>
      <c r="E17">
        <v>2</v>
      </c>
      <c r="F17">
        <v>0.56000000000000005</v>
      </c>
      <c r="G17" t="s">
        <v>38</v>
      </c>
      <c r="H17" t="s">
        <v>151</v>
      </c>
      <c r="I17" t="s">
        <v>69</v>
      </c>
      <c r="N17" t="s">
        <v>34</v>
      </c>
      <c r="P17">
        <v>1100</v>
      </c>
      <c r="Q17">
        <v>616</v>
      </c>
      <c r="R17" s="18" t="str">
        <f>IF(OR(TRIM(B17&amp;"")="",TRIM(B17&amp;"")="0"),"",HYPERLINK("https://gs.gsdiamonds.com/StoneDetails.aspx?name=" &amp; _xlfn.ENCODEURL(TRIM(B17)), TRIM(B17)))</f>
        <v>TRPZ1976</v>
      </c>
      <c r="S17">
        <v>5.21</v>
      </c>
      <c r="T17">
        <v>3.51</v>
      </c>
      <c r="U17">
        <v>2.11</v>
      </c>
      <c r="V17">
        <v>0</v>
      </c>
      <c r="W17">
        <v>0</v>
      </c>
      <c r="X17">
        <v>1.48</v>
      </c>
      <c r="Y17" t="s">
        <v>1999</v>
      </c>
    </row>
    <row r="18" spans="1:25" x14ac:dyDescent="0.25">
      <c r="A18" s="15" t="s">
        <v>2006</v>
      </c>
      <c r="B18" t="s">
        <v>1605</v>
      </c>
      <c r="C18" t="s">
        <v>37</v>
      </c>
      <c r="D18" t="s">
        <v>1586</v>
      </c>
      <c r="E18">
        <v>1</v>
      </c>
      <c r="F18">
        <v>0.43</v>
      </c>
      <c r="G18" t="s">
        <v>396</v>
      </c>
      <c r="H18" t="s">
        <v>175</v>
      </c>
      <c r="I18" t="s">
        <v>69</v>
      </c>
      <c r="N18" t="s">
        <v>70</v>
      </c>
      <c r="P18">
        <v>2000</v>
      </c>
      <c r="Q18">
        <v>860</v>
      </c>
      <c r="R18" s="18" t="str">
        <f>IF(OR(TRIM(B18&amp;"")="",TRIM(B18&amp;"")="0"),"",HYPERLINK("https://gs.gsdiamonds.com/StoneDetails.aspx?name=" &amp; _xlfn.ENCODEURL(TRIM(B18)), TRIM(B18)))</f>
        <v>PLT1772014</v>
      </c>
      <c r="S18">
        <v>5.88</v>
      </c>
      <c r="T18">
        <v>5.35</v>
      </c>
      <c r="U18">
        <v>2.41</v>
      </c>
      <c r="V18">
        <v>0</v>
      </c>
      <c r="W18">
        <v>0</v>
      </c>
      <c r="X18">
        <v>1.1000000000000001</v>
      </c>
      <c r="Y18" t="s">
        <v>1998</v>
      </c>
    </row>
    <row r="19" spans="1:25" x14ac:dyDescent="0.25">
      <c r="A19" s="15" t="s">
        <v>2006</v>
      </c>
      <c r="B19" t="s">
        <v>1607</v>
      </c>
      <c r="C19" t="s">
        <v>37</v>
      </c>
      <c r="D19" t="s">
        <v>1586</v>
      </c>
      <c r="E19">
        <v>2</v>
      </c>
      <c r="F19">
        <v>0.22</v>
      </c>
      <c r="G19" t="s">
        <v>38</v>
      </c>
      <c r="H19" t="s">
        <v>50</v>
      </c>
      <c r="I19" t="s">
        <v>33</v>
      </c>
      <c r="N19" t="s">
        <v>34</v>
      </c>
      <c r="P19">
        <v>1100</v>
      </c>
      <c r="Q19">
        <v>242</v>
      </c>
      <c r="R19" s="18" t="str">
        <f>IF(OR(TRIM(B19&amp;"")="",TRIM(B19&amp;"")="0"),"",HYPERLINK("https://gs.gsdiamonds.com/StoneDetails.aspx?name=" &amp; _xlfn.ENCODEURL(TRIM(B19)), TRIM(B19)))</f>
        <v>TRPZ2011</v>
      </c>
      <c r="S19">
        <v>4.5999999999999996</v>
      </c>
      <c r="T19">
        <v>2.0499999999999998</v>
      </c>
      <c r="U19">
        <v>1.56</v>
      </c>
      <c r="V19">
        <v>0</v>
      </c>
      <c r="W19">
        <v>0</v>
      </c>
      <c r="X19">
        <v>2.2400000000000002</v>
      </c>
      <c r="Y19" t="s">
        <v>1999</v>
      </c>
    </row>
    <row r="20" spans="1:25" x14ac:dyDescent="0.25">
      <c r="A20" s="15" t="s">
        <v>2006</v>
      </c>
      <c r="B20" t="s">
        <v>1609</v>
      </c>
      <c r="C20" t="s">
        <v>37</v>
      </c>
      <c r="D20" t="s">
        <v>1586</v>
      </c>
      <c r="E20">
        <v>2</v>
      </c>
      <c r="F20">
        <v>0.24</v>
      </c>
      <c r="G20" t="s">
        <v>137</v>
      </c>
      <c r="H20" t="s">
        <v>32</v>
      </c>
      <c r="I20" t="s">
        <v>33</v>
      </c>
      <c r="N20" t="s">
        <v>70</v>
      </c>
      <c r="P20">
        <v>1200</v>
      </c>
      <c r="Q20">
        <v>288</v>
      </c>
      <c r="R20" s="18" t="str">
        <f>IF(OR(TRIM(B20&amp;"")="",TRIM(B20&amp;"")="0"),"",HYPERLINK("https://gs.gsdiamonds.com/StoneDetails.aspx?name=" &amp; _xlfn.ENCODEURL(TRIM(B20)), TRIM(B20)))</f>
        <v>TRPZ2081</v>
      </c>
      <c r="S20">
        <v>4.0999999999999996</v>
      </c>
      <c r="T20">
        <v>2.2200000000000002</v>
      </c>
      <c r="U20">
        <v>1.69</v>
      </c>
      <c r="V20">
        <v>0</v>
      </c>
      <c r="W20">
        <v>0</v>
      </c>
      <c r="X20">
        <v>1.85</v>
      </c>
      <c r="Y20" t="s">
        <v>1999</v>
      </c>
    </row>
    <row r="21" spans="1:25" x14ac:dyDescent="0.25">
      <c r="A21" s="15" t="s">
        <v>2006</v>
      </c>
      <c r="B21" t="s">
        <v>1611</v>
      </c>
      <c r="C21" t="s">
        <v>37</v>
      </c>
      <c r="D21" t="s">
        <v>1586</v>
      </c>
      <c r="E21">
        <v>2</v>
      </c>
      <c r="F21">
        <v>0.2</v>
      </c>
      <c r="G21" t="s">
        <v>38</v>
      </c>
      <c r="H21" t="s">
        <v>50</v>
      </c>
      <c r="I21" t="s">
        <v>33</v>
      </c>
      <c r="N21" t="s">
        <v>34</v>
      </c>
      <c r="P21">
        <v>1000</v>
      </c>
      <c r="Q21">
        <v>200</v>
      </c>
      <c r="R21" s="18" t="str">
        <f>IF(OR(TRIM(B21&amp;"")="",TRIM(B21&amp;"")="0"),"",HYPERLINK("https://gs.gsdiamonds.com/StoneDetails.aspx?name=" &amp; _xlfn.ENCODEURL(TRIM(B21)), TRIM(B21)))</f>
        <v>TRPZ2190</v>
      </c>
      <c r="S21">
        <v>2.17</v>
      </c>
      <c r="T21">
        <v>3.95</v>
      </c>
      <c r="U21">
        <v>1.59</v>
      </c>
      <c r="V21">
        <v>0</v>
      </c>
      <c r="W21">
        <v>0</v>
      </c>
      <c r="X21">
        <v>0.55000000000000004</v>
      </c>
      <c r="Y21" t="s">
        <v>1999</v>
      </c>
    </row>
    <row r="22" spans="1:25" x14ac:dyDescent="0.25">
      <c r="A22" s="15" t="s">
        <v>2006</v>
      </c>
      <c r="B22" t="s">
        <v>1613</v>
      </c>
      <c r="C22" t="s">
        <v>29</v>
      </c>
      <c r="D22" t="s">
        <v>1586</v>
      </c>
      <c r="E22">
        <v>1</v>
      </c>
      <c r="F22">
        <v>0.15</v>
      </c>
      <c r="G22" t="s">
        <v>76</v>
      </c>
      <c r="H22" t="s">
        <v>39</v>
      </c>
      <c r="I22" t="s">
        <v>33</v>
      </c>
      <c r="N22" t="s">
        <v>34</v>
      </c>
      <c r="P22">
        <v>783</v>
      </c>
      <c r="Q22">
        <v>117.45</v>
      </c>
      <c r="R22" s="18" t="str">
        <f>IF(OR(TRIM(B22&amp;"")="",TRIM(B22&amp;"")="0"),"",HYPERLINK("https://gs.gsdiamonds.com/StoneDetails.aspx?name=" &amp; _xlfn.ENCODEURL(TRIM(B22)), TRIM(B22)))</f>
        <v>SMRG04</v>
      </c>
      <c r="S22">
        <v>4.6900000000000004</v>
      </c>
      <c r="T22">
        <v>2.65</v>
      </c>
      <c r="U22">
        <v>1.52</v>
      </c>
      <c r="V22">
        <v>0</v>
      </c>
      <c r="W22">
        <v>0</v>
      </c>
      <c r="X22">
        <v>1.77</v>
      </c>
      <c r="Y22" t="s">
        <v>1998</v>
      </c>
    </row>
    <row r="23" spans="1:25" x14ac:dyDescent="0.25">
      <c r="A23" s="15" t="s">
        <v>2006</v>
      </c>
      <c r="B23" t="s">
        <v>1615</v>
      </c>
      <c r="C23" t="s">
        <v>37</v>
      </c>
      <c r="D23" t="s">
        <v>1586</v>
      </c>
      <c r="E23">
        <v>2</v>
      </c>
      <c r="F23">
        <v>0.43</v>
      </c>
      <c r="G23" t="s">
        <v>396</v>
      </c>
      <c r="H23" t="s">
        <v>32</v>
      </c>
      <c r="I23" t="s">
        <v>33</v>
      </c>
      <c r="N23" t="s">
        <v>34</v>
      </c>
      <c r="P23">
        <v>1800</v>
      </c>
      <c r="Q23">
        <v>774</v>
      </c>
      <c r="R23" s="18" t="str">
        <f>IF(OR(TRIM(B23&amp;"")="",TRIM(B23&amp;"")="0"),"",HYPERLINK("https://gs.gsdiamonds.com/StoneDetails.aspx?name=" &amp; _xlfn.ENCODEURL(TRIM(B23)), TRIM(B23)))</f>
        <v>TRPZ2292</v>
      </c>
      <c r="S23">
        <v>5.28</v>
      </c>
      <c r="T23">
        <v>2.74</v>
      </c>
      <c r="U23">
        <v>1.9</v>
      </c>
      <c r="V23">
        <v>0</v>
      </c>
      <c r="W23">
        <v>0</v>
      </c>
      <c r="X23">
        <v>1.93</v>
      </c>
      <c r="Y23" t="s">
        <v>1999</v>
      </c>
    </row>
    <row r="24" spans="1:25" x14ac:dyDescent="0.25">
      <c r="A24" s="15" t="s">
        <v>2006</v>
      </c>
      <c r="B24" t="s">
        <v>1617</v>
      </c>
      <c r="C24" t="s">
        <v>29</v>
      </c>
      <c r="D24" t="s">
        <v>1586</v>
      </c>
      <c r="E24">
        <v>2</v>
      </c>
      <c r="F24">
        <v>0.12</v>
      </c>
      <c r="G24" t="s">
        <v>137</v>
      </c>
      <c r="H24" t="s">
        <v>53</v>
      </c>
      <c r="I24" t="s">
        <v>33</v>
      </c>
      <c r="P24">
        <v>1800</v>
      </c>
      <c r="Q24">
        <v>216</v>
      </c>
      <c r="R24" s="18" t="str">
        <f>IF(OR(TRIM(B24&amp;"")="",TRIM(B24&amp;"")="0"),"",HYPERLINK("https://gs.gsdiamonds.com/StoneDetails.aspx?name=" &amp; _xlfn.ENCODEURL(TRIM(B24)), TRIM(B24)))</f>
        <v>TRPZ2297</v>
      </c>
      <c r="S24">
        <v>1.64</v>
      </c>
      <c r="T24">
        <v>3.98</v>
      </c>
      <c r="U24">
        <v>1.1499999999999999</v>
      </c>
      <c r="V24">
        <v>0</v>
      </c>
      <c r="W24">
        <v>0</v>
      </c>
      <c r="X24">
        <v>0.41</v>
      </c>
      <c r="Y24" t="s">
        <v>1999</v>
      </c>
    </row>
    <row r="25" spans="1:25" x14ac:dyDescent="0.25">
      <c r="A25" s="15" t="s">
        <v>2006</v>
      </c>
      <c r="B25" t="s">
        <v>1619</v>
      </c>
      <c r="C25" t="s">
        <v>37</v>
      </c>
      <c r="D25" t="s">
        <v>1586</v>
      </c>
      <c r="E25">
        <v>2</v>
      </c>
      <c r="F25">
        <v>0.56999999999999995</v>
      </c>
      <c r="G25" t="s">
        <v>67</v>
      </c>
      <c r="H25" t="s">
        <v>39</v>
      </c>
      <c r="I25" t="s">
        <v>69</v>
      </c>
      <c r="N25" t="s">
        <v>61</v>
      </c>
      <c r="P25">
        <v>1300</v>
      </c>
      <c r="Q25">
        <v>741</v>
      </c>
      <c r="R25" s="18" t="str">
        <f>IF(OR(TRIM(B25&amp;"")="",TRIM(B25&amp;"")="0"),"",HYPERLINK("https://gs.gsdiamonds.com/StoneDetails.aspx?name=" &amp; _xlfn.ENCODEURL(TRIM(B25)), TRIM(B25)))</f>
        <v>TRPZ2329C</v>
      </c>
      <c r="S25">
        <v>5.56</v>
      </c>
      <c r="T25">
        <v>2.98</v>
      </c>
      <c r="U25">
        <v>2.54</v>
      </c>
      <c r="V25">
        <v>0</v>
      </c>
      <c r="W25">
        <v>0</v>
      </c>
      <c r="X25">
        <v>1.87</v>
      </c>
      <c r="Y25" t="s">
        <v>1999</v>
      </c>
    </row>
    <row r="26" spans="1:25" x14ac:dyDescent="0.25">
      <c r="A26" s="15" t="s">
        <v>2006</v>
      </c>
      <c r="B26" t="s">
        <v>1621</v>
      </c>
      <c r="C26" t="s">
        <v>37</v>
      </c>
      <c r="D26" t="s">
        <v>1586</v>
      </c>
      <c r="E26">
        <v>2</v>
      </c>
      <c r="F26">
        <v>0.26</v>
      </c>
      <c r="G26" t="s">
        <v>43</v>
      </c>
      <c r="H26" t="s">
        <v>50</v>
      </c>
      <c r="I26" t="s">
        <v>33</v>
      </c>
      <c r="P26">
        <v>1300</v>
      </c>
      <c r="Q26">
        <v>338</v>
      </c>
      <c r="R26" s="18" t="str">
        <f>IF(OR(TRIM(B26&amp;"")="",TRIM(B26&amp;"")="0"),"",HYPERLINK("https://gs.gsdiamonds.com/StoneDetails.aspx?name=" &amp; _xlfn.ENCODEURL(TRIM(B26)), TRIM(B26)))</f>
        <v>TRPZ2332</v>
      </c>
      <c r="S26">
        <v>3.65</v>
      </c>
      <c r="T26">
        <v>2.23</v>
      </c>
      <c r="U26">
        <v>2.04</v>
      </c>
      <c r="V26">
        <v>0</v>
      </c>
      <c r="W26">
        <v>0</v>
      </c>
      <c r="X26">
        <v>1.64</v>
      </c>
      <c r="Y26" t="s">
        <v>1999</v>
      </c>
    </row>
    <row r="27" spans="1:25" x14ac:dyDescent="0.25">
      <c r="A27" s="15" t="s">
        <v>2006</v>
      </c>
      <c r="B27" t="s">
        <v>1623</v>
      </c>
      <c r="C27" t="s">
        <v>37</v>
      </c>
      <c r="D27" t="s">
        <v>1586</v>
      </c>
      <c r="E27">
        <v>2</v>
      </c>
      <c r="F27">
        <v>0.33</v>
      </c>
      <c r="G27" t="s">
        <v>396</v>
      </c>
      <c r="H27" t="s">
        <v>50</v>
      </c>
      <c r="I27" t="s">
        <v>33</v>
      </c>
      <c r="P27">
        <v>1100</v>
      </c>
      <c r="Q27">
        <v>363</v>
      </c>
      <c r="R27" s="18" t="str">
        <f>IF(OR(TRIM(B27&amp;"")="",TRIM(B27&amp;"")="0"),"",HYPERLINK("https://gs.gsdiamonds.com/StoneDetails.aspx?name=" &amp; _xlfn.ENCODEURL(TRIM(B27)), TRIM(B27)))</f>
        <v>TRPZ2356</v>
      </c>
      <c r="S27">
        <v>5.37</v>
      </c>
      <c r="T27">
        <v>2.63</v>
      </c>
      <c r="U27">
        <v>1.78</v>
      </c>
      <c r="V27">
        <v>0</v>
      </c>
      <c r="W27">
        <v>0</v>
      </c>
      <c r="X27">
        <v>2.04</v>
      </c>
      <c r="Y27" t="s">
        <v>1999</v>
      </c>
    </row>
    <row r="28" spans="1:25" x14ac:dyDescent="0.25">
      <c r="A28" s="15" t="s">
        <v>2006</v>
      </c>
      <c r="B28" t="s">
        <v>1625</v>
      </c>
      <c r="C28" t="s">
        <v>37</v>
      </c>
      <c r="D28" t="s">
        <v>1586</v>
      </c>
      <c r="E28">
        <v>1</v>
      </c>
      <c r="F28">
        <v>0.2</v>
      </c>
      <c r="G28" t="s">
        <v>38</v>
      </c>
      <c r="H28" t="s">
        <v>1183</v>
      </c>
      <c r="I28" t="s">
        <v>69</v>
      </c>
      <c r="N28" t="s">
        <v>34</v>
      </c>
      <c r="P28">
        <v>700</v>
      </c>
      <c r="Q28">
        <v>140</v>
      </c>
      <c r="R28" s="18" t="str">
        <f>IF(OR(TRIM(B28&amp;"")="",TRIM(B28&amp;"")="0"),"",HYPERLINK("https://gs.gsdiamonds.com/StoneDetails.aspx?name=" &amp; _xlfn.ENCODEURL(TRIM(B28)), TRIM(B28)))</f>
        <v>LILK135AAAA</v>
      </c>
      <c r="S28">
        <v>4.82</v>
      </c>
      <c r="T28">
        <v>1.87</v>
      </c>
      <c r="U28">
        <v>2.75</v>
      </c>
      <c r="V28">
        <v>0</v>
      </c>
      <c r="W28">
        <v>0</v>
      </c>
      <c r="X28">
        <v>2.58</v>
      </c>
      <c r="Y28" t="s">
        <v>1998</v>
      </c>
    </row>
    <row r="29" spans="1:25" x14ac:dyDescent="0.25">
      <c r="A29" s="15" t="s">
        <v>2006</v>
      </c>
      <c r="B29" t="s">
        <v>1627</v>
      </c>
      <c r="C29" t="s">
        <v>29</v>
      </c>
      <c r="D29" t="s">
        <v>1586</v>
      </c>
      <c r="E29">
        <v>1</v>
      </c>
      <c r="F29">
        <v>0.24</v>
      </c>
      <c r="G29" t="s">
        <v>31</v>
      </c>
      <c r="H29" t="s">
        <v>148</v>
      </c>
      <c r="I29" t="s">
        <v>69</v>
      </c>
      <c r="N29" t="s">
        <v>34</v>
      </c>
      <c r="P29">
        <v>1100</v>
      </c>
      <c r="Q29">
        <v>264</v>
      </c>
      <c r="R29" s="18" t="str">
        <f>IF(OR(TRIM(B29&amp;"")="",TRIM(B29&amp;"")="0"),"",HYPERLINK("https://gs.gsdiamonds.com/StoneDetails.aspx?name=" &amp; _xlfn.ENCODEURL(TRIM(B29)), TRIM(B29)))</f>
        <v>LILK144A</v>
      </c>
      <c r="S29">
        <v>5.65</v>
      </c>
      <c r="T29">
        <v>3.07</v>
      </c>
      <c r="U29">
        <v>1.98</v>
      </c>
      <c r="V29">
        <v>0</v>
      </c>
      <c r="W29">
        <v>0</v>
      </c>
      <c r="X29">
        <v>1.84</v>
      </c>
      <c r="Y29" t="s">
        <v>1998</v>
      </c>
    </row>
    <row r="30" spans="1:25" x14ac:dyDescent="0.25">
      <c r="A30" s="15" t="s">
        <v>2006</v>
      </c>
      <c r="B30" t="s">
        <v>1629</v>
      </c>
      <c r="C30" t="s">
        <v>29</v>
      </c>
      <c r="D30" t="s">
        <v>1586</v>
      </c>
      <c r="E30">
        <v>1</v>
      </c>
      <c r="F30">
        <v>0.11</v>
      </c>
      <c r="G30" t="s">
        <v>38</v>
      </c>
      <c r="H30" t="s">
        <v>32</v>
      </c>
      <c r="I30" t="s">
        <v>33</v>
      </c>
      <c r="N30" t="s">
        <v>70</v>
      </c>
      <c r="P30">
        <v>1784</v>
      </c>
      <c r="Q30">
        <v>196.24</v>
      </c>
      <c r="R30" s="18" t="str">
        <f>IF(OR(TRIM(B30&amp;"")="",TRIM(B30&amp;"")="0"),"",HYPERLINK("https://gs.gsdiamonds.com/StoneDetails.aspx?name=" &amp; _xlfn.ENCODEURL(TRIM(B30)), TRIM(B30)))</f>
        <v>ADKA018AB</v>
      </c>
      <c r="S30">
        <v>3.86</v>
      </c>
      <c r="T30">
        <v>2.15</v>
      </c>
      <c r="U30">
        <v>1.62</v>
      </c>
      <c r="V30">
        <v>0</v>
      </c>
      <c r="W30">
        <v>0</v>
      </c>
      <c r="X30">
        <v>1.8</v>
      </c>
      <c r="Y30" t="s">
        <v>1998</v>
      </c>
    </row>
    <row r="31" spans="1:25" x14ac:dyDescent="0.25">
      <c r="A31" s="15" t="s">
        <v>2006</v>
      </c>
      <c r="B31" t="s">
        <v>1631</v>
      </c>
      <c r="C31" t="s">
        <v>29</v>
      </c>
      <c r="D31" t="s">
        <v>1586</v>
      </c>
      <c r="E31">
        <v>1</v>
      </c>
      <c r="F31">
        <v>0.52</v>
      </c>
      <c r="G31" t="s">
        <v>73</v>
      </c>
      <c r="H31" t="s">
        <v>57</v>
      </c>
      <c r="I31" t="s">
        <v>33</v>
      </c>
      <c r="K31" t="s">
        <v>43</v>
      </c>
      <c r="L31" t="s">
        <v>450</v>
      </c>
      <c r="M31" t="s">
        <v>421</v>
      </c>
      <c r="N31" t="s">
        <v>34</v>
      </c>
      <c r="O31">
        <v>7491760271</v>
      </c>
      <c r="P31">
        <v>2500</v>
      </c>
      <c r="Q31">
        <v>1300</v>
      </c>
      <c r="R31" s="18" t="str">
        <f>IF(OR(TRIM(B31&amp;"")="",TRIM(B31&amp;"")="0"),"",HYPERLINK("https://gs.gsdiamonds.com/StoneDetails.aspx?name=" &amp; _xlfn.ENCODEURL(TRIM(B31)), TRIM(B31)))</f>
        <v>PLT162011A</v>
      </c>
      <c r="S31">
        <v>4.46</v>
      </c>
      <c r="T31">
        <v>7.32</v>
      </c>
      <c r="U31">
        <v>2.58</v>
      </c>
      <c r="V31">
        <v>35.200000000000003</v>
      </c>
      <c r="W31">
        <v>74</v>
      </c>
      <c r="X31">
        <v>0.61</v>
      </c>
      <c r="Y31" t="s">
        <v>1998</v>
      </c>
    </row>
    <row r="32" spans="1:25" x14ac:dyDescent="0.25">
      <c r="A32" s="15" t="s">
        <v>2006</v>
      </c>
      <c r="B32" t="s">
        <v>1633</v>
      </c>
      <c r="C32" t="s">
        <v>37</v>
      </c>
      <c r="D32" t="s">
        <v>1586</v>
      </c>
      <c r="E32">
        <v>2</v>
      </c>
      <c r="F32">
        <v>0.28000000000000003</v>
      </c>
      <c r="G32" t="s">
        <v>38</v>
      </c>
      <c r="H32" t="s">
        <v>53</v>
      </c>
      <c r="I32" t="s">
        <v>33</v>
      </c>
      <c r="P32">
        <v>1600</v>
      </c>
      <c r="Q32">
        <v>448</v>
      </c>
      <c r="R32" s="18" t="str">
        <f>IF(OR(TRIM(B32&amp;"")="",TRIM(B32&amp;"")="0"),"",HYPERLINK("https://gs.gsdiamonds.com/StoneDetails.aspx?name=" &amp; _xlfn.ENCODEURL(TRIM(B32)), TRIM(B32)))</f>
        <v>TRPZ2423</v>
      </c>
      <c r="S32">
        <v>4.8099999999999996</v>
      </c>
      <c r="T32">
        <v>2.2999999999999998</v>
      </c>
      <c r="U32">
        <v>1.6</v>
      </c>
      <c r="V32">
        <v>0</v>
      </c>
      <c r="W32">
        <v>0</v>
      </c>
      <c r="X32">
        <v>2.09</v>
      </c>
      <c r="Y32" t="s">
        <v>1999</v>
      </c>
    </row>
    <row r="33" spans="1:25" x14ac:dyDescent="0.25">
      <c r="A33" s="15" t="s">
        <v>2006</v>
      </c>
      <c r="B33" t="s">
        <v>1635</v>
      </c>
      <c r="C33" t="s">
        <v>37</v>
      </c>
      <c r="D33" t="s">
        <v>1586</v>
      </c>
      <c r="E33">
        <v>2</v>
      </c>
      <c r="F33">
        <v>0.9</v>
      </c>
      <c r="G33" t="s">
        <v>396</v>
      </c>
      <c r="H33" t="s">
        <v>50</v>
      </c>
      <c r="I33" t="s">
        <v>33</v>
      </c>
      <c r="N33" t="s">
        <v>909</v>
      </c>
      <c r="P33">
        <v>2300</v>
      </c>
      <c r="Q33">
        <v>2070</v>
      </c>
      <c r="R33" s="18" t="str">
        <f>IF(OR(TRIM(B33&amp;"")="",TRIM(B33&amp;"")="0"),"",HYPERLINK("https://gs.gsdiamonds.com/StoneDetails.aspx?name=" &amp; _xlfn.ENCODEURL(TRIM(B33)), TRIM(B33)))</f>
        <v>TRPZ2453Q</v>
      </c>
      <c r="S33">
        <v>6.04</v>
      </c>
      <c r="T33">
        <v>5.39</v>
      </c>
      <c r="U33">
        <v>2.46</v>
      </c>
      <c r="V33">
        <v>0</v>
      </c>
      <c r="W33">
        <v>0</v>
      </c>
      <c r="X33">
        <v>1.1200000000000001</v>
      </c>
      <c r="Y33" t="s">
        <v>1999</v>
      </c>
    </row>
    <row r="34" spans="1:25" x14ac:dyDescent="0.25">
      <c r="A34" s="15" t="s">
        <v>2006</v>
      </c>
      <c r="B34" t="s">
        <v>1637</v>
      </c>
      <c r="C34" t="s">
        <v>37</v>
      </c>
      <c r="D34" t="s">
        <v>1586</v>
      </c>
      <c r="E34">
        <v>2</v>
      </c>
      <c r="F34">
        <v>0.17</v>
      </c>
      <c r="G34" t="s">
        <v>38</v>
      </c>
      <c r="H34" t="s">
        <v>105</v>
      </c>
      <c r="I34" t="s">
        <v>69</v>
      </c>
      <c r="N34" t="s">
        <v>514</v>
      </c>
      <c r="P34">
        <v>800</v>
      </c>
      <c r="Q34">
        <v>136</v>
      </c>
      <c r="R34" s="18" t="str">
        <f>IF(OR(TRIM(B34&amp;"")="",TRIM(B34&amp;"")="0"),"",HYPERLINK("https://gs.gsdiamonds.com/StoneDetails.aspx?name=" &amp; _xlfn.ENCODEURL(TRIM(B34)), TRIM(B34)))</f>
        <v>TRPZ2467C</v>
      </c>
      <c r="S34">
        <v>3.88</v>
      </c>
      <c r="T34">
        <v>2.2200000000000002</v>
      </c>
      <c r="U34">
        <v>1.31</v>
      </c>
      <c r="V34">
        <v>0</v>
      </c>
      <c r="W34">
        <v>0</v>
      </c>
      <c r="X34">
        <v>1.75</v>
      </c>
      <c r="Y34" t="s">
        <v>1999</v>
      </c>
    </row>
    <row r="35" spans="1:25" x14ac:dyDescent="0.25">
      <c r="A35" s="15" t="s">
        <v>2006</v>
      </c>
      <c r="B35" t="s">
        <v>1639</v>
      </c>
      <c r="C35" t="s">
        <v>29</v>
      </c>
      <c r="D35" t="s">
        <v>1586</v>
      </c>
      <c r="E35">
        <v>1</v>
      </c>
      <c r="F35">
        <v>0.72</v>
      </c>
      <c r="G35" t="s">
        <v>49</v>
      </c>
      <c r="H35" t="s">
        <v>32</v>
      </c>
      <c r="I35" t="s">
        <v>33</v>
      </c>
      <c r="K35" t="s">
        <v>1205</v>
      </c>
      <c r="L35" t="s">
        <v>450</v>
      </c>
      <c r="M35" t="s">
        <v>421</v>
      </c>
      <c r="N35" t="s">
        <v>34</v>
      </c>
      <c r="O35">
        <v>2356362677</v>
      </c>
      <c r="P35">
        <v>3200</v>
      </c>
      <c r="Q35">
        <v>2304</v>
      </c>
      <c r="R35" s="18" t="str">
        <f>IF(OR(TRIM(B35&amp;"")="",TRIM(B35&amp;"")="0"),"",HYPERLINK("https://gs.gsdiamonds.com/StoneDetails.aspx?name=" &amp; _xlfn.ENCODEURL(TRIM(B35)), TRIM(B35)))</f>
        <v>ADIA01AAAA</v>
      </c>
      <c r="S35">
        <v>4.53</v>
      </c>
      <c r="T35">
        <v>7.2</v>
      </c>
      <c r="U35">
        <v>3.1</v>
      </c>
      <c r="V35">
        <v>43.1</v>
      </c>
      <c r="W35">
        <v>63</v>
      </c>
      <c r="X35">
        <v>0.63</v>
      </c>
      <c r="Y35" t="s">
        <v>1998</v>
      </c>
    </row>
    <row r="36" spans="1:25" x14ac:dyDescent="0.25">
      <c r="A36" s="15" t="s">
        <v>2006</v>
      </c>
      <c r="B36" t="s">
        <v>1641</v>
      </c>
      <c r="C36" t="s">
        <v>37</v>
      </c>
      <c r="D36" t="s">
        <v>1586</v>
      </c>
      <c r="E36">
        <v>2</v>
      </c>
      <c r="F36">
        <v>0.73</v>
      </c>
      <c r="G36" t="s">
        <v>38</v>
      </c>
      <c r="H36" t="s">
        <v>32</v>
      </c>
      <c r="I36" t="s">
        <v>33</v>
      </c>
      <c r="P36">
        <v>2500</v>
      </c>
      <c r="Q36">
        <v>1825</v>
      </c>
      <c r="R36" s="18" t="str">
        <f>IF(OR(TRIM(B36&amp;"")="",TRIM(B36&amp;"")="0"),"",HYPERLINK("https://gs.gsdiamonds.com/StoneDetails.aspx?name=" &amp; _xlfn.ENCODEURL(TRIM(B36)), TRIM(B36)))</f>
        <v>TRPZ2494</v>
      </c>
      <c r="S36">
        <v>5.86</v>
      </c>
      <c r="T36">
        <v>3.05</v>
      </c>
      <c r="U36">
        <v>2.91</v>
      </c>
      <c r="V36">
        <v>0</v>
      </c>
      <c r="W36">
        <v>0</v>
      </c>
      <c r="X36">
        <v>1.92</v>
      </c>
      <c r="Y36" t="s">
        <v>1999</v>
      </c>
    </row>
    <row r="37" spans="1:25" x14ac:dyDescent="0.25">
      <c r="A37" s="15" t="s">
        <v>2006</v>
      </c>
      <c r="B37" t="s">
        <v>1643</v>
      </c>
      <c r="C37" t="s">
        <v>37</v>
      </c>
      <c r="D37" t="s">
        <v>1586</v>
      </c>
      <c r="E37">
        <v>2</v>
      </c>
      <c r="F37">
        <v>0.77</v>
      </c>
      <c r="G37" t="s">
        <v>43</v>
      </c>
      <c r="H37" t="s">
        <v>57</v>
      </c>
      <c r="I37" t="s">
        <v>33</v>
      </c>
      <c r="N37" t="s">
        <v>34</v>
      </c>
      <c r="P37">
        <v>2800</v>
      </c>
      <c r="Q37">
        <v>2156</v>
      </c>
      <c r="R37" s="18" t="str">
        <f>IF(OR(TRIM(B37&amp;"")="",TRIM(B37&amp;"")="0"),"",HYPERLINK("https://gs.gsdiamonds.com/StoneDetails.aspx?name=" &amp; _xlfn.ENCODEURL(TRIM(B37)), TRIM(B37)))</f>
        <v>TRPZ2507</v>
      </c>
      <c r="S37">
        <v>5.95</v>
      </c>
      <c r="T37">
        <v>3.82</v>
      </c>
      <c r="U37">
        <v>2.2400000000000002</v>
      </c>
      <c r="V37">
        <v>0</v>
      </c>
      <c r="W37">
        <v>0</v>
      </c>
      <c r="X37">
        <v>1.56</v>
      </c>
      <c r="Y37" t="s">
        <v>1999</v>
      </c>
    </row>
    <row r="38" spans="1:25" x14ac:dyDescent="0.25">
      <c r="A38" s="15" t="s">
        <v>2006</v>
      </c>
      <c r="B38" t="s">
        <v>1645</v>
      </c>
      <c r="C38" t="s">
        <v>37</v>
      </c>
      <c r="D38" t="s">
        <v>1586</v>
      </c>
      <c r="E38">
        <v>2</v>
      </c>
      <c r="F38">
        <v>0.77</v>
      </c>
      <c r="G38" t="s">
        <v>137</v>
      </c>
      <c r="H38" t="s">
        <v>166</v>
      </c>
      <c r="I38" t="s">
        <v>69</v>
      </c>
      <c r="P38">
        <v>2200</v>
      </c>
      <c r="Q38">
        <v>1694</v>
      </c>
      <c r="R38" s="18" t="str">
        <f>IF(OR(TRIM(B38&amp;"")="",TRIM(B38&amp;"")="0"),"",HYPERLINK("https://gs.gsdiamonds.com/StoneDetails.aspx?name=" &amp; _xlfn.ENCODEURL(TRIM(B38)), TRIM(B38)))</f>
        <v>TRPZ2551</v>
      </c>
      <c r="S38">
        <v>6.11</v>
      </c>
      <c r="T38">
        <v>3.8</v>
      </c>
      <c r="U38">
        <v>2.2200000000000002</v>
      </c>
      <c r="V38">
        <v>0</v>
      </c>
      <c r="W38">
        <v>0</v>
      </c>
      <c r="X38">
        <v>1.61</v>
      </c>
      <c r="Y38" t="s">
        <v>1999</v>
      </c>
    </row>
    <row r="39" spans="1:25" x14ac:dyDescent="0.25">
      <c r="A39" s="15" t="s">
        <v>2006</v>
      </c>
      <c r="B39" t="s">
        <v>1647</v>
      </c>
      <c r="C39" t="s">
        <v>29</v>
      </c>
      <c r="D39" t="s">
        <v>1586</v>
      </c>
      <c r="E39">
        <v>2</v>
      </c>
      <c r="F39">
        <v>1.39</v>
      </c>
      <c r="G39" t="s">
        <v>43</v>
      </c>
      <c r="H39" t="s">
        <v>166</v>
      </c>
      <c r="I39" t="s">
        <v>69</v>
      </c>
      <c r="N39" t="s">
        <v>34</v>
      </c>
      <c r="P39">
        <v>2600</v>
      </c>
      <c r="Q39">
        <v>3614</v>
      </c>
      <c r="R39" s="18" t="str">
        <f>IF(OR(TRIM(B39&amp;"")="",TRIM(B39&amp;"")="0"),"",HYPERLINK("https://gs.gsdiamonds.com/StoneDetails.aspx?name=" &amp; _xlfn.ENCODEURL(TRIM(B39)), TRIM(B39)))</f>
        <v>TRPZ2553</v>
      </c>
      <c r="S39">
        <v>6.9</v>
      </c>
      <c r="T39">
        <v>4.71</v>
      </c>
      <c r="U39">
        <v>2.93</v>
      </c>
      <c r="V39">
        <v>0</v>
      </c>
      <c r="W39">
        <v>0</v>
      </c>
      <c r="X39">
        <v>1.46</v>
      </c>
      <c r="Y39" t="s">
        <v>1999</v>
      </c>
    </row>
    <row r="40" spans="1:25" x14ac:dyDescent="0.25">
      <c r="A40" s="15" t="s">
        <v>2006</v>
      </c>
      <c r="B40" t="s">
        <v>1649</v>
      </c>
      <c r="C40" t="s">
        <v>37</v>
      </c>
      <c r="D40" t="s">
        <v>1586</v>
      </c>
      <c r="E40">
        <v>2</v>
      </c>
      <c r="F40">
        <v>0.53</v>
      </c>
      <c r="G40" t="s">
        <v>396</v>
      </c>
      <c r="H40" t="s">
        <v>166</v>
      </c>
      <c r="I40" t="s">
        <v>69</v>
      </c>
      <c r="N40" t="s">
        <v>34</v>
      </c>
      <c r="P40">
        <v>1300</v>
      </c>
      <c r="Q40">
        <v>689</v>
      </c>
      <c r="R40" s="18" t="str">
        <f>IF(OR(TRIM(B40&amp;"")="",TRIM(B40&amp;"")="0"),"",HYPERLINK("https://gs.gsdiamonds.com/StoneDetails.aspx?name=" &amp; _xlfn.ENCODEURL(TRIM(B40)), TRIM(B40)))</f>
        <v>TRPZ2574</v>
      </c>
      <c r="S40">
        <v>5.74</v>
      </c>
      <c r="T40">
        <v>2.96</v>
      </c>
      <c r="U40">
        <v>2.15</v>
      </c>
      <c r="V40">
        <v>0</v>
      </c>
      <c r="W40">
        <v>0</v>
      </c>
      <c r="X40">
        <v>1.94</v>
      </c>
      <c r="Y40" t="s">
        <v>1999</v>
      </c>
    </row>
    <row r="41" spans="1:25" x14ac:dyDescent="0.25">
      <c r="A41" s="15" t="s">
        <v>2006</v>
      </c>
      <c r="B41" t="s">
        <v>1651</v>
      </c>
      <c r="C41" t="s">
        <v>37</v>
      </c>
      <c r="D41" t="s">
        <v>1586</v>
      </c>
      <c r="E41">
        <v>2</v>
      </c>
      <c r="F41">
        <v>1.05</v>
      </c>
      <c r="G41" t="s">
        <v>38</v>
      </c>
      <c r="H41" t="s">
        <v>166</v>
      </c>
      <c r="I41" t="s">
        <v>69</v>
      </c>
      <c r="N41" t="s">
        <v>34</v>
      </c>
      <c r="P41">
        <v>3400</v>
      </c>
      <c r="Q41">
        <v>3570</v>
      </c>
      <c r="R41" s="18" t="str">
        <f>IF(OR(TRIM(B41&amp;"")="",TRIM(B41&amp;"")="0"),"",HYPERLINK("https://gs.gsdiamonds.com/StoneDetails.aspx?name=" &amp; _xlfn.ENCODEURL(TRIM(B41)), TRIM(B41)))</f>
        <v>TRPZ2578</v>
      </c>
      <c r="S41">
        <v>7.71</v>
      </c>
      <c r="T41">
        <v>4.32</v>
      </c>
      <c r="U41">
        <v>2.4900000000000002</v>
      </c>
      <c r="V41">
        <v>0</v>
      </c>
      <c r="W41">
        <v>0</v>
      </c>
      <c r="X41">
        <v>1.78</v>
      </c>
      <c r="Y41" t="s">
        <v>1999</v>
      </c>
    </row>
    <row r="42" spans="1:25" x14ac:dyDescent="0.25">
      <c r="A42" s="15" t="s">
        <v>2006</v>
      </c>
      <c r="B42" t="s">
        <v>1653</v>
      </c>
      <c r="C42" t="s">
        <v>29</v>
      </c>
      <c r="D42" t="s">
        <v>1586</v>
      </c>
      <c r="E42">
        <v>2</v>
      </c>
      <c r="F42">
        <v>0.7</v>
      </c>
      <c r="G42" t="s">
        <v>137</v>
      </c>
      <c r="H42" t="s">
        <v>166</v>
      </c>
      <c r="I42" t="s">
        <v>69</v>
      </c>
      <c r="N42" t="s">
        <v>34</v>
      </c>
      <c r="P42">
        <v>1700</v>
      </c>
      <c r="Q42">
        <v>1190</v>
      </c>
      <c r="R42" s="18" t="str">
        <f>IF(OR(TRIM(B42&amp;"")="",TRIM(B42&amp;"")="0"),"",HYPERLINK("https://gs.gsdiamonds.com/StoneDetails.aspx?name=" &amp; _xlfn.ENCODEURL(TRIM(B42)), TRIM(B42)))</f>
        <v>TRPZ2581</v>
      </c>
      <c r="S42">
        <v>6.36</v>
      </c>
      <c r="T42">
        <v>3.24</v>
      </c>
      <c r="U42">
        <v>2.2599999999999998</v>
      </c>
      <c r="V42">
        <v>0</v>
      </c>
      <c r="W42">
        <v>0</v>
      </c>
      <c r="X42">
        <v>1.96</v>
      </c>
      <c r="Y42" t="s">
        <v>1999</v>
      </c>
    </row>
    <row r="43" spans="1:25" x14ac:dyDescent="0.25">
      <c r="A43" s="15" t="s">
        <v>2006</v>
      </c>
      <c r="B43" t="s">
        <v>1655</v>
      </c>
      <c r="C43" t="s">
        <v>37</v>
      </c>
      <c r="D43" t="s">
        <v>1586</v>
      </c>
      <c r="E43">
        <v>2</v>
      </c>
      <c r="F43">
        <v>0.56999999999999995</v>
      </c>
      <c r="G43" t="s">
        <v>396</v>
      </c>
      <c r="H43" t="s">
        <v>32</v>
      </c>
      <c r="I43" t="s">
        <v>33</v>
      </c>
      <c r="N43" t="s">
        <v>70</v>
      </c>
      <c r="P43">
        <v>2400</v>
      </c>
      <c r="Q43">
        <v>1368</v>
      </c>
      <c r="R43" s="18" t="str">
        <f>IF(OR(TRIM(B43&amp;"")="",TRIM(B43&amp;"")="0"),"",HYPERLINK("https://gs.gsdiamonds.com/StoneDetails.aspx?name=" &amp; _xlfn.ENCODEURL(TRIM(B43)), TRIM(B43)))</f>
        <v>TRPZ2602</v>
      </c>
      <c r="S43">
        <v>5.85</v>
      </c>
      <c r="T43">
        <v>3.37</v>
      </c>
      <c r="U43">
        <v>1.92</v>
      </c>
      <c r="V43">
        <v>0</v>
      </c>
      <c r="W43">
        <v>0</v>
      </c>
      <c r="X43">
        <v>1.74</v>
      </c>
      <c r="Y43" t="s">
        <v>1999</v>
      </c>
    </row>
    <row r="44" spans="1:25" x14ac:dyDescent="0.25">
      <c r="A44" s="15" t="s">
        <v>2006</v>
      </c>
      <c r="B44" t="s">
        <v>1657</v>
      </c>
      <c r="C44" t="s">
        <v>37</v>
      </c>
      <c r="D44" t="s">
        <v>1586</v>
      </c>
      <c r="E44">
        <v>2</v>
      </c>
      <c r="F44">
        <v>0.93</v>
      </c>
      <c r="G44" t="s">
        <v>73</v>
      </c>
      <c r="H44" t="s">
        <v>50</v>
      </c>
      <c r="I44" t="s">
        <v>33</v>
      </c>
      <c r="P44">
        <v>1700</v>
      </c>
      <c r="Q44">
        <v>1581</v>
      </c>
      <c r="R44" s="18" t="str">
        <f>IF(OR(TRIM(B44&amp;"")="",TRIM(B44&amp;"")="0"),"",HYPERLINK("https://gs.gsdiamonds.com/StoneDetails.aspx?name=" &amp; _xlfn.ENCODEURL(TRIM(B44)), TRIM(B44)))</f>
        <v>TRPZ2606</v>
      </c>
      <c r="S44">
        <v>6.6</v>
      </c>
      <c r="T44">
        <v>3.53</v>
      </c>
      <c r="U44">
        <v>2.61</v>
      </c>
      <c r="V44">
        <v>0</v>
      </c>
      <c r="W44">
        <v>0</v>
      </c>
      <c r="X44">
        <v>1.87</v>
      </c>
      <c r="Y44" t="s">
        <v>1999</v>
      </c>
    </row>
    <row r="45" spans="1:25" x14ac:dyDescent="0.25">
      <c r="A45" s="15" t="s">
        <v>2006</v>
      </c>
      <c r="B45" t="s">
        <v>1659</v>
      </c>
      <c r="C45" t="s">
        <v>29</v>
      </c>
      <c r="D45" t="s">
        <v>1586</v>
      </c>
      <c r="E45">
        <v>1</v>
      </c>
      <c r="F45">
        <v>0.77</v>
      </c>
      <c r="G45" t="s">
        <v>49</v>
      </c>
      <c r="H45" t="s">
        <v>32</v>
      </c>
      <c r="I45" t="s">
        <v>33</v>
      </c>
      <c r="K45" t="s">
        <v>43</v>
      </c>
      <c r="L45" t="s">
        <v>43</v>
      </c>
      <c r="M45" t="s">
        <v>421</v>
      </c>
      <c r="N45" t="s">
        <v>34</v>
      </c>
      <c r="O45">
        <v>7413319524</v>
      </c>
      <c r="P45">
        <v>3000</v>
      </c>
      <c r="Q45">
        <v>2310</v>
      </c>
      <c r="R45" s="18" t="str">
        <f>IF(OR(TRIM(B45&amp;"")="",TRIM(B45&amp;"")="0"),"",HYPERLINK("https://gs.gsdiamonds.com/StoneDetails.aspx?name=" &amp; _xlfn.ENCODEURL(TRIM(B45)), TRIM(B45)))</f>
        <v>ORY004A</v>
      </c>
      <c r="S45">
        <v>4.08</v>
      </c>
      <c r="T45">
        <v>9.19</v>
      </c>
      <c r="U45">
        <v>2.71</v>
      </c>
      <c r="V45">
        <v>29.5</v>
      </c>
      <c r="W45">
        <v>76</v>
      </c>
      <c r="X45">
        <v>0.44</v>
      </c>
      <c r="Y45" t="s">
        <v>1998</v>
      </c>
    </row>
    <row r="46" spans="1:25" x14ac:dyDescent="0.25">
      <c r="A46" s="15" t="s">
        <v>2006</v>
      </c>
      <c r="B46" t="s">
        <v>1661</v>
      </c>
      <c r="C46" t="s">
        <v>29</v>
      </c>
      <c r="D46" t="s">
        <v>1586</v>
      </c>
      <c r="E46">
        <v>2</v>
      </c>
      <c r="F46">
        <v>0.25</v>
      </c>
      <c r="G46" t="s">
        <v>43</v>
      </c>
      <c r="H46" t="s">
        <v>50</v>
      </c>
      <c r="I46" t="s">
        <v>33</v>
      </c>
      <c r="N46" t="s">
        <v>58</v>
      </c>
      <c r="P46">
        <v>1100</v>
      </c>
      <c r="Q46">
        <v>275</v>
      </c>
      <c r="R46" s="18" t="str">
        <f>IF(OR(TRIM(B46&amp;"")="",TRIM(B46&amp;"")="0"),"",HYPERLINK("https://gs.gsdiamonds.com/StoneDetails.aspx?name=" &amp; _xlfn.ENCODEURL(TRIM(B46)), TRIM(B46)))</f>
        <v>TRPZ2641</v>
      </c>
      <c r="S46">
        <v>4.7699999999999996</v>
      </c>
      <c r="T46">
        <v>2.25</v>
      </c>
      <c r="U46">
        <v>1.6</v>
      </c>
      <c r="V46">
        <v>0</v>
      </c>
      <c r="W46">
        <v>0</v>
      </c>
      <c r="X46">
        <v>2.12</v>
      </c>
      <c r="Y46" t="s">
        <v>1999</v>
      </c>
    </row>
    <row r="47" spans="1:25" x14ac:dyDescent="0.25">
      <c r="A47" s="15" t="s">
        <v>2006</v>
      </c>
      <c r="B47" t="s">
        <v>1663</v>
      </c>
      <c r="C47" t="s">
        <v>37</v>
      </c>
      <c r="D47" t="s">
        <v>1586</v>
      </c>
      <c r="E47">
        <v>2</v>
      </c>
      <c r="F47">
        <v>0.36</v>
      </c>
      <c r="G47" t="s">
        <v>31</v>
      </c>
      <c r="H47" t="s">
        <v>57</v>
      </c>
      <c r="I47" t="s">
        <v>33</v>
      </c>
      <c r="P47">
        <v>1700</v>
      </c>
      <c r="Q47">
        <v>612</v>
      </c>
      <c r="R47" s="18" t="str">
        <f>IF(OR(TRIM(B47&amp;"")="",TRIM(B47&amp;"")="0"),"",HYPERLINK("https://gs.gsdiamonds.com/StoneDetails.aspx?name=" &amp; _xlfn.ENCODEURL(TRIM(B47)), TRIM(B47)))</f>
        <v>TRPZ2639C</v>
      </c>
      <c r="S47">
        <v>4.9800000000000004</v>
      </c>
      <c r="T47">
        <v>2.69</v>
      </c>
      <c r="U47">
        <v>1.9</v>
      </c>
      <c r="V47">
        <v>0</v>
      </c>
      <c r="W47">
        <v>0</v>
      </c>
      <c r="X47">
        <v>1.85</v>
      </c>
      <c r="Y47" t="s">
        <v>1999</v>
      </c>
    </row>
    <row r="48" spans="1:25" x14ac:dyDescent="0.25">
      <c r="A48" s="15" t="s">
        <v>2006</v>
      </c>
      <c r="B48" t="s">
        <v>1665</v>
      </c>
      <c r="C48" t="s">
        <v>37</v>
      </c>
      <c r="D48" t="s">
        <v>1586</v>
      </c>
      <c r="E48">
        <v>2</v>
      </c>
      <c r="F48">
        <v>0.77</v>
      </c>
      <c r="G48" t="s">
        <v>137</v>
      </c>
      <c r="H48" t="s">
        <v>32</v>
      </c>
      <c r="I48" t="s">
        <v>397</v>
      </c>
      <c r="P48">
        <v>3900</v>
      </c>
      <c r="Q48">
        <v>3003</v>
      </c>
      <c r="R48" s="18" t="str">
        <f>IF(OR(TRIM(B48&amp;"")="",TRIM(B48&amp;"")="0"),"",HYPERLINK("https://gs.gsdiamonds.com/StoneDetails.aspx?name=" &amp; _xlfn.ENCODEURL(TRIM(B48)), TRIM(B48)))</f>
        <v>TRPZ2645</v>
      </c>
      <c r="S48">
        <v>3.22</v>
      </c>
      <c r="T48">
        <v>7</v>
      </c>
      <c r="U48">
        <v>2.21</v>
      </c>
      <c r="V48">
        <v>0</v>
      </c>
      <c r="W48">
        <v>0</v>
      </c>
      <c r="X48">
        <v>0.46</v>
      </c>
      <c r="Y48" t="s">
        <v>1999</v>
      </c>
    </row>
    <row r="49" spans="1:25" x14ac:dyDescent="0.25">
      <c r="A49" s="15" t="s">
        <v>2006</v>
      </c>
      <c r="B49" t="s">
        <v>1667</v>
      </c>
      <c r="C49" t="s">
        <v>37</v>
      </c>
      <c r="D49" t="s">
        <v>1586</v>
      </c>
      <c r="E49">
        <v>2</v>
      </c>
      <c r="F49">
        <v>0.18</v>
      </c>
      <c r="G49" t="s">
        <v>137</v>
      </c>
      <c r="H49" t="s">
        <v>57</v>
      </c>
      <c r="I49" t="s">
        <v>33</v>
      </c>
      <c r="N49" t="s">
        <v>34</v>
      </c>
      <c r="P49">
        <v>1600</v>
      </c>
      <c r="Q49">
        <v>288</v>
      </c>
      <c r="R49" s="18" t="str">
        <f>IF(OR(TRIM(B49&amp;"")="",TRIM(B49&amp;"")="0"),"",HYPERLINK("https://gs.gsdiamonds.com/StoneDetails.aspx?name=" &amp; _xlfn.ENCODEURL(TRIM(B49)), TRIM(B49)))</f>
        <v>TRPZ2651</v>
      </c>
      <c r="S49">
        <v>4.38</v>
      </c>
      <c r="T49">
        <v>2.33</v>
      </c>
      <c r="U49">
        <v>1.48</v>
      </c>
      <c r="V49">
        <v>0</v>
      </c>
      <c r="W49">
        <v>0</v>
      </c>
      <c r="X49">
        <v>1.88</v>
      </c>
      <c r="Y49" t="s">
        <v>1999</v>
      </c>
    </row>
    <row r="50" spans="1:25" x14ac:dyDescent="0.25">
      <c r="A50" s="15" t="s">
        <v>2006</v>
      </c>
      <c r="B50" t="s">
        <v>1669</v>
      </c>
      <c r="C50" t="s">
        <v>29</v>
      </c>
      <c r="D50" t="s">
        <v>1586</v>
      </c>
      <c r="E50">
        <v>2</v>
      </c>
      <c r="F50">
        <v>0.21</v>
      </c>
      <c r="G50" t="s">
        <v>43</v>
      </c>
      <c r="H50" t="s">
        <v>57</v>
      </c>
      <c r="I50" t="s">
        <v>33</v>
      </c>
      <c r="P50">
        <v>1300</v>
      </c>
      <c r="Q50">
        <v>273</v>
      </c>
      <c r="R50" s="18" t="str">
        <f>IF(OR(TRIM(B50&amp;"")="",TRIM(B50&amp;"")="0"),"",HYPERLINK("https://gs.gsdiamonds.com/StoneDetails.aspx?name=" &amp; _xlfn.ENCODEURL(TRIM(B50)), TRIM(B50)))</f>
        <v>TRPZ2678</v>
      </c>
      <c r="S50">
        <v>4.3899999999999997</v>
      </c>
      <c r="T50">
        <v>2.54</v>
      </c>
      <c r="U50">
        <v>1.33</v>
      </c>
      <c r="V50">
        <v>0</v>
      </c>
      <c r="W50">
        <v>0</v>
      </c>
      <c r="X50">
        <v>1.73</v>
      </c>
      <c r="Y50" t="s">
        <v>1999</v>
      </c>
    </row>
    <row r="51" spans="1:25" x14ac:dyDescent="0.25">
      <c r="A51" s="15" t="s">
        <v>2006</v>
      </c>
      <c r="B51" t="s">
        <v>1671</v>
      </c>
      <c r="C51" t="s">
        <v>37</v>
      </c>
      <c r="D51" t="s">
        <v>1586</v>
      </c>
      <c r="E51">
        <v>2</v>
      </c>
      <c r="F51">
        <v>0.4</v>
      </c>
      <c r="G51" t="s">
        <v>31</v>
      </c>
      <c r="H51" t="s">
        <v>50</v>
      </c>
      <c r="I51" t="s">
        <v>33</v>
      </c>
      <c r="P51">
        <v>1300</v>
      </c>
      <c r="Q51">
        <v>520</v>
      </c>
      <c r="R51" s="18" t="str">
        <f>IF(OR(TRIM(B51&amp;"")="",TRIM(B51&amp;"")="0"),"",HYPERLINK("https://gs.gsdiamonds.com/StoneDetails.aspx?name=" &amp; _xlfn.ENCODEURL(TRIM(B51)), TRIM(B51)))</f>
        <v>TRPZ2681</v>
      </c>
      <c r="S51">
        <v>5.27</v>
      </c>
      <c r="T51">
        <v>2.61</v>
      </c>
      <c r="U51">
        <v>1.83</v>
      </c>
      <c r="V51">
        <v>0</v>
      </c>
      <c r="W51">
        <v>0</v>
      </c>
      <c r="X51">
        <v>2.02</v>
      </c>
      <c r="Y51" t="s">
        <v>1999</v>
      </c>
    </row>
    <row r="52" spans="1:25" x14ac:dyDescent="0.25">
      <c r="A52" s="15" t="s">
        <v>2006</v>
      </c>
      <c r="B52" t="s">
        <v>1673</v>
      </c>
      <c r="C52" t="s">
        <v>29</v>
      </c>
      <c r="D52" t="s">
        <v>1586</v>
      </c>
      <c r="E52">
        <v>2</v>
      </c>
      <c r="F52">
        <v>0.27</v>
      </c>
      <c r="G52" t="s">
        <v>137</v>
      </c>
      <c r="H52" t="s">
        <v>57</v>
      </c>
      <c r="I52" t="s">
        <v>33</v>
      </c>
      <c r="P52">
        <v>2100</v>
      </c>
      <c r="Q52">
        <v>567</v>
      </c>
      <c r="R52" s="18" t="str">
        <f>IF(OR(TRIM(B52&amp;"")="",TRIM(B52&amp;"")="0"),"",HYPERLINK("https://gs.gsdiamonds.com/StoneDetails.aspx?name=" &amp; _xlfn.ENCODEURL(TRIM(B52)), TRIM(B52)))</f>
        <v>TRPZ2684</v>
      </c>
      <c r="S52">
        <v>5.5</v>
      </c>
      <c r="T52">
        <v>2.17</v>
      </c>
      <c r="U52">
        <v>1.67</v>
      </c>
      <c r="V52">
        <v>0</v>
      </c>
      <c r="W52">
        <v>0</v>
      </c>
      <c r="X52">
        <v>2.5299999999999998</v>
      </c>
      <c r="Y52" t="s">
        <v>1999</v>
      </c>
    </row>
    <row r="53" spans="1:25" x14ac:dyDescent="0.25">
      <c r="A53" s="15" t="s">
        <v>2006</v>
      </c>
      <c r="B53" t="s">
        <v>1675</v>
      </c>
      <c r="C53" t="s">
        <v>37</v>
      </c>
      <c r="D53" t="s">
        <v>1586</v>
      </c>
      <c r="E53">
        <v>2</v>
      </c>
      <c r="F53">
        <v>0.74</v>
      </c>
      <c r="G53" t="s">
        <v>43</v>
      </c>
      <c r="H53" t="s">
        <v>57</v>
      </c>
      <c r="I53" t="s">
        <v>33</v>
      </c>
      <c r="N53" t="s">
        <v>61</v>
      </c>
      <c r="P53">
        <v>2800</v>
      </c>
      <c r="Q53">
        <v>2072</v>
      </c>
      <c r="R53" s="18" t="str">
        <f>IF(OR(TRIM(B53&amp;"")="",TRIM(B53&amp;"")="0"),"",HYPERLINK("https://gs.gsdiamonds.com/StoneDetails.aspx?name=" &amp; _xlfn.ENCODEURL(TRIM(B53)), TRIM(B53)))</f>
        <v>TRPZ2696</v>
      </c>
      <c r="S53">
        <v>6.33</v>
      </c>
      <c r="T53">
        <v>3.85</v>
      </c>
      <c r="U53">
        <v>2.2000000000000002</v>
      </c>
      <c r="V53">
        <v>0</v>
      </c>
      <c r="W53">
        <v>0</v>
      </c>
      <c r="X53">
        <v>1.64</v>
      </c>
      <c r="Y53" t="s">
        <v>1999</v>
      </c>
    </row>
    <row r="54" spans="1:25" x14ac:dyDescent="0.25">
      <c r="A54" s="15" t="s">
        <v>2006</v>
      </c>
      <c r="B54" t="s">
        <v>1677</v>
      </c>
      <c r="C54" t="s">
        <v>29</v>
      </c>
      <c r="D54" t="s">
        <v>1586</v>
      </c>
      <c r="E54">
        <v>2</v>
      </c>
      <c r="F54">
        <v>0.76</v>
      </c>
      <c r="G54" t="s">
        <v>396</v>
      </c>
      <c r="H54" t="s">
        <v>50</v>
      </c>
      <c r="I54" t="s">
        <v>33</v>
      </c>
      <c r="N54" t="s">
        <v>34</v>
      </c>
      <c r="P54">
        <v>3500</v>
      </c>
      <c r="Q54">
        <v>2660</v>
      </c>
      <c r="R54" s="18" t="str">
        <f>IF(OR(TRIM(B54&amp;"")="",TRIM(B54&amp;"")="0"),"",HYPERLINK("https://gs.gsdiamonds.com/StoneDetails.aspx?name=" &amp; _xlfn.ENCODEURL(TRIM(B54)), TRIM(B54)))</f>
        <v>TRPZ2703</v>
      </c>
      <c r="S54">
        <v>7.9</v>
      </c>
      <c r="T54">
        <v>3.46</v>
      </c>
      <c r="U54">
        <v>1.98</v>
      </c>
      <c r="V54">
        <v>0</v>
      </c>
      <c r="W54">
        <v>0</v>
      </c>
      <c r="X54">
        <v>2.2799999999999998</v>
      </c>
      <c r="Y54" t="s">
        <v>1999</v>
      </c>
    </row>
    <row r="55" spans="1:25" x14ac:dyDescent="0.25">
      <c r="A55" s="15" t="s">
        <v>2006</v>
      </c>
      <c r="B55" t="s">
        <v>1679</v>
      </c>
      <c r="C55" t="s">
        <v>37</v>
      </c>
      <c r="D55" t="s">
        <v>1586</v>
      </c>
      <c r="E55">
        <v>2</v>
      </c>
      <c r="F55">
        <v>0.35</v>
      </c>
      <c r="G55" t="s">
        <v>396</v>
      </c>
      <c r="H55" t="s">
        <v>53</v>
      </c>
      <c r="I55" t="s">
        <v>33</v>
      </c>
      <c r="N55" t="s">
        <v>34</v>
      </c>
      <c r="P55">
        <v>2100</v>
      </c>
      <c r="Q55">
        <v>735</v>
      </c>
      <c r="R55" s="18" t="str">
        <f>IF(OR(TRIM(B55&amp;"")="",TRIM(B55&amp;"")="0"),"",HYPERLINK("https://gs.gsdiamonds.com/StoneDetails.aspx?name=" &amp; _xlfn.ENCODEURL(TRIM(B55)), TRIM(B55)))</f>
        <v>TRPZ2704</v>
      </c>
      <c r="S55">
        <v>4.78</v>
      </c>
      <c r="T55">
        <v>2.71</v>
      </c>
      <c r="U55">
        <v>1.88</v>
      </c>
      <c r="V55">
        <v>0</v>
      </c>
      <c r="W55">
        <v>0</v>
      </c>
      <c r="X55">
        <v>1.76</v>
      </c>
      <c r="Y55" t="s">
        <v>1999</v>
      </c>
    </row>
    <row r="56" spans="1:25" x14ac:dyDescent="0.25">
      <c r="A56" s="15" t="s">
        <v>2006</v>
      </c>
      <c r="B56" t="s">
        <v>1681</v>
      </c>
      <c r="C56" t="s">
        <v>37</v>
      </c>
      <c r="D56" t="s">
        <v>1586</v>
      </c>
      <c r="E56">
        <v>2</v>
      </c>
      <c r="F56">
        <v>0.65</v>
      </c>
      <c r="G56" t="s">
        <v>137</v>
      </c>
      <c r="H56" t="s">
        <v>68</v>
      </c>
      <c r="I56" t="s">
        <v>33</v>
      </c>
      <c r="N56" t="s">
        <v>909</v>
      </c>
      <c r="P56">
        <v>3000</v>
      </c>
      <c r="Q56">
        <v>1950</v>
      </c>
      <c r="R56" s="18" t="str">
        <f>IF(OR(TRIM(B56&amp;"")="",TRIM(B56&amp;"")="0"),"",HYPERLINK("https://gs.gsdiamonds.com/StoneDetails.aspx?name=" &amp; _xlfn.ENCODEURL(TRIM(B56)), TRIM(B56)))</f>
        <v>TRPZ2708</v>
      </c>
      <c r="S56">
        <v>5.71</v>
      </c>
      <c r="T56">
        <v>3.76</v>
      </c>
      <c r="U56">
        <v>2.15</v>
      </c>
      <c r="V56">
        <v>0</v>
      </c>
      <c r="W56">
        <v>0</v>
      </c>
      <c r="X56">
        <v>1.52</v>
      </c>
      <c r="Y56" t="s">
        <v>1999</v>
      </c>
    </row>
    <row r="57" spans="1:25" x14ac:dyDescent="0.25">
      <c r="A57" s="15" t="s">
        <v>2006</v>
      </c>
      <c r="B57" t="s">
        <v>1683</v>
      </c>
      <c r="C57" t="s">
        <v>37</v>
      </c>
      <c r="D57" t="s">
        <v>1586</v>
      </c>
      <c r="E57">
        <v>2</v>
      </c>
      <c r="F57">
        <v>0.4</v>
      </c>
      <c r="G57" t="s">
        <v>49</v>
      </c>
      <c r="H57" t="s">
        <v>57</v>
      </c>
      <c r="I57" t="s">
        <v>33</v>
      </c>
      <c r="P57">
        <v>1700</v>
      </c>
      <c r="Q57">
        <v>680</v>
      </c>
      <c r="R57" s="18" t="str">
        <f>IF(OR(TRIM(B57&amp;"")="",TRIM(B57&amp;"")="0"),"",HYPERLINK("https://gs.gsdiamonds.com/StoneDetails.aspx?name=" &amp; _xlfn.ENCODEURL(TRIM(B57)), TRIM(B57)))</f>
        <v>TRPZ2710</v>
      </c>
      <c r="S57">
        <v>5.0199999999999996</v>
      </c>
      <c r="T57">
        <v>2.84</v>
      </c>
      <c r="U57">
        <v>2.0099999999999998</v>
      </c>
      <c r="V57">
        <v>0</v>
      </c>
      <c r="W57">
        <v>0</v>
      </c>
      <c r="X57">
        <v>1.77</v>
      </c>
      <c r="Y57" t="s">
        <v>1999</v>
      </c>
    </row>
    <row r="58" spans="1:25" x14ac:dyDescent="0.25">
      <c r="A58" s="15" t="s">
        <v>2006</v>
      </c>
      <c r="B58" t="s">
        <v>1685</v>
      </c>
      <c r="C58" t="s">
        <v>37</v>
      </c>
      <c r="D58" t="s">
        <v>1586</v>
      </c>
      <c r="E58">
        <v>2</v>
      </c>
      <c r="F58">
        <v>0.4</v>
      </c>
      <c r="G58" t="s">
        <v>396</v>
      </c>
      <c r="H58" t="s">
        <v>39</v>
      </c>
      <c r="I58" t="s">
        <v>33</v>
      </c>
      <c r="N58" t="s">
        <v>34</v>
      </c>
      <c r="P58">
        <v>2200</v>
      </c>
      <c r="Q58">
        <v>880</v>
      </c>
      <c r="R58" s="18" t="str">
        <f>IF(OR(TRIM(B58&amp;"")="",TRIM(B58&amp;"")="0"),"",HYPERLINK("https://gs.gsdiamonds.com/StoneDetails.aspx?name=" &amp; _xlfn.ENCODEURL(TRIM(B58)), TRIM(B58)))</f>
        <v>TRPZ2711</v>
      </c>
      <c r="S58">
        <v>5.0199999999999996</v>
      </c>
      <c r="T58">
        <v>2.9</v>
      </c>
      <c r="U58">
        <v>1.94</v>
      </c>
      <c r="V58">
        <v>0</v>
      </c>
      <c r="W58">
        <v>0</v>
      </c>
      <c r="X58">
        <v>1.73</v>
      </c>
      <c r="Y58" t="s">
        <v>1999</v>
      </c>
    </row>
    <row r="59" spans="1:25" x14ac:dyDescent="0.25">
      <c r="A59" s="15" t="s">
        <v>2006</v>
      </c>
      <c r="B59" t="s">
        <v>1687</v>
      </c>
      <c r="C59" t="s">
        <v>37</v>
      </c>
      <c r="D59" t="s">
        <v>1586</v>
      </c>
      <c r="E59">
        <v>2</v>
      </c>
      <c r="F59">
        <v>0.2</v>
      </c>
      <c r="G59" t="s">
        <v>396</v>
      </c>
      <c r="H59" t="s">
        <v>39</v>
      </c>
      <c r="I59" t="s">
        <v>33</v>
      </c>
      <c r="N59" t="s">
        <v>34</v>
      </c>
      <c r="P59">
        <v>1700</v>
      </c>
      <c r="Q59">
        <v>340</v>
      </c>
      <c r="R59" s="18" t="str">
        <f>IF(OR(TRIM(B59&amp;"")="",TRIM(B59&amp;"")="0"),"",HYPERLINK("https://gs.gsdiamonds.com/StoneDetails.aspx?name=" &amp; _xlfn.ENCODEURL(TRIM(B59)), TRIM(B59)))</f>
        <v>TRPZ2714</v>
      </c>
      <c r="S59">
        <v>4.05</v>
      </c>
      <c r="T59">
        <v>2.2400000000000002</v>
      </c>
      <c r="U59">
        <v>1.55</v>
      </c>
      <c r="V59">
        <v>0</v>
      </c>
      <c r="W59">
        <v>0</v>
      </c>
      <c r="X59">
        <v>1.81</v>
      </c>
      <c r="Y59" t="s">
        <v>1999</v>
      </c>
    </row>
    <row r="60" spans="1:25" x14ac:dyDescent="0.25">
      <c r="A60" s="15" t="s">
        <v>2006</v>
      </c>
      <c r="B60" t="s">
        <v>1689</v>
      </c>
      <c r="C60" t="s">
        <v>37</v>
      </c>
      <c r="D60" t="s">
        <v>1586</v>
      </c>
      <c r="E60">
        <v>2</v>
      </c>
      <c r="F60">
        <v>0.17</v>
      </c>
      <c r="G60" t="s">
        <v>137</v>
      </c>
      <c r="H60" t="s">
        <v>32</v>
      </c>
      <c r="I60" t="s">
        <v>33</v>
      </c>
      <c r="P60">
        <v>1200</v>
      </c>
      <c r="Q60">
        <v>204</v>
      </c>
      <c r="R60" s="18" t="str">
        <f>IF(OR(TRIM(B60&amp;"")="",TRIM(B60&amp;"")="0"),"",HYPERLINK("https://gs.gsdiamonds.com/StoneDetails.aspx?name=" &amp; _xlfn.ENCODEURL(TRIM(B60)), TRIM(B60)))</f>
        <v>TRPZ2723</v>
      </c>
      <c r="S60">
        <v>4.01</v>
      </c>
      <c r="T60">
        <v>1.72</v>
      </c>
      <c r="U60">
        <v>1.47</v>
      </c>
      <c r="V60">
        <v>0</v>
      </c>
      <c r="W60">
        <v>0</v>
      </c>
      <c r="X60">
        <v>2.33</v>
      </c>
      <c r="Y60" t="s">
        <v>1999</v>
      </c>
    </row>
    <row r="61" spans="1:25" x14ac:dyDescent="0.25">
      <c r="A61" s="15" t="s">
        <v>2006</v>
      </c>
      <c r="B61" t="s">
        <v>1691</v>
      </c>
      <c r="C61" t="s">
        <v>37</v>
      </c>
      <c r="D61" t="s">
        <v>1586</v>
      </c>
      <c r="E61">
        <v>2</v>
      </c>
      <c r="F61">
        <v>0.16</v>
      </c>
      <c r="G61" t="s">
        <v>43</v>
      </c>
      <c r="H61" t="s">
        <v>32</v>
      </c>
      <c r="I61" t="s">
        <v>33</v>
      </c>
      <c r="P61">
        <v>1200</v>
      </c>
      <c r="Q61">
        <v>192</v>
      </c>
      <c r="R61" s="18" t="str">
        <f>IF(OR(TRIM(B61&amp;"")="",TRIM(B61&amp;"")="0"),"",HYPERLINK("https://gs.gsdiamonds.com/StoneDetails.aspx?name=" &amp; _xlfn.ENCODEURL(TRIM(B61)), TRIM(B61)))</f>
        <v>TRPZ2726</v>
      </c>
      <c r="S61">
        <v>3.17</v>
      </c>
      <c r="T61">
        <v>2.04</v>
      </c>
      <c r="U61">
        <v>1.76</v>
      </c>
      <c r="V61">
        <v>0</v>
      </c>
      <c r="W61">
        <v>0</v>
      </c>
      <c r="X61">
        <v>1.55</v>
      </c>
      <c r="Y61" t="s">
        <v>1999</v>
      </c>
    </row>
    <row r="62" spans="1:25" x14ac:dyDescent="0.25">
      <c r="A62" s="15" t="s">
        <v>2006</v>
      </c>
      <c r="B62" t="s">
        <v>1693</v>
      </c>
      <c r="C62" t="s">
        <v>29</v>
      </c>
      <c r="D62" t="s">
        <v>1586</v>
      </c>
      <c r="E62">
        <v>1</v>
      </c>
      <c r="F62">
        <v>0.45</v>
      </c>
      <c r="G62" t="s">
        <v>67</v>
      </c>
      <c r="H62" t="s">
        <v>53</v>
      </c>
      <c r="I62" t="s">
        <v>69</v>
      </c>
      <c r="K62" t="s">
        <v>43</v>
      </c>
      <c r="L62" t="s">
        <v>43</v>
      </c>
      <c r="M62" t="s">
        <v>421</v>
      </c>
      <c r="N62" t="s">
        <v>58</v>
      </c>
      <c r="O62">
        <v>7402943518</v>
      </c>
      <c r="P62">
        <v>3000</v>
      </c>
      <c r="Q62">
        <v>1350</v>
      </c>
      <c r="R62" s="18" t="str">
        <f>IF(OR(TRIM(B62&amp;"")="",TRIM(B62&amp;"")="0"),"",HYPERLINK("https://gs.gsdiamonds.com/StoneDetails.aspx?name=" &amp; _xlfn.ENCODEURL(TRIM(B62)), TRIM(B62)))</f>
        <v>LDRL011AA</v>
      </c>
      <c r="S62">
        <v>3.68</v>
      </c>
      <c r="T62">
        <v>7.7</v>
      </c>
      <c r="U62">
        <v>2.14</v>
      </c>
      <c r="V62">
        <v>27.8</v>
      </c>
      <c r="W62">
        <v>75</v>
      </c>
      <c r="X62">
        <v>0.48</v>
      </c>
      <c r="Y62" t="s">
        <v>1998</v>
      </c>
    </row>
    <row r="63" spans="1:25" x14ac:dyDescent="0.25">
      <c r="A63" s="15" t="s">
        <v>2006</v>
      </c>
      <c r="B63" t="s">
        <v>1695</v>
      </c>
      <c r="C63" t="s">
        <v>29</v>
      </c>
      <c r="D63" t="s">
        <v>1586</v>
      </c>
      <c r="E63">
        <v>1</v>
      </c>
      <c r="F63">
        <v>0.16</v>
      </c>
      <c r="G63" t="s">
        <v>49</v>
      </c>
      <c r="H63" t="s">
        <v>32</v>
      </c>
      <c r="I63" t="s">
        <v>33</v>
      </c>
      <c r="N63" t="s">
        <v>61</v>
      </c>
      <c r="P63">
        <v>870</v>
      </c>
      <c r="Q63">
        <v>139.19999999999999</v>
      </c>
      <c r="R63" s="18" t="str">
        <f>IF(OR(TRIM(B63&amp;"")="",TRIM(B63&amp;"")="0"),"",HYPERLINK("https://gs.gsdiamonds.com/StoneDetails.aspx?name=" &amp; _xlfn.ENCODEURL(TRIM(B63)), TRIM(B63)))</f>
        <v>LDRL010AAA</v>
      </c>
      <c r="S63">
        <v>4.78</v>
      </c>
      <c r="T63">
        <v>2.48</v>
      </c>
      <c r="U63">
        <v>1.69</v>
      </c>
      <c r="V63">
        <v>0</v>
      </c>
      <c r="W63">
        <v>0</v>
      </c>
      <c r="X63">
        <v>1.93</v>
      </c>
      <c r="Y63" t="s">
        <v>1998</v>
      </c>
    </row>
    <row r="64" spans="1:25" x14ac:dyDescent="0.25">
      <c r="A64" s="15" t="s">
        <v>2006</v>
      </c>
      <c r="B64" t="s">
        <v>1697</v>
      </c>
      <c r="C64" t="s">
        <v>37</v>
      </c>
      <c r="D64" t="s">
        <v>1586</v>
      </c>
      <c r="E64">
        <v>2</v>
      </c>
      <c r="F64">
        <v>0.38</v>
      </c>
      <c r="G64" t="s">
        <v>38</v>
      </c>
      <c r="H64" t="s">
        <v>57</v>
      </c>
      <c r="I64" t="s">
        <v>33</v>
      </c>
      <c r="N64" t="s">
        <v>70</v>
      </c>
      <c r="P64">
        <v>2100</v>
      </c>
      <c r="Q64">
        <v>798</v>
      </c>
      <c r="R64" s="18" t="str">
        <f>IF(OR(TRIM(B64&amp;"")="",TRIM(B64&amp;"")="0"),"",HYPERLINK("https://gs.gsdiamonds.com/StoneDetails.aspx?name=" &amp; _xlfn.ENCODEURL(TRIM(B64)), TRIM(B64)))</f>
        <v>TRPZ2733</v>
      </c>
      <c r="S64">
        <v>5.0199999999999996</v>
      </c>
      <c r="T64">
        <v>2.65</v>
      </c>
      <c r="U64">
        <v>1.87</v>
      </c>
      <c r="V64">
        <v>0</v>
      </c>
      <c r="W64">
        <v>0</v>
      </c>
      <c r="X64">
        <v>1.89</v>
      </c>
      <c r="Y64" t="s">
        <v>1999</v>
      </c>
    </row>
    <row r="65" spans="1:25" x14ac:dyDescent="0.25">
      <c r="A65" s="15" t="s">
        <v>2006</v>
      </c>
      <c r="B65" t="s">
        <v>1699</v>
      </c>
      <c r="C65" t="s">
        <v>29</v>
      </c>
      <c r="D65" t="s">
        <v>1586</v>
      </c>
      <c r="E65">
        <v>2</v>
      </c>
      <c r="F65">
        <v>0.2</v>
      </c>
      <c r="G65" t="s">
        <v>396</v>
      </c>
      <c r="H65" t="s">
        <v>53</v>
      </c>
      <c r="I65" t="s">
        <v>33</v>
      </c>
      <c r="N65" t="s">
        <v>34</v>
      </c>
      <c r="P65">
        <v>1600</v>
      </c>
      <c r="Q65">
        <v>320</v>
      </c>
      <c r="R65" s="18" t="str">
        <f>IF(OR(TRIM(B65&amp;"")="",TRIM(B65&amp;"")="0"),"",HYPERLINK("https://gs.gsdiamonds.com/StoneDetails.aspx?name=" &amp; _xlfn.ENCODEURL(TRIM(B65)), TRIM(B65)))</f>
        <v>TRPZ2737</v>
      </c>
      <c r="S65">
        <v>4.03</v>
      </c>
      <c r="T65">
        <v>2.15</v>
      </c>
      <c r="U65">
        <v>1.72</v>
      </c>
      <c r="V65">
        <v>0</v>
      </c>
      <c r="W65">
        <v>0</v>
      </c>
      <c r="X65">
        <v>1.87</v>
      </c>
      <c r="Y65" t="s">
        <v>1999</v>
      </c>
    </row>
    <row r="66" spans="1:25" x14ac:dyDescent="0.25">
      <c r="A66" s="15" t="s">
        <v>2006</v>
      </c>
      <c r="B66" t="s">
        <v>1701</v>
      </c>
      <c r="C66" t="s">
        <v>37</v>
      </c>
      <c r="D66" t="s">
        <v>1586</v>
      </c>
      <c r="E66">
        <v>2</v>
      </c>
      <c r="F66">
        <v>0.65</v>
      </c>
      <c r="G66" t="s">
        <v>137</v>
      </c>
      <c r="H66" t="s">
        <v>32</v>
      </c>
      <c r="I66" t="s">
        <v>397</v>
      </c>
      <c r="P66">
        <v>2400</v>
      </c>
      <c r="Q66">
        <v>1560</v>
      </c>
      <c r="R66" s="18" t="str">
        <f>IF(OR(TRIM(B66&amp;"")="",TRIM(B66&amp;"")="0"),"",HYPERLINK("https://gs.gsdiamonds.com/StoneDetails.aspx?name=" &amp; _xlfn.ENCODEURL(TRIM(B66)), TRIM(B66)))</f>
        <v>TRPZ2743</v>
      </c>
      <c r="S66">
        <v>6.28</v>
      </c>
      <c r="T66">
        <v>3.39</v>
      </c>
      <c r="U66">
        <v>2.1800000000000002</v>
      </c>
      <c r="V66">
        <v>0</v>
      </c>
      <c r="W66">
        <v>0</v>
      </c>
      <c r="X66">
        <v>1.85</v>
      </c>
      <c r="Y66" t="s">
        <v>1999</v>
      </c>
    </row>
    <row r="67" spans="1:25" x14ac:dyDescent="0.25">
      <c r="A67" s="15" t="s">
        <v>2006</v>
      </c>
      <c r="B67" t="s">
        <v>1703</v>
      </c>
      <c r="C67" t="s">
        <v>37</v>
      </c>
      <c r="D67" t="s">
        <v>1586</v>
      </c>
      <c r="E67">
        <v>2</v>
      </c>
      <c r="F67">
        <v>0.65</v>
      </c>
      <c r="G67" t="s">
        <v>396</v>
      </c>
      <c r="H67" t="s">
        <v>32</v>
      </c>
      <c r="I67" t="s">
        <v>33</v>
      </c>
      <c r="N67" t="s">
        <v>61</v>
      </c>
      <c r="P67">
        <v>2500</v>
      </c>
      <c r="Q67">
        <v>1625</v>
      </c>
      <c r="R67" s="18" t="str">
        <f>IF(OR(TRIM(B67&amp;"")="",TRIM(B67&amp;"")="0"),"",HYPERLINK("https://gs.gsdiamonds.com/StoneDetails.aspx?name=" &amp; _xlfn.ENCODEURL(TRIM(B67)), TRIM(B67)))</f>
        <v>TRPZ2745</v>
      </c>
      <c r="S67">
        <v>6.26</v>
      </c>
      <c r="T67">
        <v>3.24</v>
      </c>
      <c r="U67">
        <v>2.35</v>
      </c>
      <c r="V67">
        <v>0</v>
      </c>
      <c r="W67">
        <v>0</v>
      </c>
      <c r="X67">
        <v>1.93</v>
      </c>
      <c r="Y67" t="s">
        <v>1999</v>
      </c>
    </row>
    <row r="68" spans="1:25" x14ac:dyDescent="0.25">
      <c r="A68" s="15" t="s">
        <v>2006</v>
      </c>
      <c r="B68" t="s">
        <v>1705</v>
      </c>
      <c r="C68" t="s">
        <v>29</v>
      </c>
      <c r="D68" t="s">
        <v>1586</v>
      </c>
      <c r="E68">
        <v>2</v>
      </c>
      <c r="F68">
        <v>0.27</v>
      </c>
      <c r="G68" t="s">
        <v>396</v>
      </c>
      <c r="H68" t="s">
        <v>57</v>
      </c>
      <c r="I68" t="s">
        <v>33</v>
      </c>
      <c r="P68">
        <v>2000</v>
      </c>
      <c r="Q68">
        <v>540</v>
      </c>
      <c r="R68" s="18" t="str">
        <f>IF(OR(TRIM(B68&amp;"")="",TRIM(B68&amp;"")="0"),"",HYPERLINK("https://gs.gsdiamonds.com/StoneDetails.aspx?name=" &amp; _xlfn.ENCODEURL(TRIM(B68)), TRIM(B68)))</f>
        <v>TRPZ2753</v>
      </c>
      <c r="S68">
        <v>4.82</v>
      </c>
      <c r="T68">
        <v>2.54</v>
      </c>
      <c r="U68">
        <v>1.55</v>
      </c>
      <c r="V68">
        <v>0</v>
      </c>
      <c r="W68">
        <v>0</v>
      </c>
      <c r="X68">
        <v>1.9</v>
      </c>
      <c r="Y68" t="s">
        <v>1999</v>
      </c>
    </row>
    <row r="69" spans="1:25" x14ac:dyDescent="0.25">
      <c r="A69" s="15" t="s">
        <v>2006</v>
      </c>
      <c r="B69" t="s">
        <v>1707</v>
      </c>
      <c r="C69" t="s">
        <v>29</v>
      </c>
      <c r="D69" t="s">
        <v>1586</v>
      </c>
      <c r="E69">
        <v>1</v>
      </c>
      <c r="F69">
        <v>0.35</v>
      </c>
      <c r="G69" t="s">
        <v>76</v>
      </c>
      <c r="H69" t="s">
        <v>32</v>
      </c>
      <c r="I69" t="s">
        <v>33</v>
      </c>
      <c r="N69" t="s">
        <v>70</v>
      </c>
      <c r="P69">
        <v>1600</v>
      </c>
      <c r="Q69">
        <v>560</v>
      </c>
      <c r="R69" s="18" t="str">
        <f>IF(OR(TRIM(B69&amp;"")="",TRIM(B69&amp;"")="0"),"",HYPERLINK("https://gs.gsdiamonds.com/StoneDetails.aspx?name=" &amp; _xlfn.ENCODEURL(TRIM(B69)), TRIM(B69)))</f>
        <v>OR15AAA</v>
      </c>
      <c r="S69">
        <v>7.16</v>
      </c>
      <c r="T69">
        <v>3.59</v>
      </c>
      <c r="U69">
        <v>1.87</v>
      </c>
      <c r="V69">
        <v>0</v>
      </c>
      <c r="W69">
        <v>0</v>
      </c>
      <c r="X69">
        <v>1.99</v>
      </c>
      <c r="Y69" t="s">
        <v>1998</v>
      </c>
    </row>
    <row r="70" spans="1:25" x14ac:dyDescent="0.25">
      <c r="A70" s="15" t="s">
        <v>2006</v>
      </c>
      <c r="B70" t="s">
        <v>1709</v>
      </c>
      <c r="C70" t="s">
        <v>37</v>
      </c>
      <c r="D70" t="s">
        <v>1586</v>
      </c>
      <c r="E70">
        <v>2</v>
      </c>
      <c r="F70">
        <v>0.24</v>
      </c>
      <c r="G70" t="s">
        <v>137</v>
      </c>
      <c r="H70" t="s">
        <v>32</v>
      </c>
      <c r="I70" t="s">
        <v>33</v>
      </c>
      <c r="P70">
        <v>1800</v>
      </c>
      <c r="Q70">
        <v>432</v>
      </c>
      <c r="R70" s="18" t="str">
        <f>IF(OR(TRIM(B70&amp;"")="",TRIM(B70&amp;"")="0"),"",HYPERLINK("https://gs.gsdiamonds.com/StoneDetails.aspx?name=" &amp; _xlfn.ENCODEURL(TRIM(B70)), TRIM(B70)))</f>
        <v>TRPZ2759</v>
      </c>
      <c r="S70">
        <v>4.96</v>
      </c>
      <c r="T70">
        <v>2.4900000000000002</v>
      </c>
      <c r="U70">
        <v>1.34</v>
      </c>
      <c r="V70">
        <v>0</v>
      </c>
      <c r="W70">
        <v>0</v>
      </c>
      <c r="X70">
        <v>1.99</v>
      </c>
      <c r="Y70" t="s">
        <v>1999</v>
      </c>
    </row>
    <row r="71" spans="1:25" x14ac:dyDescent="0.25">
      <c r="A71" s="15" t="s">
        <v>2006</v>
      </c>
      <c r="B71" t="s">
        <v>1711</v>
      </c>
      <c r="C71" t="s">
        <v>29</v>
      </c>
      <c r="D71" t="s">
        <v>1586</v>
      </c>
      <c r="E71">
        <v>1</v>
      </c>
      <c r="F71">
        <v>0.2</v>
      </c>
      <c r="G71" t="s">
        <v>49</v>
      </c>
      <c r="H71" t="s">
        <v>32</v>
      </c>
      <c r="I71" t="s">
        <v>33</v>
      </c>
      <c r="N71" t="s">
        <v>58</v>
      </c>
      <c r="P71">
        <v>1372</v>
      </c>
      <c r="Q71">
        <v>274.39999999999998</v>
      </c>
      <c r="R71" s="18" t="str">
        <f>IF(OR(TRIM(B71&amp;"")="",TRIM(B71&amp;"")="0"),"",HYPERLINK("https://gs.gsdiamonds.com/StoneDetails.aspx?name=" &amp; _xlfn.ENCODEURL(TRIM(B71)), TRIM(B71)))</f>
        <v>OR26AAA</v>
      </c>
      <c r="S71">
        <v>4.9400000000000004</v>
      </c>
      <c r="T71">
        <v>2.76</v>
      </c>
      <c r="U71">
        <v>1.86</v>
      </c>
      <c r="V71">
        <v>0</v>
      </c>
      <c r="W71">
        <v>0</v>
      </c>
      <c r="X71">
        <v>1.79</v>
      </c>
      <c r="Y71" t="s">
        <v>1998</v>
      </c>
    </row>
    <row r="72" spans="1:25" x14ac:dyDescent="0.25">
      <c r="A72" s="15" t="s">
        <v>2006</v>
      </c>
      <c r="B72" t="s">
        <v>1713</v>
      </c>
      <c r="C72" t="s">
        <v>29</v>
      </c>
      <c r="D72" t="s">
        <v>1586</v>
      </c>
      <c r="E72">
        <v>2</v>
      </c>
      <c r="F72">
        <v>0.32</v>
      </c>
      <c r="G72" t="s">
        <v>38</v>
      </c>
      <c r="H72" t="s">
        <v>50</v>
      </c>
      <c r="I72" t="s">
        <v>33</v>
      </c>
      <c r="N72" t="s">
        <v>34</v>
      </c>
      <c r="P72">
        <v>1300</v>
      </c>
      <c r="Q72">
        <v>416</v>
      </c>
      <c r="R72" s="18" t="str">
        <f>IF(OR(TRIM(B72&amp;"")="",TRIM(B72&amp;"")="0"),"",HYPERLINK("https://gs.gsdiamonds.com/StoneDetails.aspx?name=" &amp; _xlfn.ENCODEURL(TRIM(B72)), TRIM(B72)))</f>
        <v>TRPZ2766</v>
      </c>
      <c r="S72">
        <v>5.57</v>
      </c>
      <c r="T72">
        <v>2.36</v>
      </c>
      <c r="U72">
        <v>1.85</v>
      </c>
      <c r="V72">
        <v>0</v>
      </c>
      <c r="W72">
        <v>0</v>
      </c>
      <c r="X72">
        <v>2.36</v>
      </c>
      <c r="Y72" t="s">
        <v>1999</v>
      </c>
    </row>
    <row r="73" spans="1:25" x14ac:dyDescent="0.25">
      <c r="A73" s="15" t="s">
        <v>2006</v>
      </c>
      <c r="B73" t="s">
        <v>1715</v>
      </c>
      <c r="C73" t="s">
        <v>29</v>
      </c>
      <c r="D73" t="s">
        <v>1586</v>
      </c>
      <c r="E73">
        <v>1</v>
      </c>
      <c r="F73">
        <v>0.24</v>
      </c>
      <c r="G73" t="s">
        <v>67</v>
      </c>
      <c r="H73" t="s">
        <v>32</v>
      </c>
      <c r="I73" t="s">
        <v>69</v>
      </c>
      <c r="N73" t="s">
        <v>61</v>
      </c>
      <c r="P73">
        <v>1700</v>
      </c>
      <c r="Q73">
        <v>408</v>
      </c>
      <c r="R73" s="18" t="str">
        <f>IF(OR(TRIM(B73&amp;"")="",TRIM(B73&amp;"")="0"),"",HYPERLINK("https://gs.gsdiamonds.com/StoneDetails.aspx?name=" &amp; _xlfn.ENCODEURL(TRIM(B73)), TRIM(B73)))</f>
        <v>OR16AAA</v>
      </c>
      <c r="S73">
        <v>5.99</v>
      </c>
      <c r="T73">
        <v>2.94</v>
      </c>
      <c r="U73">
        <v>1.77</v>
      </c>
      <c r="V73">
        <v>0</v>
      </c>
      <c r="W73">
        <v>0</v>
      </c>
      <c r="X73">
        <v>2.04</v>
      </c>
      <c r="Y73" t="s">
        <v>1998</v>
      </c>
    </row>
    <row r="74" spans="1:25" x14ac:dyDescent="0.25">
      <c r="A74" s="15" t="s">
        <v>2006</v>
      </c>
      <c r="B74" t="s">
        <v>1717</v>
      </c>
      <c r="C74" t="s">
        <v>29</v>
      </c>
      <c r="D74" t="s">
        <v>1586</v>
      </c>
      <c r="E74">
        <v>1</v>
      </c>
      <c r="F74">
        <v>0.28999999999999998</v>
      </c>
      <c r="G74" t="s">
        <v>76</v>
      </c>
      <c r="H74" t="s">
        <v>166</v>
      </c>
      <c r="I74" t="s">
        <v>69</v>
      </c>
      <c r="N74" t="s">
        <v>34</v>
      </c>
      <c r="P74">
        <v>935</v>
      </c>
      <c r="Q74">
        <v>271.14999999999998</v>
      </c>
      <c r="R74" s="18" t="str">
        <f>IF(OR(TRIM(B74&amp;"")="",TRIM(B74&amp;"")="0"),"",HYPERLINK("https://gs.gsdiamonds.com/StoneDetails.aspx?name=" &amp; _xlfn.ENCODEURL(TRIM(B74)), TRIM(B74)))</f>
        <v>NR090AAA</v>
      </c>
      <c r="S74">
        <v>6.5</v>
      </c>
      <c r="T74">
        <v>3.27</v>
      </c>
      <c r="U74">
        <v>1.82</v>
      </c>
      <c r="V74">
        <v>0</v>
      </c>
      <c r="W74">
        <v>0</v>
      </c>
      <c r="X74">
        <v>1.99</v>
      </c>
      <c r="Y74" t="s">
        <v>1998</v>
      </c>
    </row>
    <row r="75" spans="1:25" x14ac:dyDescent="0.25">
      <c r="A75" s="15" t="s">
        <v>2006</v>
      </c>
      <c r="B75" t="s">
        <v>1719</v>
      </c>
      <c r="C75" t="s">
        <v>29</v>
      </c>
      <c r="D75" t="s">
        <v>1586</v>
      </c>
      <c r="E75">
        <v>1</v>
      </c>
      <c r="F75">
        <v>0.45</v>
      </c>
      <c r="G75" t="s">
        <v>73</v>
      </c>
      <c r="H75" t="s">
        <v>32</v>
      </c>
      <c r="I75" t="s">
        <v>33</v>
      </c>
      <c r="N75" t="s">
        <v>70</v>
      </c>
      <c r="P75">
        <v>2600</v>
      </c>
      <c r="Q75">
        <v>1170</v>
      </c>
      <c r="R75" s="18" t="str">
        <f>IF(OR(TRIM(B75&amp;"")="",TRIM(B75&amp;"")="0"),"",HYPERLINK("https://gs.gsdiamonds.com/StoneDetails.aspx?name=" &amp; _xlfn.ENCODEURL(TRIM(B75)), TRIM(B75)))</f>
        <v>NR086AAA</v>
      </c>
      <c r="S75">
        <v>7.55</v>
      </c>
      <c r="T75">
        <v>3.78</v>
      </c>
      <c r="U75">
        <v>2.21</v>
      </c>
      <c r="V75">
        <v>0</v>
      </c>
      <c r="W75">
        <v>0</v>
      </c>
      <c r="X75">
        <v>2</v>
      </c>
      <c r="Y75" t="s">
        <v>1998</v>
      </c>
    </row>
    <row r="76" spans="1:25" x14ac:dyDescent="0.25">
      <c r="A76" s="15" t="s">
        <v>2006</v>
      </c>
      <c r="B76" t="s">
        <v>1721</v>
      </c>
      <c r="C76" t="s">
        <v>29</v>
      </c>
      <c r="D76" t="s">
        <v>1586</v>
      </c>
      <c r="E76">
        <v>1</v>
      </c>
      <c r="F76">
        <v>0.5</v>
      </c>
      <c r="G76" t="s">
        <v>137</v>
      </c>
      <c r="H76" t="s">
        <v>32</v>
      </c>
      <c r="I76" t="s">
        <v>397</v>
      </c>
      <c r="K76" t="s">
        <v>43</v>
      </c>
      <c r="L76" t="s">
        <v>450</v>
      </c>
      <c r="M76" t="s">
        <v>421</v>
      </c>
      <c r="N76" t="s">
        <v>61</v>
      </c>
      <c r="O76">
        <v>5443121694</v>
      </c>
      <c r="P76">
        <v>3700</v>
      </c>
      <c r="Q76">
        <v>1850</v>
      </c>
      <c r="R76" s="18" t="str">
        <f>IF(OR(TRIM(B76&amp;"")="",TRIM(B76&amp;"")="0"),"",HYPERLINK("https://gs.gsdiamonds.com/StoneDetails.aspx?name=" &amp; _xlfn.ENCODEURL(TRIM(B76)), TRIM(B76)))</f>
        <v>NR039AAAA</v>
      </c>
      <c r="S76">
        <v>3.81</v>
      </c>
      <c r="T76">
        <v>7.28</v>
      </c>
      <c r="U76">
        <v>2.37</v>
      </c>
      <c r="V76">
        <v>32.6</v>
      </c>
      <c r="W76">
        <v>68</v>
      </c>
      <c r="X76">
        <v>0.52</v>
      </c>
      <c r="Y76" t="s">
        <v>1998</v>
      </c>
    </row>
    <row r="77" spans="1:25" x14ac:dyDescent="0.25">
      <c r="A77" s="15" t="s">
        <v>2006</v>
      </c>
      <c r="B77" t="s">
        <v>1723</v>
      </c>
      <c r="C77" t="s">
        <v>29</v>
      </c>
      <c r="D77" t="s">
        <v>1586</v>
      </c>
      <c r="E77">
        <v>1</v>
      </c>
      <c r="F77">
        <v>0.17</v>
      </c>
      <c r="G77" t="s">
        <v>38</v>
      </c>
      <c r="H77" t="s">
        <v>148</v>
      </c>
      <c r="I77" t="s">
        <v>69</v>
      </c>
      <c r="N77" t="s">
        <v>34</v>
      </c>
      <c r="P77">
        <v>250</v>
      </c>
      <c r="Q77">
        <v>42.5</v>
      </c>
      <c r="R77" s="18" t="str">
        <f>IF(OR(TRIM(B77&amp;"")="",TRIM(B77&amp;"")="0"),"",HYPERLINK("https://gs.gsdiamonds.com/StoneDetails.aspx?name=" &amp; _xlfn.ENCODEURL(TRIM(B77)), TRIM(B77)))</f>
        <v>OR25BAAA</v>
      </c>
      <c r="S77">
        <v>5</v>
      </c>
      <c r="T77">
        <v>2.6</v>
      </c>
      <c r="U77">
        <v>1.77</v>
      </c>
      <c r="V77">
        <v>0</v>
      </c>
      <c r="W77">
        <v>0</v>
      </c>
      <c r="X77">
        <v>1.92</v>
      </c>
      <c r="Y77" t="s">
        <v>1998</v>
      </c>
    </row>
    <row r="78" spans="1:25" x14ac:dyDescent="0.25">
      <c r="A78" s="15" t="s">
        <v>2006</v>
      </c>
      <c r="B78" t="s">
        <v>1725</v>
      </c>
      <c r="C78" t="s">
        <v>29</v>
      </c>
      <c r="D78" t="s">
        <v>1586</v>
      </c>
      <c r="E78">
        <v>2</v>
      </c>
      <c r="F78">
        <v>0.55000000000000004</v>
      </c>
      <c r="G78" t="s">
        <v>43</v>
      </c>
      <c r="H78" t="s">
        <v>53</v>
      </c>
      <c r="I78" t="s">
        <v>397</v>
      </c>
      <c r="N78" t="s">
        <v>58</v>
      </c>
      <c r="P78">
        <v>2800</v>
      </c>
      <c r="Q78">
        <v>1540</v>
      </c>
      <c r="R78" s="18" t="str">
        <f>IF(OR(TRIM(B78&amp;"")="",TRIM(B78&amp;"")="0"),"",HYPERLINK("https://gs.gsdiamonds.com/StoneDetails.aspx?name=" &amp; _xlfn.ENCODEURL(TRIM(B78)), TRIM(B78)))</f>
        <v>TRPZ2781</v>
      </c>
      <c r="S78">
        <v>6.18</v>
      </c>
      <c r="T78">
        <v>3.19</v>
      </c>
      <c r="U78">
        <v>1.86</v>
      </c>
      <c r="V78">
        <v>0</v>
      </c>
      <c r="W78">
        <v>0</v>
      </c>
      <c r="X78">
        <v>1.94</v>
      </c>
      <c r="Y78" t="s">
        <v>1999</v>
      </c>
    </row>
    <row r="79" spans="1:25" x14ac:dyDescent="0.25">
      <c r="A79" s="15" t="s">
        <v>2006</v>
      </c>
      <c r="B79" t="s">
        <v>1727</v>
      </c>
      <c r="C79" t="s">
        <v>29</v>
      </c>
      <c r="D79" t="s">
        <v>1586</v>
      </c>
      <c r="E79">
        <v>1</v>
      </c>
      <c r="F79">
        <v>0.36</v>
      </c>
      <c r="G79" t="s">
        <v>396</v>
      </c>
      <c r="H79" t="s">
        <v>53</v>
      </c>
      <c r="I79" t="s">
        <v>397</v>
      </c>
      <c r="K79" t="s">
        <v>450</v>
      </c>
      <c r="L79" t="s">
        <v>450</v>
      </c>
      <c r="M79" t="s">
        <v>421</v>
      </c>
      <c r="N79" t="s">
        <v>58</v>
      </c>
      <c r="O79">
        <v>2457240302</v>
      </c>
      <c r="P79">
        <v>3200</v>
      </c>
      <c r="Q79">
        <v>1152</v>
      </c>
      <c r="R79" s="18" t="str">
        <f>IF(OR(TRIM(B79&amp;"")="",TRIM(B79&amp;"")="0"),"",HYPERLINK("https://gs.gsdiamonds.com/StoneDetails.aspx?name=" &amp; _xlfn.ENCODEURL(TRIM(B79)), TRIM(B79)))</f>
        <v>NR051AAA</v>
      </c>
      <c r="S79">
        <v>3.43</v>
      </c>
      <c r="T79">
        <v>6.78</v>
      </c>
      <c r="U79">
        <v>2.19</v>
      </c>
      <c r="V79">
        <v>32.299999999999997</v>
      </c>
      <c r="W79">
        <v>66</v>
      </c>
      <c r="X79">
        <v>0.51</v>
      </c>
      <c r="Y79" t="s">
        <v>1998</v>
      </c>
    </row>
    <row r="80" spans="1:25" x14ac:dyDescent="0.25">
      <c r="A80" s="15" t="s">
        <v>2006</v>
      </c>
      <c r="B80" t="s">
        <v>1729</v>
      </c>
      <c r="C80" t="s">
        <v>37</v>
      </c>
      <c r="D80" t="s">
        <v>1586</v>
      </c>
      <c r="E80">
        <v>2</v>
      </c>
      <c r="F80">
        <v>1.25</v>
      </c>
      <c r="G80" t="s">
        <v>43</v>
      </c>
      <c r="H80" t="s">
        <v>50</v>
      </c>
      <c r="I80" t="s">
        <v>33</v>
      </c>
      <c r="P80">
        <v>3700</v>
      </c>
      <c r="Q80">
        <v>4625</v>
      </c>
      <c r="R80" s="18" t="str">
        <f>IF(OR(TRIM(B80&amp;"")="",TRIM(B80&amp;"")="0"),"",HYPERLINK("https://gs.gsdiamonds.com/StoneDetails.aspx?name=" &amp; _xlfn.ENCODEURL(TRIM(B80)), TRIM(B80)))</f>
        <v>TRPZ2795</v>
      </c>
      <c r="S80">
        <v>4.55</v>
      </c>
      <c r="T80">
        <v>7.89</v>
      </c>
      <c r="U80">
        <v>2.67</v>
      </c>
      <c r="V80">
        <v>0</v>
      </c>
      <c r="W80">
        <v>0</v>
      </c>
      <c r="X80">
        <v>0.57999999999999996</v>
      </c>
      <c r="Y80" t="s">
        <v>1999</v>
      </c>
    </row>
    <row r="81" spans="1:25" x14ac:dyDescent="0.25">
      <c r="A81" s="15" t="s">
        <v>2006</v>
      </c>
      <c r="B81" t="s">
        <v>1731</v>
      </c>
      <c r="C81" t="s">
        <v>29</v>
      </c>
      <c r="D81" t="s">
        <v>1586</v>
      </c>
      <c r="E81">
        <v>1</v>
      </c>
      <c r="F81">
        <v>0.45</v>
      </c>
      <c r="G81" t="s">
        <v>43</v>
      </c>
      <c r="H81" t="s">
        <v>148</v>
      </c>
      <c r="I81" t="s">
        <v>69</v>
      </c>
      <c r="N81" t="s">
        <v>58</v>
      </c>
      <c r="P81">
        <v>800</v>
      </c>
      <c r="Q81">
        <v>360</v>
      </c>
      <c r="R81" s="18" t="str">
        <f>IF(OR(TRIM(B81&amp;"")="",TRIM(B81&amp;"")="0"),"",HYPERLINK("https://gs.gsdiamonds.com/StoneDetails.aspx?name=" &amp; _xlfn.ENCODEURL(TRIM(B81)), TRIM(B81)))</f>
        <v>MN13AAA</v>
      </c>
      <c r="S81">
        <v>7.94</v>
      </c>
      <c r="T81">
        <v>3.84</v>
      </c>
      <c r="U81">
        <v>2.04</v>
      </c>
      <c r="V81">
        <v>0</v>
      </c>
      <c r="W81">
        <v>0</v>
      </c>
      <c r="X81">
        <v>2.0699999999999998</v>
      </c>
      <c r="Y81" t="s">
        <v>1998</v>
      </c>
    </row>
    <row r="82" spans="1:25" x14ac:dyDescent="0.25">
      <c r="A82" s="15" t="s">
        <v>2006</v>
      </c>
      <c r="B82" t="s">
        <v>1733</v>
      </c>
      <c r="C82" t="s">
        <v>29</v>
      </c>
      <c r="D82" t="s">
        <v>1586</v>
      </c>
      <c r="E82">
        <v>2</v>
      </c>
      <c r="F82">
        <v>0.62</v>
      </c>
      <c r="G82" t="s">
        <v>38</v>
      </c>
      <c r="H82" t="s">
        <v>39</v>
      </c>
      <c r="I82" t="s">
        <v>33</v>
      </c>
      <c r="N82" t="s">
        <v>46</v>
      </c>
      <c r="P82">
        <v>2800</v>
      </c>
      <c r="Q82">
        <v>1736</v>
      </c>
      <c r="R82" s="18" t="str">
        <f>IF(OR(TRIM(B82&amp;"")="",TRIM(B82&amp;"")="0"),"",HYPERLINK("https://gs.gsdiamonds.com/StoneDetails.aspx?name=" &amp; _xlfn.ENCODEURL(TRIM(B82)), TRIM(B82)))</f>
        <v>TRPZ2808</v>
      </c>
      <c r="S82">
        <v>5.45</v>
      </c>
      <c r="T82">
        <v>3.34</v>
      </c>
      <c r="U82">
        <v>2.2799999999999998</v>
      </c>
      <c r="V82">
        <v>0</v>
      </c>
      <c r="W82">
        <v>0</v>
      </c>
      <c r="X82">
        <v>1.63</v>
      </c>
      <c r="Y82" t="s">
        <v>1999</v>
      </c>
    </row>
    <row r="83" spans="1:25" x14ac:dyDescent="0.25">
      <c r="A83" s="15" t="s">
        <v>2006</v>
      </c>
      <c r="B83" t="s">
        <v>1735</v>
      </c>
      <c r="C83" t="s">
        <v>29</v>
      </c>
      <c r="D83" t="s">
        <v>1586</v>
      </c>
      <c r="E83">
        <v>2</v>
      </c>
      <c r="F83">
        <v>0.56999999999999995</v>
      </c>
      <c r="G83" t="s">
        <v>137</v>
      </c>
      <c r="H83" t="s">
        <v>57</v>
      </c>
      <c r="I83" t="s">
        <v>33</v>
      </c>
      <c r="N83" t="s">
        <v>58</v>
      </c>
      <c r="P83">
        <v>3200</v>
      </c>
      <c r="Q83">
        <v>1824</v>
      </c>
      <c r="R83" s="18" t="str">
        <f>IF(OR(TRIM(B83&amp;"")="",TRIM(B83&amp;"")="0"),"",HYPERLINK("https://gs.gsdiamonds.com/StoneDetails.aspx?name=" &amp; _xlfn.ENCODEURL(TRIM(B83)), TRIM(B83)))</f>
        <v>TRPZ2810</v>
      </c>
      <c r="S83">
        <v>3.43</v>
      </c>
      <c r="T83">
        <v>5.98</v>
      </c>
      <c r="U83">
        <v>1.96</v>
      </c>
      <c r="V83">
        <v>0</v>
      </c>
      <c r="W83">
        <v>0</v>
      </c>
      <c r="X83">
        <v>0.56999999999999995</v>
      </c>
      <c r="Y83" t="s">
        <v>1999</v>
      </c>
    </row>
    <row r="84" spans="1:25" x14ac:dyDescent="0.25">
      <c r="A84" s="15" t="s">
        <v>2006</v>
      </c>
      <c r="B84" t="s">
        <v>1737</v>
      </c>
      <c r="C84" t="s">
        <v>29</v>
      </c>
      <c r="D84" t="s">
        <v>1586</v>
      </c>
      <c r="E84">
        <v>1</v>
      </c>
      <c r="F84">
        <v>0.17</v>
      </c>
      <c r="G84" t="s">
        <v>137</v>
      </c>
      <c r="H84" t="s">
        <v>32</v>
      </c>
      <c r="I84" t="s">
        <v>33</v>
      </c>
      <c r="N84" t="s">
        <v>58</v>
      </c>
      <c r="P84">
        <v>770</v>
      </c>
      <c r="Q84">
        <v>130.9</v>
      </c>
      <c r="R84" s="18" t="str">
        <f>IF(OR(TRIM(B84&amp;"")="",TRIM(B84&amp;"")="0"),"",HYPERLINK("https://gs.gsdiamonds.com/StoneDetails.aspx?name=" &amp; _xlfn.ENCODEURL(TRIM(B84)), TRIM(B84)))</f>
        <v>LZ09AA</v>
      </c>
      <c r="S84">
        <v>5.0999999999999996</v>
      </c>
      <c r="T84">
        <v>2.76</v>
      </c>
      <c r="U84">
        <v>1.62</v>
      </c>
      <c r="V84">
        <v>0</v>
      </c>
      <c r="W84">
        <v>0</v>
      </c>
      <c r="X84">
        <v>1.85</v>
      </c>
      <c r="Y84" t="s">
        <v>1998</v>
      </c>
    </row>
    <row r="85" spans="1:25" x14ac:dyDescent="0.25">
      <c r="A85" s="15" t="s">
        <v>2006</v>
      </c>
      <c r="B85" t="s">
        <v>1739</v>
      </c>
      <c r="C85" t="s">
        <v>29</v>
      </c>
      <c r="D85" t="s">
        <v>1586</v>
      </c>
      <c r="E85">
        <v>1</v>
      </c>
      <c r="F85">
        <v>0.38</v>
      </c>
      <c r="G85" t="s">
        <v>43</v>
      </c>
      <c r="H85" t="s">
        <v>50</v>
      </c>
      <c r="I85" t="s">
        <v>33</v>
      </c>
      <c r="N85" t="s">
        <v>46</v>
      </c>
      <c r="P85">
        <v>1270</v>
      </c>
      <c r="Q85">
        <v>482.6</v>
      </c>
      <c r="R85" s="18" t="str">
        <f>IF(OR(TRIM(B85&amp;"")="",TRIM(B85&amp;"")="0"),"",HYPERLINK("https://gs.gsdiamonds.com/StoneDetails.aspx?name=" &amp; _xlfn.ENCODEURL(TRIM(B85)), TRIM(B85)))</f>
        <v>YL051AAAA</v>
      </c>
      <c r="S85">
        <v>7.02</v>
      </c>
      <c r="T85">
        <v>3.19</v>
      </c>
      <c r="U85">
        <v>2.16</v>
      </c>
      <c r="V85">
        <v>0</v>
      </c>
      <c r="W85">
        <v>0</v>
      </c>
      <c r="X85">
        <v>2.2000000000000002</v>
      </c>
      <c r="Y85" t="s">
        <v>1998</v>
      </c>
    </row>
    <row r="86" spans="1:25" x14ac:dyDescent="0.25">
      <c r="A86" s="15" t="s">
        <v>2006</v>
      </c>
      <c r="B86" t="s">
        <v>1741</v>
      </c>
      <c r="C86" t="s">
        <v>37</v>
      </c>
      <c r="D86" t="s">
        <v>1586</v>
      </c>
      <c r="E86">
        <v>2</v>
      </c>
      <c r="F86">
        <v>0.65</v>
      </c>
      <c r="G86" t="s">
        <v>38</v>
      </c>
      <c r="H86" t="s">
        <v>57</v>
      </c>
      <c r="I86" t="s">
        <v>397</v>
      </c>
      <c r="P86">
        <v>3000</v>
      </c>
      <c r="Q86">
        <v>1950</v>
      </c>
      <c r="R86" s="18" t="str">
        <f>IF(OR(TRIM(B86&amp;"")="",TRIM(B86&amp;"")="0"),"",HYPERLINK("https://gs.gsdiamonds.com/StoneDetails.aspx?name=" &amp; _xlfn.ENCODEURL(TRIM(B86)), TRIM(B86)))</f>
        <v>TRPZ2811</v>
      </c>
      <c r="S86">
        <v>6.64</v>
      </c>
      <c r="T86">
        <v>3.13</v>
      </c>
      <c r="U86">
        <v>2.21</v>
      </c>
      <c r="V86">
        <v>0</v>
      </c>
      <c r="W86">
        <v>0</v>
      </c>
      <c r="X86">
        <v>2.12</v>
      </c>
      <c r="Y86" t="s">
        <v>1999</v>
      </c>
    </row>
    <row r="87" spans="1:25" x14ac:dyDescent="0.25">
      <c r="A87" s="15" t="s">
        <v>2006</v>
      </c>
      <c r="B87" t="s">
        <v>1743</v>
      </c>
      <c r="C87" t="s">
        <v>29</v>
      </c>
      <c r="D87" t="s">
        <v>1586</v>
      </c>
      <c r="E87">
        <v>2</v>
      </c>
      <c r="F87">
        <v>0.38</v>
      </c>
      <c r="G87" t="s">
        <v>43</v>
      </c>
      <c r="H87" t="s">
        <v>32</v>
      </c>
      <c r="I87" t="s">
        <v>33</v>
      </c>
      <c r="P87">
        <v>2100</v>
      </c>
      <c r="Q87">
        <v>798</v>
      </c>
      <c r="R87" s="18" t="str">
        <f>IF(OR(TRIM(B87&amp;"")="",TRIM(B87&amp;"")="0"),"",HYPERLINK("https://gs.gsdiamonds.com/StoneDetails.aspx?name=" &amp; _xlfn.ENCODEURL(TRIM(B87)), TRIM(B87)))</f>
        <v>TRPZ2813</v>
      </c>
      <c r="S87">
        <v>5.52</v>
      </c>
      <c r="T87">
        <v>2.61</v>
      </c>
      <c r="U87">
        <v>1.71</v>
      </c>
      <c r="V87">
        <v>0</v>
      </c>
      <c r="W87">
        <v>0</v>
      </c>
      <c r="X87">
        <v>2.11</v>
      </c>
      <c r="Y87" t="s">
        <v>1999</v>
      </c>
    </row>
    <row r="88" spans="1:25" x14ac:dyDescent="0.25">
      <c r="A88" s="15" t="s">
        <v>2006</v>
      </c>
      <c r="B88" t="s">
        <v>1745</v>
      </c>
      <c r="C88" t="s">
        <v>29</v>
      </c>
      <c r="D88" t="s">
        <v>1586</v>
      </c>
      <c r="E88">
        <v>2</v>
      </c>
      <c r="F88">
        <v>0.35</v>
      </c>
      <c r="G88" t="s">
        <v>43</v>
      </c>
      <c r="H88" t="s">
        <v>53</v>
      </c>
      <c r="I88" t="s">
        <v>33</v>
      </c>
      <c r="N88" t="s">
        <v>34</v>
      </c>
      <c r="P88">
        <v>2100</v>
      </c>
      <c r="Q88">
        <v>735</v>
      </c>
      <c r="R88" s="18" t="str">
        <f>IF(OR(TRIM(B88&amp;"")="",TRIM(B88&amp;"")="0"),"",HYPERLINK("https://gs.gsdiamonds.com/StoneDetails.aspx?name=" &amp; _xlfn.ENCODEURL(TRIM(B88)), TRIM(B88)))</f>
        <v>TRPZ2814</v>
      </c>
      <c r="S88">
        <v>4.97</v>
      </c>
      <c r="T88">
        <v>2.93</v>
      </c>
      <c r="U88">
        <v>1.67</v>
      </c>
      <c r="V88">
        <v>0</v>
      </c>
      <c r="W88">
        <v>0</v>
      </c>
      <c r="X88">
        <v>1.7</v>
      </c>
      <c r="Y88" t="s">
        <v>1999</v>
      </c>
    </row>
    <row r="89" spans="1:25" x14ac:dyDescent="0.25">
      <c r="A89" s="15" t="s">
        <v>2006</v>
      </c>
      <c r="B89" t="s">
        <v>1747</v>
      </c>
      <c r="C89" t="s">
        <v>29</v>
      </c>
      <c r="D89" t="s">
        <v>1586</v>
      </c>
      <c r="E89">
        <v>2</v>
      </c>
      <c r="F89">
        <v>0.47</v>
      </c>
      <c r="G89" t="s">
        <v>396</v>
      </c>
      <c r="H89" t="s">
        <v>53</v>
      </c>
      <c r="I89" t="s">
        <v>33</v>
      </c>
      <c r="P89">
        <v>2300</v>
      </c>
      <c r="Q89">
        <v>1081</v>
      </c>
      <c r="R89" s="18" t="str">
        <f>IF(OR(TRIM(B89&amp;"")="",TRIM(B89&amp;"")="0"),"",HYPERLINK("https://gs.gsdiamonds.com/StoneDetails.aspx?name=" &amp; _xlfn.ENCODEURL(TRIM(B89)), TRIM(B89)))</f>
        <v>TRPZ2816</v>
      </c>
      <c r="S89">
        <v>5.29</v>
      </c>
      <c r="T89">
        <v>3.04</v>
      </c>
      <c r="U89">
        <v>1.92</v>
      </c>
      <c r="V89">
        <v>0</v>
      </c>
      <c r="W89">
        <v>0</v>
      </c>
      <c r="X89">
        <v>1.74</v>
      </c>
      <c r="Y89" t="s">
        <v>1999</v>
      </c>
    </row>
    <row r="90" spans="1:25" x14ac:dyDescent="0.25">
      <c r="A90" s="15" t="s">
        <v>2006</v>
      </c>
      <c r="B90" t="s">
        <v>1749</v>
      </c>
      <c r="C90" t="s">
        <v>29</v>
      </c>
      <c r="D90" t="s">
        <v>1586</v>
      </c>
      <c r="E90">
        <v>2</v>
      </c>
      <c r="F90">
        <v>0.7</v>
      </c>
      <c r="G90" t="s">
        <v>31</v>
      </c>
      <c r="H90" t="s">
        <v>32</v>
      </c>
      <c r="I90" t="s">
        <v>397</v>
      </c>
      <c r="N90" t="s">
        <v>58</v>
      </c>
      <c r="P90">
        <v>2700</v>
      </c>
      <c r="Q90">
        <v>1890</v>
      </c>
      <c r="R90" s="18" t="str">
        <f>IF(OR(TRIM(B90&amp;"")="",TRIM(B90&amp;"")="0"),"",HYPERLINK("https://gs.gsdiamonds.com/StoneDetails.aspx?name=" &amp; _xlfn.ENCODEURL(TRIM(B90)), TRIM(B90)))</f>
        <v>TRPZ2822</v>
      </c>
      <c r="S90">
        <v>6.67</v>
      </c>
      <c r="T90">
        <v>3.27</v>
      </c>
      <c r="U90">
        <v>2.17</v>
      </c>
      <c r="V90">
        <v>0</v>
      </c>
      <c r="W90">
        <v>0</v>
      </c>
      <c r="X90">
        <v>2.04</v>
      </c>
      <c r="Y90" t="s">
        <v>1999</v>
      </c>
    </row>
    <row r="91" spans="1:25" x14ac:dyDescent="0.25">
      <c r="A91" s="15" t="s">
        <v>2006</v>
      </c>
      <c r="B91" t="s">
        <v>1751</v>
      </c>
      <c r="C91" t="s">
        <v>29</v>
      </c>
      <c r="D91" t="s">
        <v>1586</v>
      </c>
      <c r="E91">
        <v>1</v>
      </c>
      <c r="F91">
        <v>0.8</v>
      </c>
      <c r="G91" t="s">
        <v>38</v>
      </c>
      <c r="H91" t="s">
        <v>53</v>
      </c>
      <c r="I91" t="s">
        <v>397</v>
      </c>
      <c r="K91" t="s">
        <v>43</v>
      </c>
      <c r="L91" t="s">
        <v>43</v>
      </c>
      <c r="M91" t="s">
        <v>421</v>
      </c>
      <c r="N91" t="s">
        <v>70</v>
      </c>
      <c r="O91">
        <v>7461725965</v>
      </c>
      <c r="P91">
        <v>5000</v>
      </c>
      <c r="Q91">
        <v>4000</v>
      </c>
      <c r="R91" s="18" t="str">
        <f>IF(OR(TRIM(B91&amp;"")="",TRIM(B91&amp;"")="0"),"",HYPERLINK("https://gs.gsdiamonds.com/StoneDetails.aspx?name=" &amp; _xlfn.ENCODEURL(TRIM(B91)), TRIM(B91)))</f>
        <v>AMM02ABAAAA</v>
      </c>
      <c r="S91">
        <v>4.46</v>
      </c>
      <c r="T91">
        <v>7.67</v>
      </c>
      <c r="U91">
        <v>3.09</v>
      </c>
      <c r="V91">
        <v>40.299999999999997</v>
      </c>
      <c r="W91">
        <v>35</v>
      </c>
      <c r="X91">
        <v>0.57999999999999996</v>
      </c>
      <c r="Y91" t="s">
        <v>1998</v>
      </c>
    </row>
    <row r="92" spans="1:25" x14ac:dyDescent="0.25">
      <c r="A92" s="15" t="s">
        <v>2006</v>
      </c>
      <c r="B92" t="s">
        <v>1753</v>
      </c>
      <c r="C92" t="s">
        <v>29</v>
      </c>
      <c r="D92" t="s">
        <v>1586</v>
      </c>
      <c r="E92">
        <v>2</v>
      </c>
      <c r="F92">
        <v>0.66</v>
      </c>
      <c r="G92" t="s">
        <v>43</v>
      </c>
      <c r="H92" t="s">
        <v>53</v>
      </c>
      <c r="I92" t="s">
        <v>33</v>
      </c>
      <c r="P92">
        <v>2600</v>
      </c>
      <c r="Q92">
        <v>1716</v>
      </c>
      <c r="R92" s="18" t="str">
        <f>IF(OR(TRIM(B92&amp;"")="",TRIM(B92&amp;"")="0"),"",HYPERLINK("https://gs.gsdiamonds.com/StoneDetails.aspx?name=" &amp; _xlfn.ENCODEURL(TRIM(B92)), TRIM(B92)))</f>
        <v>TRPZ2821</v>
      </c>
      <c r="S92">
        <v>5.82</v>
      </c>
      <c r="T92">
        <v>3.33</v>
      </c>
      <c r="U92">
        <v>2.35</v>
      </c>
      <c r="V92">
        <v>0</v>
      </c>
      <c r="W92">
        <v>0</v>
      </c>
      <c r="X92">
        <v>1.75</v>
      </c>
      <c r="Y92" t="s">
        <v>1999</v>
      </c>
    </row>
    <row r="93" spans="1:25" x14ac:dyDescent="0.25">
      <c r="A93" s="15" t="s">
        <v>2006</v>
      </c>
      <c r="B93" t="s">
        <v>1755</v>
      </c>
      <c r="C93" t="s">
        <v>29</v>
      </c>
      <c r="D93" t="s">
        <v>1586</v>
      </c>
      <c r="E93">
        <v>1</v>
      </c>
      <c r="F93">
        <v>0.37</v>
      </c>
      <c r="G93" t="s">
        <v>76</v>
      </c>
      <c r="H93" t="s">
        <v>57</v>
      </c>
      <c r="I93" t="s">
        <v>33</v>
      </c>
      <c r="N93" t="s">
        <v>70</v>
      </c>
      <c r="P93">
        <v>979</v>
      </c>
      <c r="Q93">
        <v>362.23</v>
      </c>
      <c r="R93" s="18" t="str">
        <f>IF(OR(TRIM(B93&amp;"")="",TRIM(B93&amp;"")="0"),"",HYPERLINK("https://gs.gsdiamonds.com/StoneDetails.aspx?name=" &amp; _xlfn.ENCODEURL(TRIM(B93)), TRIM(B93)))</f>
        <v>LVP047A</v>
      </c>
      <c r="S93">
        <v>6.12</v>
      </c>
      <c r="T93">
        <v>3.63</v>
      </c>
      <c r="U93">
        <v>2.2400000000000002</v>
      </c>
      <c r="V93">
        <v>0</v>
      </c>
      <c r="W93">
        <v>0</v>
      </c>
      <c r="X93">
        <v>1.69</v>
      </c>
      <c r="Y93" t="s">
        <v>1998</v>
      </c>
    </row>
    <row r="94" spans="1:25" x14ac:dyDescent="0.25">
      <c r="A94" s="15" t="s">
        <v>2006</v>
      </c>
      <c r="B94" t="s">
        <v>1757</v>
      </c>
      <c r="C94" t="s">
        <v>37</v>
      </c>
      <c r="D94" t="s">
        <v>1586</v>
      </c>
      <c r="E94">
        <v>2</v>
      </c>
      <c r="F94">
        <v>0.63</v>
      </c>
      <c r="G94" t="s">
        <v>396</v>
      </c>
      <c r="H94" t="s">
        <v>39</v>
      </c>
      <c r="I94" t="s">
        <v>33</v>
      </c>
      <c r="N94" t="s">
        <v>909</v>
      </c>
      <c r="P94">
        <v>2900</v>
      </c>
      <c r="Q94">
        <v>1827</v>
      </c>
      <c r="R94" s="18" t="str">
        <f>IF(OR(TRIM(B94&amp;"")="",TRIM(B94&amp;"")="0"),"",HYPERLINK("https://gs.gsdiamonds.com/StoneDetails.aspx?name=" &amp; _xlfn.ENCODEURL(TRIM(B94)), TRIM(B94)))</f>
        <v>TRPZ2827</v>
      </c>
      <c r="S94">
        <v>5.72</v>
      </c>
      <c r="T94">
        <v>3.41</v>
      </c>
      <c r="U94">
        <v>2.23</v>
      </c>
      <c r="V94">
        <v>0</v>
      </c>
      <c r="W94">
        <v>0</v>
      </c>
      <c r="X94">
        <v>1.68</v>
      </c>
      <c r="Y94" t="s">
        <v>1999</v>
      </c>
    </row>
    <row r="95" spans="1:25" x14ac:dyDescent="0.25">
      <c r="A95" s="15" t="s">
        <v>2006</v>
      </c>
      <c r="B95" t="s">
        <v>1759</v>
      </c>
      <c r="C95" t="s">
        <v>29</v>
      </c>
      <c r="D95" t="s">
        <v>1586</v>
      </c>
      <c r="E95">
        <v>2</v>
      </c>
      <c r="F95">
        <v>0.57999999999999996</v>
      </c>
      <c r="G95" t="s">
        <v>43</v>
      </c>
      <c r="H95" t="s">
        <v>32</v>
      </c>
      <c r="I95" t="s">
        <v>33</v>
      </c>
      <c r="N95" t="s">
        <v>58</v>
      </c>
      <c r="P95">
        <v>2300</v>
      </c>
      <c r="Q95">
        <v>1334</v>
      </c>
      <c r="R95" s="18" t="str">
        <f>IF(OR(TRIM(B95&amp;"")="",TRIM(B95&amp;"")="0"),"",HYPERLINK("https://gs.gsdiamonds.com/StoneDetails.aspx?name=" &amp; _xlfn.ENCODEURL(TRIM(B95)), TRIM(B95)))</f>
        <v>TRPZ2830</v>
      </c>
      <c r="S95">
        <v>5.83</v>
      </c>
      <c r="T95">
        <v>3.29</v>
      </c>
      <c r="U95">
        <v>2.15</v>
      </c>
      <c r="V95">
        <v>0</v>
      </c>
      <c r="W95">
        <v>0</v>
      </c>
      <c r="X95">
        <v>1.77</v>
      </c>
      <c r="Y95" t="s">
        <v>1999</v>
      </c>
    </row>
    <row r="96" spans="1:25" x14ac:dyDescent="0.25">
      <c r="A96" s="15" t="s">
        <v>2006</v>
      </c>
      <c r="B96" t="s">
        <v>1761</v>
      </c>
      <c r="C96" t="s">
        <v>29</v>
      </c>
      <c r="D96" t="s">
        <v>1586</v>
      </c>
      <c r="E96">
        <v>1</v>
      </c>
      <c r="F96">
        <v>0.74</v>
      </c>
      <c r="G96" t="s">
        <v>73</v>
      </c>
      <c r="H96" t="s">
        <v>50</v>
      </c>
      <c r="I96" t="s">
        <v>33</v>
      </c>
      <c r="K96" t="s">
        <v>450</v>
      </c>
      <c r="L96" t="s">
        <v>43</v>
      </c>
      <c r="M96" t="s">
        <v>421</v>
      </c>
      <c r="N96" t="s">
        <v>34</v>
      </c>
      <c r="O96">
        <v>1467965066</v>
      </c>
      <c r="P96">
        <v>3000</v>
      </c>
      <c r="Q96">
        <v>2220</v>
      </c>
      <c r="R96" s="18" t="str">
        <f>IF(OR(TRIM(B96&amp;"")="",TRIM(B96&amp;"")="0"),"",HYPERLINK("https://gs.gsdiamonds.com/StoneDetails.aspx?name=" &amp; _xlfn.ENCODEURL(TRIM(B96)), TRIM(B96)))</f>
        <v>BLL007AAAAA</v>
      </c>
      <c r="S96">
        <v>4.08</v>
      </c>
      <c r="T96">
        <v>9.35</v>
      </c>
      <c r="U96">
        <v>2.46</v>
      </c>
      <c r="V96">
        <v>26.3</v>
      </c>
      <c r="W96">
        <v>28</v>
      </c>
      <c r="X96">
        <v>0.44</v>
      </c>
      <c r="Y96" t="s">
        <v>1998</v>
      </c>
    </row>
    <row r="97" spans="1:25" x14ac:dyDescent="0.25">
      <c r="A97" s="15" t="s">
        <v>2006</v>
      </c>
      <c r="B97" t="s">
        <v>1763</v>
      </c>
      <c r="C97" t="s">
        <v>29</v>
      </c>
      <c r="D97" t="s">
        <v>1586</v>
      </c>
      <c r="E97">
        <v>1</v>
      </c>
      <c r="F97">
        <v>0.5</v>
      </c>
      <c r="G97" t="s">
        <v>49</v>
      </c>
      <c r="H97" t="s">
        <v>166</v>
      </c>
      <c r="I97" t="s">
        <v>69</v>
      </c>
      <c r="N97" t="s">
        <v>34</v>
      </c>
      <c r="P97">
        <v>1800</v>
      </c>
      <c r="Q97">
        <v>900</v>
      </c>
      <c r="R97" s="18" t="str">
        <f>IF(OR(TRIM(B97&amp;"")="",TRIM(B97&amp;"")="0"),"",HYPERLINK("https://gs.gsdiamonds.com/StoneDetails.aspx?name=" &amp; _xlfn.ENCODEURL(TRIM(B97)), TRIM(B97)))</f>
        <v>BLL011AAAAA</v>
      </c>
      <c r="S97">
        <v>8</v>
      </c>
      <c r="T97">
        <v>3.88</v>
      </c>
      <c r="U97">
        <v>2.14</v>
      </c>
      <c r="V97">
        <v>0</v>
      </c>
      <c r="W97">
        <v>0</v>
      </c>
      <c r="X97">
        <v>2.06</v>
      </c>
      <c r="Y97" t="s">
        <v>1998</v>
      </c>
    </row>
    <row r="98" spans="1:25" x14ac:dyDescent="0.25">
      <c r="A98" s="15" t="s">
        <v>2006</v>
      </c>
      <c r="B98" t="s">
        <v>1765</v>
      </c>
      <c r="C98" t="s">
        <v>37</v>
      </c>
      <c r="D98" t="s">
        <v>1586</v>
      </c>
      <c r="E98">
        <v>2</v>
      </c>
      <c r="F98">
        <v>0.99</v>
      </c>
      <c r="G98" t="s">
        <v>137</v>
      </c>
      <c r="H98" t="s">
        <v>57</v>
      </c>
      <c r="I98" t="s">
        <v>33</v>
      </c>
      <c r="N98" t="s">
        <v>70</v>
      </c>
      <c r="P98">
        <v>3700</v>
      </c>
      <c r="Q98">
        <v>3663</v>
      </c>
      <c r="R98" s="18" t="str">
        <f>IF(OR(TRIM(B98&amp;"")="",TRIM(B98&amp;"")="0"),"",HYPERLINK("https://gs.gsdiamonds.com/StoneDetails.aspx?name=" &amp; _xlfn.ENCODEURL(TRIM(B98)), TRIM(B98)))</f>
        <v>TRPZ1212C</v>
      </c>
      <c r="S98">
        <v>3.9</v>
      </c>
      <c r="T98">
        <v>6.8</v>
      </c>
      <c r="U98">
        <v>2.44</v>
      </c>
      <c r="V98">
        <v>0</v>
      </c>
      <c r="W98">
        <v>0</v>
      </c>
      <c r="X98">
        <v>0.56999999999999995</v>
      </c>
      <c r="Y98" t="s">
        <v>1999</v>
      </c>
    </row>
    <row r="99" spans="1:25" x14ac:dyDescent="0.25">
      <c r="A99" s="15" t="s">
        <v>2006</v>
      </c>
      <c r="B99" t="s">
        <v>1767</v>
      </c>
      <c r="C99" t="s">
        <v>29</v>
      </c>
      <c r="D99" t="s">
        <v>1586</v>
      </c>
      <c r="E99">
        <v>2</v>
      </c>
      <c r="F99">
        <v>0.59</v>
      </c>
      <c r="G99" t="s">
        <v>49</v>
      </c>
      <c r="H99" t="s">
        <v>32</v>
      </c>
      <c r="I99" t="s">
        <v>33</v>
      </c>
      <c r="N99" t="s">
        <v>61</v>
      </c>
      <c r="P99">
        <v>1700</v>
      </c>
      <c r="Q99">
        <v>1003</v>
      </c>
      <c r="R99" s="18" t="str">
        <f>IF(OR(TRIM(B99&amp;"")="",TRIM(B99&amp;"")="0"),"",HYPERLINK("https://gs.gsdiamonds.com/StoneDetails.aspx?name=" &amp; _xlfn.ENCODEURL(TRIM(B99)), TRIM(B99)))</f>
        <v>TRPZ1213C</v>
      </c>
      <c r="S99">
        <v>5.55</v>
      </c>
      <c r="T99">
        <v>3.21</v>
      </c>
      <c r="U99">
        <v>2.17</v>
      </c>
      <c r="V99">
        <v>0</v>
      </c>
      <c r="W99">
        <v>0</v>
      </c>
      <c r="X99">
        <v>1.73</v>
      </c>
      <c r="Y99" t="s">
        <v>1999</v>
      </c>
    </row>
    <row r="100" spans="1:25" x14ac:dyDescent="0.25">
      <c r="A100" s="15" t="s">
        <v>2006</v>
      </c>
      <c r="B100" t="s">
        <v>1769</v>
      </c>
      <c r="C100" t="s">
        <v>37</v>
      </c>
      <c r="D100" t="s">
        <v>1586</v>
      </c>
      <c r="E100">
        <v>2</v>
      </c>
      <c r="F100">
        <v>0.73</v>
      </c>
      <c r="G100" t="s">
        <v>137</v>
      </c>
      <c r="H100" t="s">
        <v>32</v>
      </c>
      <c r="I100" t="s">
        <v>33</v>
      </c>
      <c r="N100" t="s">
        <v>70</v>
      </c>
      <c r="P100">
        <v>2100</v>
      </c>
      <c r="Q100">
        <v>1533</v>
      </c>
      <c r="R100" s="18" t="str">
        <f>IF(OR(TRIM(B100&amp;"")="",TRIM(B100&amp;"")="0"),"",HYPERLINK("https://gs.gsdiamonds.com/StoneDetails.aspx?name=" &amp; _xlfn.ENCODEURL(TRIM(B100)), TRIM(B100)))</f>
        <v>TRPZ2832</v>
      </c>
      <c r="S100">
        <v>5.98</v>
      </c>
      <c r="T100">
        <v>3.43</v>
      </c>
      <c r="U100">
        <v>2.44</v>
      </c>
      <c r="V100">
        <v>0</v>
      </c>
      <c r="W100">
        <v>0</v>
      </c>
      <c r="X100">
        <v>1.74</v>
      </c>
      <c r="Y100" t="s">
        <v>1999</v>
      </c>
    </row>
    <row r="101" spans="1:25" x14ac:dyDescent="0.25">
      <c r="A101" s="15" t="s">
        <v>2006</v>
      </c>
      <c r="B101" t="s">
        <v>1771</v>
      </c>
      <c r="C101" t="s">
        <v>29</v>
      </c>
      <c r="D101" t="s">
        <v>1586</v>
      </c>
      <c r="E101">
        <v>2</v>
      </c>
      <c r="F101">
        <v>0.66</v>
      </c>
      <c r="G101" t="s">
        <v>137</v>
      </c>
      <c r="H101" t="s">
        <v>57</v>
      </c>
      <c r="I101" t="s">
        <v>33</v>
      </c>
      <c r="P101">
        <v>2300</v>
      </c>
      <c r="Q101">
        <v>1518</v>
      </c>
      <c r="R101" s="18" t="str">
        <f>IF(OR(TRIM(B101&amp;"")="",TRIM(B101&amp;"")="0"),"",HYPERLINK("https://gs.gsdiamonds.com/StoneDetails.aspx?name=" &amp; _xlfn.ENCODEURL(TRIM(B101)), TRIM(B101)))</f>
        <v>TRPZ2833</v>
      </c>
      <c r="S101">
        <v>5.75</v>
      </c>
      <c r="T101">
        <v>3.19</v>
      </c>
      <c r="U101">
        <v>2.35</v>
      </c>
      <c r="V101">
        <v>0</v>
      </c>
      <c r="W101">
        <v>0</v>
      </c>
      <c r="X101">
        <v>1.8</v>
      </c>
      <c r="Y101" t="s">
        <v>1999</v>
      </c>
    </row>
    <row r="102" spans="1:25" x14ac:dyDescent="0.25">
      <c r="A102" s="15" t="s">
        <v>2006</v>
      </c>
      <c r="B102" t="s">
        <v>1773</v>
      </c>
      <c r="C102" t="s">
        <v>29</v>
      </c>
      <c r="D102" t="s">
        <v>1586</v>
      </c>
      <c r="E102">
        <v>1</v>
      </c>
      <c r="F102">
        <v>0.61</v>
      </c>
      <c r="G102" t="s">
        <v>31</v>
      </c>
      <c r="H102" t="s">
        <v>50</v>
      </c>
      <c r="I102" t="s">
        <v>33</v>
      </c>
      <c r="N102" t="s">
        <v>46</v>
      </c>
      <c r="P102">
        <v>2600</v>
      </c>
      <c r="Q102">
        <v>1586</v>
      </c>
      <c r="R102" s="18" t="str">
        <f>IF(OR(TRIM(B102&amp;"")="",TRIM(B102&amp;"")="0"),"",HYPERLINK("https://gs.gsdiamonds.com/StoneDetails.aspx?name=" &amp; _xlfn.ENCODEURL(TRIM(B102)), TRIM(B102)))</f>
        <v>LVP058AAAAA</v>
      </c>
      <c r="S102">
        <v>8.44</v>
      </c>
      <c r="T102">
        <v>4.1500000000000004</v>
      </c>
      <c r="U102">
        <v>2.52</v>
      </c>
      <c r="V102">
        <v>0</v>
      </c>
      <c r="W102">
        <v>0</v>
      </c>
      <c r="X102">
        <v>2.0299999999999998</v>
      </c>
      <c r="Y102" t="s">
        <v>1998</v>
      </c>
    </row>
    <row r="103" spans="1:25" x14ac:dyDescent="0.25">
      <c r="A103" s="15" t="s">
        <v>2006</v>
      </c>
      <c r="B103" t="s">
        <v>1775</v>
      </c>
      <c r="C103" t="s">
        <v>37</v>
      </c>
      <c r="D103" t="s">
        <v>1586</v>
      </c>
      <c r="E103">
        <v>2</v>
      </c>
      <c r="F103">
        <v>0.61</v>
      </c>
      <c r="G103" t="s">
        <v>43</v>
      </c>
      <c r="H103" t="s">
        <v>57</v>
      </c>
      <c r="I103" t="s">
        <v>397</v>
      </c>
      <c r="N103" t="s">
        <v>58</v>
      </c>
      <c r="P103">
        <v>2600</v>
      </c>
      <c r="Q103">
        <v>1586</v>
      </c>
      <c r="R103" s="18" t="str">
        <f>IF(OR(TRIM(B103&amp;"")="",TRIM(B103&amp;"")="0"),"",HYPERLINK("https://gs.gsdiamonds.com/StoneDetails.aspx?name=" &amp; _xlfn.ENCODEURL(TRIM(B103)), TRIM(B103)))</f>
        <v>TRPZ2834</v>
      </c>
      <c r="S103">
        <v>6.55</v>
      </c>
      <c r="T103">
        <v>3.32</v>
      </c>
      <c r="U103">
        <v>2.02</v>
      </c>
      <c r="V103">
        <v>0</v>
      </c>
      <c r="W103">
        <v>0</v>
      </c>
      <c r="X103">
        <v>1.97</v>
      </c>
      <c r="Y103" t="s">
        <v>1999</v>
      </c>
    </row>
    <row r="104" spans="1:25" x14ac:dyDescent="0.25">
      <c r="A104" s="15" t="s">
        <v>2006</v>
      </c>
      <c r="B104" t="s">
        <v>1777</v>
      </c>
      <c r="C104" t="s">
        <v>37</v>
      </c>
      <c r="D104" t="s">
        <v>1586</v>
      </c>
      <c r="E104">
        <v>2</v>
      </c>
      <c r="F104">
        <v>0.59</v>
      </c>
      <c r="G104" t="s">
        <v>43</v>
      </c>
      <c r="H104" t="s">
        <v>32</v>
      </c>
      <c r="I104" t="s">
        <v>397</v>
      </c>
      <c r="P104">
        <v>2400</v>
      </c>
      <c r="Q104">
        <v>1416</v>
      </c>
      <c r="R104" s="18" t="str">
        <f>IF(OR(TRIM(B104&amp;"")="",TRIM(B104&amp;"")="0"),"",HYPERLINK("https://gs.gsdiamonds.com/StoneDetails.aspx?name=" &amp; _xlfn.ENCODEURL(TRIM(B104)), TRIM(B104)))</f>
        <v>TRPZ2836</v>
      </c>
      <c r="S104">
        <v>6.2</v>
      </c>
      <c r="T104">
        <v>3.27</v>
      </c>
      <c r="U104">
        <v>2.09</v>
      </c>
      <c r="V104">
        <v>0</v>
      </c>
      <c r="W104">
        <v>0</v>
      </c>
      <c r="X104">
        <v>1.9</v>
      </c>
      <c r="Y104" t="s">
        <v>1999</v>
      </c>
    </row>
    <row r="105" spans="1:25" x14ac:dyDescent="0.25">
      <c r="A105" s="15" t="s">
        <v>2006</v>
      </c>
      <c r="B105" t="s">
        <v>1779</v>
      </c>
      <c r="C105" t="s">
        <v>29</v>
      </c>
      <c r="D105" t="s">
        <v>1586</v>
      </c>
      <c r="E105">
        <v>2</v>
      </c>
      <c r="F105">
        <v>0.61</v>
      </c>
      <c r="G105" t="s">
        <v>43</v>
      </c>
      <c r="H105" t="s">
        <v>57</v>
      </c>
      <c r="I105" t="s">
        <v>397</v>
      </c>
      <c r="N105" t="s">
        <v>58</v>
      </c>
      <c r="P105">
        <v>2600</v>
      </c>
      <c r="Q105">
        <v>1586</v>
      </c>
      <c r="R105" s="18" t="str">
        <f>IF(OR(TRIM(B105&amp;"")="",TRIM(B105&amp;"")="0"),"",HYPERLINK("https://gs.gsdiamonds.com/StoneDetails.aspx?name=" &amp; _xlfn.ENCODEURL(TRIM(B105)), TRIM(B105)))</f>
        <v>TRPZ2837</v>
      </c>
      <c r="S105">
        <v>6.18</v>
      </c>
      <c r="T105">
        <v>3.28</v>
      </c>
      <c r="U105">
        <v>2.0699999999999998</v>
      </c>
      <c r="V105">
        <v>0</v>
      </c>
      <c r="W105">
        <v>0</v>
      </c>
      <c r="X105">
        <v>1.88</v>
      </c>
      <c r="Y105" t="s">
        <v>1999</v>
      </c>
    </row>
    <row r="106" spans="1:25" x14ac:dyDescent="0.25">
      <c r="A106" s="15" t="s">
        <v>2006</v>
      </c>
      <c r="B106" t="s">
        <v>1781</v>
      </c>
      <c r="C106" t="s">
        <v>37</v>
      </c>
      <c r="D106" t="s">
        <v>1586</v>
      </c>
      <c r="E106">
        <v>2</v>
      </c>
      <c r="F106">
        <v>0.62</v>
      </c>
      <c r="G106" t="s">
        <v>396</v>
      </c>
      <c r="H106" t="s">
        <v>57</v>
      </c>
      <c r="I106" t="s">
        <v>33</v>
      </c>
      <c r="P106">
        <v>2600</v>
      </c>
      <c r="Q106">
        <v>1612</v>
      </c>
      <c r="R106" s="18" t="str">
        <f>IF(OR(TRIM(B106&amp;"")="",TRIM(B106&amp;"")="0"),"",HYPERLINK("https://gs.gsdiamonds.com/StoneDetails.aspx?name=" &amp; _xlfn.ENCODEURL(TRIM(B106)), TRIM(B106)))</f>
        <v>TRPZ2838</v>
      </c>
      <c r="S106">
        <v>5.88</v>
      </c>
      <c r="T106">
        <v>3.44</v>
      </c>
      <c r="U106">
        <v>2.2200000000000002</v>
      </c>
      <c r="V106">
        <v>0</v>
      </c>
      <c r="W106">
        <v>0</v>
      </c>
      <c r="X106">
        <v>1.71</v>
      </c>
      <c r="Y106" t="s">
        <v>1999</v>
      </c>
    </row>
    <row r="107" spans="1:25" x14ac:dyDescent="0.25">
      <c r="A107" s="15" t="s">
        <v>2006</v>
      </c>
      <c r="B107" t="s">
        <v>1783</v>
      </c>
      <c r="C107" t="s">
        <v>29</v>
      </c>
      <c r="D107" t="s">
        <v>1586</v>
      </c>
      <c r="E107">
        <v>1</v>
      </c>
      <c r="F107">
        <v>0.65</v>
      </c>
      <c r="G107" t="s">
        <v>43</v>
      </c>
      <c r="H107" t="s">
        <v>53</v>
      </c>
      <c r="I107" t="s">
        <v>397</v>
      </c>
      <c r="K107" t="s">
        <v>450</v>
      </c>
      <c r="L107" t="s">
        <v>43</v>
      </c>
      <c r="M107" t="s">
        <v>421</v>
      </c>
      <c r="N107" t="s">
        <v>58</v>
      </c>
      <c r="O107">
        <v>2476939897</v>
      </c>
      <c r="P107">
        <v>4000</v>
      </c>
      <c r="Q107">
        <v>2600</v>
      </c>
      <c r="R107" s="18" t="str">
        <f>IF(OR(TRIM(B107&amp;"")="",TRIM(B107&amp;"")="0"),"",HYPERLINK("https://gs.gsdiamonds.com/StoneDetails.aspx?name=" &amp; _xlfn.ENCODEURL(TRIM(B107)), TRIM(B107)))</f>
        <v>LVP056AAAAA</v>
      </c>
      <c r="S107">
        <v>3.99</v>
      </c>
      <c r="T107">
        <v>7.95</v>
      </c>
      <c r="U107">
        <v>2.78</v>
      </c>
      <c r="V107">
        <v>35</v>
      </c>
      <c r="W107">
        <v>72</v>
      </c>
      <c r="X107">
        <v>0.5</v>
      </c>
      <c r="Y107" t="s">
        <v>1998</v>
      </c>
    </row>
    <row r="108" spans="1:25" x14ac:dyDescent="0.25">
      <c r="A108" s="15" t="s">
        <v>2006</v>
      </c>
      <c r="B108" t="s">
        <v>1785</v>
      </c>
      <c r="C108" t="s">
        <v>29</v>
      </c>
      <c r="D108" t="s">
        <v>1586</v>
      </c>
      <c r="E108">
        <v>1</v>
      </c>
      <c r="F108">
        <v>0.88</v>
      </c>
      <c r="G108" t="s">
        <v>73</v>
      </c>
      <c r="H108" t="s">
        <v>53</v>
      </c>
      <c r="I108" t="s">
        <v>33</v>
      </c>
      <c r="K108" t="s">
        <v>450</v>
      </c>
      <c r="L108" t="s">
        <v>43</v>
      </c>
      <c r="M108" t="s">
        <v>421</v>
      </c>
      <c r="N108" t="s">
        <v>58</v>
      </c>
      <c r="O108">
        <v>2477893801</v>
      </c>
      <c r="P108">
        <v>4000</v>
      </c>
      <c r="Q108">
        <v>3520</v>
      </c>
      <c r="R108" s="18" t="str">
        <f>IF(OR(TRIM(B108&amp;"")="",TRIM(B108&amp;"")="0"),"",HYPERLINK("https://gs.gsdiamonds.com/StoneDetails.aspx?name=" &amp; _xlfn.ENCODEURL(TRIM(B108)), TRIM(B108)))</f>
        <v>LVP057AAAA</v>
      </c>
      <c r="S108">
        <v>4.5199999999999996</v>
      </c>
      <c r="T108">
        <v>8.2100000000000009</v>
      </c>
      <c r="U108">
        <v>3.4</v>
      </c>
      <c r="V108">
        <v>41.4</v>
      </c>
      <c r="W108">
        <v>68</v>
      </c>
      <c r="X108">
        <v>0.55000000000000004</v>
      </c>
      <c r="Y108" t="s">
        <v>1998</v>
      </c>
    </row>
    <row r="109" spans="1:25" x14ac:dyDescent="0.25">
      <c r="A109" s="15" t="s">
        <v>2006</v>
      </c>
      <c r="B109" t="s">
        <v>1787</v>
      </c>
      <c r="C109" t="s">
        <v>29</v>
      </c>
      <c r="D109" t="s">
        <v>1586</v>
      </c>
      <c r="E109">
        <v>2</v>
      </c>
      <c r="F109">
        <v>0.54</v>
      </c>
      <c r="G109" t="s">
        <v>396</v>
      </c>
      <c r="H109" t="s">
        <v>57</v>
      </c>
      <c r="I109" t="s">
        <v>397</v>
      </c>
      <c r="N109" t="s">
        <v>34</v>
      </c>
      <c r="P109">
        <v>2900</v>
      </c>
      <c r="Q109">
        <v>1566</v>
      </c>
      <c r="R109" s="18" t="str">
        <f>IF(OR(TRIM(B109&amp;"")="",TRIM(B109&amp;"")="0"),"",HYPERLINK("https://gs.gsdiamonds.com/StoneDetails.aspx?name=" &amp; _xlfn.ENCODEURL(TRIM(B109)), TRIM(B109)))</f>
        <v>TRPZ2840</v>
      </c>
      <c r="S109">
        <v>2.84</v>
      </c>
      <c r="T109">
        <v>6.15</v>
      </c>
      <c r="U109">
        <v>2.14</v>
      </c>
      <c r="V109">
        <v>0</v>
      </c>
      <c r="W109">
        <v>0</v>
      </c>
      <c r="X109">
        <v>0.46</v>
      </c>
      <c r="Y109" t="s">
        <v>1999</v>
      </c>
    </row>
    <row r="110" spans="1:25" x14ac:dyDescent="0.25">
      <c r="A110" s="15" t="s">
        <v>2006</v>
      </c>
      <c r="B110" t="s">
        <v>1789</v>
      </c>
      <c r="C110" t="s">
        <v>29</v>
      </c>
      <c r="D110" t="s">
        <v>1586</v>
      </c>
      <c r="E110">
        <v>2</v>
      </c>
      <c r="F110">
        <v>0.65</v>
      </c>
      <c r="G110" t="s">
        <v>137</v>
      </c>
      <c r="H110" t="s">
        <v>39</v>
      </c>
      <c r="I110" t="s">
        <v>33</v>
      </c>
      <c r="N110" t="s">
        <v>514</v>
      </c>
      <c r="P110">
        <v>3100</v>
      </c>
      <c r="Q110">
        <v>2015</v>
      </c>
      <c r="R110" s="18" t="str">
        <f>IF(OR(TRIM(B110&amp;"")="",TRIM(B110&amp;"")="0"),"",HYPERLINK("https://gs.gsdiamonds.com/StoneDetails.aspx?name=" &amp; _xlfn.ENCODEURL(TRIM(B110)), TRIM(B110)))</f>
        <v>TRPZ2842</v>
      </c>
      <c r="S110">
        <v>3.28</v>
      </c>
      <c r="T110">
        <v>6.58</v>
      </c>
      <c r="U110">
        <v>2.08</v>
      </c>
      <c r="V110">
        <v>0</v>
      </c>
      <c r="W110">
        <v>0</v>
      </c>
      <c r="X110">
        <v>0.5</v>
      </c>
      <c r="Y110" t="s">
        <v>1999</v>
      </c>
    </row>
    <row r="111" spans="1:25" x14ac:dyDescent="0.25">
      <c r="A111" s="15" t="s">
        <v>2006</v>
      </c>
      <c r="B111" t="s">
        <v>1791</v>
      </c>
      <c r="C111" t="s">
        <v>29</v>
      </c>
      <c r="D111" t="s">
        <v>1586</v>
      </c>
      <c r="E111">
        <v>2</v>
      </c>
      <c r="F111">
        <v>0.5</v>
      </c>
      <c r="G111" t="s">
        <v>137</v>
      </c>
      <c r="H111" t="s">
        <v>53</v>
      </c>
      <c r="I111" t="s">
        <v>33</v>
      </c>
      <c r="P111">
        <v>2800</v>
      </c>
      <c r="Q111">
        <v>1400</v>
      </c>
      <c r="R111" s="18" t="str">
        <f>IF(OR(TRIM(B111&amp;"")="",TRIM(B111&amp;"")="0"),"",HYPERLINK("https://gs.gsdiamonds.com/StoneDetails.aspx?name=" &amp; _xlfn.ENCODEURL(TRIM(B111)), TRIM(B111)))</f>
        <v>TRPZ2844</v>
      </c>
      <c r="S111">
        <v>5.98</v>
      </c>
      <c r="T111">
        <v>2.91</v>
      </c>
      <c r="U111">
        <v>1.92</v>
      </c>
      <c r="V111">
        <v>0</v>
      </c>
      <c r="W111">
        <v>0</v>
      </c>
      <c r="X111">
        <v>2.0499999999999998</v>
      </c>
      <c r="Y111" t="s">
        <v>1999</v>
      </c>
    </row>
    <row r="112" spans="1:25" x14ac:dyDescent="0.25">
      <c r="A112" s="15" t="s">
        <v>2006</v>
      </c>
      <c r="B112" t="s">
        <v>1793</v>
      </c>
      <c r="C112" t="s">
        <v>37</v>
      </c>
      <c r="D112" t="s">
        <v>1586</v>
      </c>
      <c r="E112">
        <v>2</v>
      </c>
      <c r="F112">
        <v>0.88</v>
      </c>
      <c r="G112" t="s">
        <v>396</v>
      </c>
      <c r="H112" t="s">
        <v>32</v>
      </c>
      <c r="I112" t="s">
        <v>397</v>
      </c>
      <c r="P112">
        <v>3100</v>
      </c>
      <c r="Q112">
        <v>2728</v>
      </c>
      <c r="R112" s="18" t="str">
        <f>IF(OR(TRIM(B112&amp;"")="",TRIM(B112&amp;"")="0"),"",HYPERLINK("https://gs.gsdiamonds.com/StoneDetails.aspx?name=" &amp; _xlfn.ENCODEURL(TRIM(B112)), TRIM(B112)))</f>
        <v>TRPZ2845</v>
      </c>
      <c r="S112">
        <v>4.03</v>
      </c>
      <c r="T112">
        <v>6.54</v>
      </c>
      <c r="U112">
        <v>2.46</v>
      </c>
      <c r="V112">
        <v>0</v>
      </c>
      <c r="W112">
        <v>0</v>
      </c>
      <c r="X112">
        <v>0.62</v>
      </c>
      <c r="Y112" t="s">
        <v>1999</v>
      </c>
    </row>
    <row r="113" spans="1:25" x14ac:dyDescent="0.25">
      <c r="A113" s="15" t="s">
        <v>2006</v>
      </c>
      <c r="B113" t="s">
        <v>1795</v>
      </c>
      <c r="C113" t="s">
        <v>29</v>
      </c>
      <c r="D113" t="s">
        <v>1586</v>
      </c>
      <c r="E113">
        <v>2</v>
      </c>
      <c r="F113">
        <v>1.08</v>
      </c>
      <c r="G113" t="s">
        <v>396</v>
      </c>
      <c r="H113" t="s">
        <v>57</v>
      </c>
      <c r="I113" t="s">
        <v>33</v>
      </c>
      <c r="N113" t="s">
        <v>34</v>
      </c>
      <c r="P113">
        <v>4200</v>
      </c>
      <c r="Q113">
        <v>4536</v>
      </c>
      <c r="R113" s="18" t="str">
        <f>IF(OR(TRIM(B113&amp;"")="",TRIM(B113&amp;"")="0"),"",HYPERLINK("https://gs.gsdiamonds.com/StoneDetails.aspx?name=" &amp; _xlfn.ENCODEURL(TRIM(B113)), TRIM(B113)))</f>
        <v>TRPZ2849</v>
      </c>
      <c r="S113">
        <v>3.87</v>
      </c>
      <c r="T113">
        <v>6.83</v>
      </c>
      <c r="U113">
        <v>2.7</v>
      </c>
      <c r="V113">
        <v>0</v>
      </c>
      <c r="W113">
        <v>0</v>
      </c>
      <c r="X113">
        <v>0.56999999999999995</v>
      </c>
      <c r="Y113" t="s">
        <v>1999</v>
      </c>
    </row>
    <row r="114" spans="1:25" x14ac:dyDescent="0.25">
      <c r="A114" s="15" t="s">
        <v>2006</v>
      </c>
      <c r="B114" t="s">
        <v>1797</v>
      </c>
      <c r="C114" t="s">
        <v>29</v>
      </c>
      <c r="D114" t="s">
        <v>1586</v>
      </c>
      <c r="E114">
        <v>2</v>
      </c>
      <c r="F114">
        <v>1.34</v>
      </c>
      <c r="G114" t="s">
        <v>31</v>
      </c>
      <c r="H114" t="s">
        <v>57</v>
      </c>
      <c r="I114" t="s">
        <v>33</v>
      </c>
      <c r="N114" t="s">
        <v>61</v>
      </c>
      <c r="P114">
        <v>3900</v>
      </c>
      <c r="Q114">
        <v>5226</v>
      </c>
      <c r="R114" s="18" t="str">
        <f>IF(OR(TRIM(B114&amp;"")="",TRIM(B114&amp;"")="0"),"",HYPERLINK("https://gs.gsdiamonds.com/StoneDetails.aspx?name=" &amp; _xlfn.ENCODEURL(TRIM(B114)), TRIM(B114)))</f>
        <v>TRPZ2853</v>
      </c>
      <c r="S114">
        <v>4.6100000000000003</v>
      </c>
      <c r="T114">
        <v>7.6</v>
      </c>
      <c r="U114">
        <v>2.62</v>
      </c>
      <c r="V114">
        <v>0</v>
      </c>
      <c r="W114">
        <v>0</v>
      </c>
      <c r="X114">
        <v>0.61</v>
      </c>
      <c r="Y114" t="s">
        <v>1999</v>
      </c>
    </row>
    <row r="115" spans="1:25" x14ac:dyDescent="0.25">
      <c r="A115" s="15" t="s">
        <v>2006</v>
      </c>
      <c r="B115" t="s">
        <v>1799</v>
      </c>
      <c r="C115" t="s">
        <v>29</v>
      </c>
      <c r="D115" t="s">
        <v>1586</v>
      </c>
      <c r="E115">
        <v>2</v>
      </c>
      <c r="F115">
        <v>0.62</v>
      </c>
      <c r="G115" t="s">
        <v>137</v>
      </c>
      <c r="H115" t="s">
        <v>57</v>
      </c>
      <c r="I115" t="s">
        <v>397</v>
      </c>
      <c r="P115">
        <v>2800</v>
      </c>
      <c r="Q115">
        <v>1736</v>
      </c>
      <c r="R115" s="18" t="str">
        <f>IF(OR(TRIM(B115&amp;"")="",TRIM(B115&amp;"")="0"),"",HYPERLINK("https://gs.gsdiamonds.com/StoneDetails.aspx?name=" &amp; _xlfn.ENCODEURL(TRIM(B115)), TRIM(B115)))</f>
        <v>TRPZ2854</v>
      </c>
      <c r="S115">
        <v>3.26</v>
      </c>
      <c r="T115">
        <v>6.47</v>
      </c>
      <c r="U115">
        <v>2.12</v>
      </c>
      <c r="V115">
        <v>0</v>
      </c>
      <c r="W115">
        <v>0</v>
      </c>
      <c r="X115">
        <v>0.5</v>
      </c>
      <c r="Y115" t="s">
        <v>1999</v>
      </c>
    </row>
    <row r="116" spans="1:25" x14ac:dyDescent="0.25">
      <c r="A116" s="15" t="s">
        <v>2006</v>
      </c>
      <c r="B116" t="s">
        <v>1801</v>
      </c>
      <c r="C116" t="s">
        <v>29</v>
      </c>
      <c r="D116" t="s">
        <v>1586</v>
      </c>
      <c r="E116">
        <v>2</v>
      </c>
      <c r="F116">
        <v>1.93</v>
      </c>
      <c r="G116" t="s">
        <v>396</v>
      </c>
      <c r="H116" t="s">
        <v>32</v>
      </c>
      <c r="I116" t="s">
        <v>33</v>
      </c>
      <c r="N116" t="s">
        <v>61</v>
      </c>
      <c r="P116">
        <v>4200</v>
      </c>
      <c r="Q116">
        <v>8106</v>
      </c>
      <c r="R116" s="18" t="str">
        <f>IF(OR(TRIM(B116&amp;"")="",TRIM(B116&amp;"")="0"),"",HYPERLINK("https://gs.gsdiamonds.com/StoneDetails.aspx?name=" &amp; _xlfn.ENCODEURL(TRIM(B116)), TRIM(B116)))</f>
        <v>TRPZ2855</v>
      </c>
      <c r="S116">
        <v>8.43</v>
      </c>
      <c r="T116">
        <v>4.46</v>
      </c>
      <c r="U116">
        <v>3.58</v>
      </c>
      <c r="V116">
        <v>0</v>
      </c>
      <c r="W116">
        <v>0</v>
      </c>
      <c r="X116">
        <v>1.89</v>
      </c>
      <c r="Y116" t="s">
        <v>1999</v>
      </c>
    </row>
    <row r="117" spans="1:25" x14ac:dyDescent="0.25">
      <c r="A117" s="15" t="s">
        <v>2006</v>
      </c>
      <c r="B117" t="s">
        <v>1803</v>
      </c>
      <c r="C117" t="s">
        <v>29</v>
      </c>
      <c r="D117" t="s">
        <v>1586</v>
      </c>
      <c r="E117">
        <v>1</v>
      </c>
      <c r="F117">
        <v>0.32</v>
      </c>
      <c r="G117" t="s">
        <v>43</v>
      </c>
      <c r="H117" t="s">
        <v>166</v>
      </c>
      <c r="I117" t="s">
        <v>69</v>
      </c>
      <c r="N117" t="s">
        <v>34</v>
      </c>
      <c r="P117">
        <v>1500</v>
      </c>
      <c r="Q117">
        <v>480</v>
      </c>
      <c r="R117" s="18" t="str">
        <f>IF(OR(TRIM(B117&amp;"")="",TRIM(B117&amp;"")="0"),"",HYPERLINK("https://gs.gsdiamonds.com/StoneDetails.aspx?name=" &amp; _xlfn.ENCODEURL(TRIM(B117)), TRIM(B117)))</f>
        <v>LEV2422A</v>
      </c>
      <c r="S117">
        <v>5.82</v>
      </c>
      <c r="T117">
        <v>3.73</v>
      </c>
      <c r="U117">
        <v>2.0699999999999998</v>
      </c>
      <c r="V117">
        <v>0</v>
      </c>
      <c r="W117">
        <v>0</v>
      </c>
      <c r="X117">
        <v>1.56</v>
      </c>
      <c r="Y117" t="s">
        <v>1998</v>
      </c>
    </row>
    <row r="118" spans="1:25" x14ac:dyDescent="0.25">
      <c r="A118" s="15" t="s">
        <v>2006</v>
      </c>
      <c r="B118" t="s">
        <v>1805</v>
      </c>
      <c r="C118" t="s">
        <v>29</v>
      </c>
      <c r="D118" t="s">
        <v>1586</v>
      </c>
      <c r="E118">
        <v>1</v>
      </c>
      <c r="F118">
        <v>0.42</v>
      </c>
      <c r="G118" t="s">
        <v>49</v>
      </c>
      <c r="H118" t="s">
        <v>57</v>
      </c>
      <c r="I118" t="s">
        <v>33</v>
      </c>
      <c r="K118" t="s">
        <v>43</v>
      </c>
      <c r="L118" t="s">
        <v>43</v>
      </c>
      <c r="M118" t="s">
        <v>421</v>
      </c>
      <c r="N118" t="s">
        <v>58</v>
      </c>
      <c r="O118">
        <v>6233783981</v>
      </c>
      <c r="P118">
        <v>2300</v>
      </c>
      <c r="Q118">
        <v>966</v>
      </c>
      <c r="R118" s="18" t="str">
        <f>IF(OR(TRIM(B118&amp;"")="",TRIM(B118&amp;"")="0"),"",HYPERLINK("https://gs.gsdiamonds.com/StoneDetails.aspx?name=" &amp; _xlfn.ENCODEURL(TRIM(B118)), TRIM(B118)))</f>
        <v>LEV2424A</v>
      </c>
      <c r="S118">
        <v>3.4</v>
      </c>
      <c r="T118">
        <v>7.33</v>
      </c>
      <c r="U118">
        <v>2.39</v>
      </c>
      <c r="V118">
        <v>32.700000000000003</v>
      </c>
      <c r="W118">
        <v>81</v>
      </c>
      <c r="X118">
        <v>0.46</v>
      </c>
      <c r="Y118" t="s">
        <v>1998</v>
      </c>
    </row>
    <row r="119" spans="1:25" x14ac:dyDescent="0.25">
      <c r="A119" s="15" t="s">
        <v>2006</v>
      </c>
      <c r="B119" t="s">
        <v>1807</v>
      </c>
      <c r="C119" t="s">
        <v>29</v>
      </c>
      <c r="D119" t="s">
        <v>1586</v>
      </c>
      <c r="E119">
        <v>1</v>
      </c>
      <c r="F119">
        <v>0.12</v>
      </c>
      <c r="G119" t="s">
        <v>43</v>
      </c>
      <c r="H119" t="s">
        <v>39</v>
      </c>
      <c r="I119" t="s">
        <v>33</v>
      </c>
      <c r="N119" t="s">
        <v>34</v>
      </c>
      <c r="P119">
        <v>583</v>
      </c>
      <c r="Q119">
        <v>69.959999999999994</v>
      </c>
      <c r="R119" s="18" t="str">
        <f>IF(OR(TRIM(B119&amp;"")="",TRIM(B119&amp;"")="0"),"",HYPERLINK("https://gs.gsdiamonds.com/StoneDetails.aspx?name=" &amp; _xlfn.ENCODEURL(TRIM(B119)), TRIM(B119)))</f>
        <v>ALNRD06BAA</v>
      </c>
      <c r="S119">
        <v>5.45</v>
      </c>
      <c r="T119">
        <v>2.2200000000000002</v>
      </c>
      <c r="U119">
        <v>1.47</v>
      </c>
      <c r="V119">
        <v>0</v>
      </c>
      <c r="W119">
        <v>0</v>
      </c>
      <c r="X119">
        <v>2.4500000000000002</v>
      </c>
      <c r="Y119" t="s">
        <v>1998</v>
      </c>
    </row>
    <row r="120" spans="1:25" x14ac:dyDescent="0.25">
      <c r="A120" s="15" t="s">
        <v>2006</v>
      </c>
      <c r="B120" t="s">
        <v>1809</v>
      </c>
      <c r="C120" t="s">
        <v>29</v>
      </c>
      <c r="D120" t="s">
        <v>1586</v>
      </c>
      <c r="E120">
        <v>1</v>
      </c>
      <c r="F120">
        <v>0.27</v>
      </c>
      <c r="G120" t="s">
        <v>38</v>
      </c>
      <c r="H120" t="s">
        <v>32</v>
      </c>
      <c r="I120" t="s">
        <v>33</v>
      </c>
      <c r="N120" t="s">
        <v>46</v>
      </c>
      <c r="P120">
        <v>823</v>
      </c>
      <c r="Q120">
        <v>222.21</v>
      </c>
      <c r="R120" s="18" t="str">
        <f>IF(OR(TRIM(B120&amp;"")="",TRIM(B120&amp;"")="0"),"",HYPERLINK("https://gs.gsdiamonds.com/StoneDetails.aspx?name=" &amp; _xlfn.ENCODEURL(TRIM(B120)), TRIM(B120)))</f>
        <v>LEV2412AAAA</v>
      </c>
      <c r="S120">
        <v>6.07</v>
      </c>
      <c r="T120">
        <v>3.25</v>
      </c>
      <c r="U120">
        <v>1.97</v>
      </c>
      <c r="V120">
        <v>0</v>
      </c>
      <c r="W120">
        <v>0</v>
      </c>
      <c r="X120">
        <v>1.87</v>
      </c>
      <c r="Y120" t="s">
        <v>1998</v>
      </c>
    </row>
    <row r="121" spans="1:25" x14ac:dyDescent="0.25">
      <c r="A121" s="15" t="s">
        <v>2006</v>
      </c>
      <c r="B121" t="s">
        <v>1811</v>
      </c>
      <c r="C121" t="s">
        <v>29</v>
      </c>
      <c r="D121" t="s">
        <v>1586</v>
      </c>
      <c r="E121">
        <v>1</v>
      </c>
      <c r="F121">
        <v>0.24</v>
      </c>
      <c r="G121" t="s">
        <v>31</v>
      </c>
      <c r="H121" t="s">
        <v>57</v>
      </c>
      <c r="I121" t="s">
        <v>33</v>
      </c>
      <c r="N121" t="s">
        <v>34</v>
      </c>
      <c r="P121">
        <v>717</v>
      </c>
      <c r="Q121">
        <v>172.08</v>
      </c>
      <c r="R121" s="18" t="str">
        <f>IF(OR(TRIM(B121&amp;"")="",TRIM(B121&amp;"")="0"),"",HYPERLINK("https://gs.gsdiamonds.com/StoneDetails.aspx?name=" &amp; _xlfn.ENCODEURL(TRIM(B121)), TRIM(B121)))</f>
        <v>BLA004AAA</v>
      </c>
      <c r="S121">
        <v>6.7</v>
      </c>
      <c r="T121">
        <v>2.79</v>
      </c>
      <c r="U121">
        <v>1.74</v>
      </c>
      <c r="V121">
        <v>0</v>
      </c>
      <c r="W121">
        <v>0</v>
      </c>
      <c r="X121">
        <v>2.4</v>
      </c>
      <c r="Y121" t="s">
        <v>1998</v>
      </c>
    </row>
    <row r="122" spans="1:25" x14ac:dyDescent="0.25">
      <c r="A122" s="15" t="s">
        <v>2006</v>
      </c>
      <c r="B122" t="s">
        <v>1813</v>
      </c>
      <c r="C122" t="s">
        <v>29</v>
      </c>
      <c r="D122" t="s">
        <v>1586</v>
      </c>
      <c r="E122">
        <v>1</v>
      </c>
      <c r="F122">
        <v>0.68</v>
      </c>
      <c r="G122" t="s">
        <v>396</v>
      </c>
      <c r="H122" t="s">
        <v>57</v>
      </c>
      <c r="I122" t="s">
        <v>397</v>
      </c>
      <c r="K122" t="s">
        <v>43</v>
      </c>
      <c r="L122" t="s">
        <v>450</v>
      </c>
      <c r="M122" t="s">
        <v>421</v>
      </c>
      <c r="N122" t="s">
        <v>34</v>
      </c>
      <c r="O122">
        <v>6233743169</v>
      </c>
      <c r="P122">
        <v>4500</v>
      </c>
      <c r="Q122">
        <v>3060</v>
      </c>
      <c r="R122" s="18" t="str">
        <f>IF(OR(TRIM(B122&amp;"")="",TRIM(B122&amp;"")="0"),"",HYPERLINK("https://gs.gsdiamonds.com/StoneDetails.aspx?name=" &amp; _xlfn.ENCODEURL(TRIM(B122)), TRIM(B122)))</f>
        <v>BLHL09AAA</v>
      </c>
      <c r="S122">
        <v>4.01</v>
      </c>
      <c r="T122">
        <v>7.69</v>
      </c>
      <c r="U122">
        <v>2.92</v>
      </c>
      <c r="V122">
        <v>37.9</v>
      </c>
      <c r="W122">
        <v>73</v>
      </c>
      <c r="X122">
        <v>0.52</v>
      </c>
      <c r="Y122" t="s">
        <v>1998</v>
      </c>
    </row>
    <row r="123" spans="1:25" x14ac:dyDescent="0.25">
      <c r="A123" s="15" t="s">
        <v>2006</v>
      </c>
      <c r="B123" t="s">
        <v>1815</v>
      </c>
      <c r="C123" t="s">
        <v>29</v>
      </c>
      <c r="D123" t="s">
        <v>1586</v>
      </c>
      <c r="E123">
        <v>2</v>
      </c>
      <c r="F123">
        <v>0.5</v>
      </c>
      <c r="G123" t="s">
        <v>31</v>
      </c>
      <c r="H123" t="s">
        <v>32</v>
      </c>
      <c r="I123" t="s">
        <v>33</v>
      </c>
      <c r="P123">
        <v>1900</v>
      </c>
      <c r="Q123">
        <v>950</v>
      </c>
      <c r="R123" s="18" t="str">
        <f>IF(OR(TRIM(B123&amp;"")="",TRIM(B123&amp;"")="0"),"",HYPERLINK("https://gs.gsdiamonds.com/StoneDetails.aspx?name=" &amp; _xlfn.ENCODEURL(TRIM(B123)), TRIM(B123)))</f>
        <v>TRPZ2856</v>
      </c>
      <c r="S123">
        <v>5.65</v>
      </c>
      <c r="T123">
        <v>3.11</v>
      </c>
      <c r="U123">
        <v>2.0099999999999998</v>
      </c>
      <c r="V123">
        <v>0</v>
      </c>
      <c r="W123">
        <v>0</v>
      </c>
      <c r="X123">
        <v>1.82</v>
      </c>
      <c r="Y123" t="s">
        <v>1999</v>
      </c>
    </row>
    <row r="124" spans="1:25" x14ac:dyDescent="0.25">
      <c r="A124" s="15" t="s">
        <v>2006</v>
      </c>
      <c r="B124" t="s">
        <v>1817</v>
      </c>
      <c r="C124" t="s">
        <v>29</v>
      </c>
      <c r="D124" t="s">
        <v>1586</v>
      </c>
      <c r="E124">
        <v>1</v>
      </c>
      <c r="F124">
        <v>0.26</v>
      </c>
      <c r="G124" t="s">
        <v>73</v>
      </c>
      <c r="H124" t="s">
        <v>39</v>
      </c>
      <c r="I124" t="s">
        <v>33</v>
      </c>
      <c r="N124" t="s">
        <v>34</v>
      </c>
      <c r="P124">
        <v>1100</v>
      </c>
      <c r="Q124">
        <v>286</v>
      </c>
      <c r="R124" s="18" t="str">
        <f>IF(OR(TRIM(B124&amp;"")="",TRIM(B124&amp;"")="0"),"",HYPERLINK("https://gs.gsdiamonds.com/StoneDetails.aspx?name=" &amp; _xlfn.ENCODEURL(TRIM(B124)), TRIM(B124)))</f>
        <v>LEV152411AAAA</v>
      </c>
      <c r="S124">
        <v>6.58</v>
      </c>
      <c r="T124">
        <v>2.76</v>
      </c>
      <c r="U124">
        <v>1.86</v>
      </c>
      <c r="V124">
        <v>0</v>
      </c>
      <c r="W124">
        <v>0</v>
      </c>
      <c r="X124">
        <v>2.38</v>
      </c>
      <c r="Y124" t="s">
        <v>1998</v>
      </c>
    </row>
    <row r="125" spans="1:25" x14ac:dyDescent="0.25">
      <c r="A125" s="15" t="s">
        <v>2006</v>
      </c>
      <c r="B125" t="s">
        <v>1819</v>
      </c>
      <c r="C125" t="s">
        <v>29</v>
      </c>
      <c r="D125" t="s">
        <v>1586</v>
      </c>
      <c r="E125">
        <v>2</v>
      </c>
      <c r="F125">
        <v>0.52</v>
      </c>
      <c r="G125" t="s">
        <v>43</v>
      </c>
      <c r="H125" t="s">
        <v>53</v>
      </c>
      <c r="I125" t="s">
        <v>397</v>
      </c>
      <c r="N125" t="s">
        <v>34</v>
      </c>
      <c r="P125">
        <v>2000</v>
      </c>
      <c r="Q125">
        <v>1040</v>
      </c>
      <c r="R125" s="18" t="str">
        <f>IF(OR(TRIM(B125&amp;"")="",TRIM(B125&amp;"")="0"),"",HYPERLINK("https://gs.gsdiamonds.com/StoneDetails.aspx?name=" &amp; _xlfn.ENCODEURL(TRIM(B125)), TRIM(B125)))</f>
        <v>TRPZ2858</v>
      </c>
      <c r="S125">
        <v>6.05</v>
      </c>
      <c r="T125">
        <v>3.3</v>
      </c>
      <c r="U125">
        <v>1.84</v>
      </c>
      <c r="V125">
        <v>0</v>
      </c>
      <c r="W125">
        <v>0</v>
      </c>
      <c r="X125">
        <v>1.83</v>
      </c>
      <c r="Y125" t="s">
        <v>1999</v>
      </c>
    </row>
    <row r="126" spans="1:25" x14ac:dyDescent="0.25">
      <c r="A126" s="15" t="s">
        <v>2006</v>
      </c>
      <c r="B126" t="s">
        <v>1821</v>
      </c>
      <c r="C126" t="s">
        <v>29</v>
      </c>
      <c r="D126" t="s">
        <v>1586</v>
      </c>
      <c r="E126">
        <v>2</v>
      </c>
      <c r="F126">
        <v>0.62</v>
      </c>
      <c r="G126" t="s">
        <v>38</v>
      </c>
      <c r="H126" t="s">
        <v>57</v>
      </c>
      <c r="I126" t="s">
        <v>33</v>
      </c>
      <c r="N126" t="s">
        <v>34</v>
      </c>
      <c r="P126">
        <v>2300</v>
      </c>
      <c r="Q126">
        <v>1426</v>
      </c>
      <c r="R126" s="18" t="str">
        <f>IF(OR(TRIM(B126&amp;"")="",TRIM(B126&amp;"")="0"),"",HYPERLINK("https://gs.gsdiamonds.com/StoneDetails.aspx?name=" &amp; _xlfn.ENCODEURL(TRIM(B126)), TRIM(B126)))</f>
        <v>TRPZ2859</v>
      </c>
      <c r="S126">
        <v>5.87</v>
      </c>
      <c r="T126">
        <v>3.63</v>
      </c>
      <c r="U126">
        <v>2.21</v>
      </c>
      <c r="V126">
        <v>0</v>
      </c>
      <c r="W126">
        <v>0</v>
      </c>
      <c r="X126">
        <v>1.62</v>
      </c>
      <c r="Y126" t="s">
        <v>1999</v>
      </c>
    </row>
    <row r="127" spans="1:25" x14ac:dyDescent="0.25">
      <c r="A127" s="15" t="s">
        <v>2006</v>
      </c>
      <c r="B127" t="s">
        <v>1823</v>
      </c>
      <c r="C127" t="s">
        <v>29</v>
      </c>
      <c r="D127" t="s">
        <v>1586</v>
      </c>
      <c r="E127">
        <v>1</v>
      </c>
      <c r="F127">
        <v>0.28000000000000003</v>
      </c>
      <c r="G127" t="s">
        <v>396</v>
      </c>
      <c r="H127" t="s">
        <v>57</v>
      </c>
      <c r="I127" t="s">
        <v>33</v>
      </c>
      <c r="N127" t="s">
        <v>34</v>
      </c>
      <c r="P127">
        <v>602</v>
      </c>
      <c r="Q127">
        <v>168.56</v>
      </c>
      <c r="R127" s="18" t="str">
        <f>IF(OR(TRIM(B127&amp;"")="",TRIM(B127&amp;"")="0"),"",HYPERLINK("https://gs.gsdiamonds.com/StoneDetails.aspx?name=" &amp; _xlfn.ENCODEURL(TRIM(B127)), TRIM(B127)))</f>
        <v>BLHL09BA</v>
      </c>
      <c r="S127">
        <v>5.98</v>
      </c>
      <c r="T127">
        <v>3.31</v>
      </c>
      <c r="U127">
        <v>2.0099999999999998</v>
      </c>
      <c r="V127">
        <v>0</v>
      </c>
      <c r="W127">
        <v>0</v>
      </c>
      <c r="X127">
        <v>1.81</v>
      </c>
      <c r="Y127" t="s">
        <v>1998</v>
      </c>
    </row>
    <row r="128" spans="1:25" x14ac:dyDescent="0.25">
      <c r="A128" s="15" t="s">
        <v>2006</v>
      </c>
      <c r="B128" t="s">
        <v>1825</v>
      </c>
      <c r="C128" t="s">
        <v>29</v>
      </c>
      <c r="D128" t="s">
        <v>1586</v>
      </c>
      <c r="E128">
        <v>1</v>
      </c>
      <c r="F128">
        <v>0.31</v>
      </c>
      <c r="G128" t="s">
        <v>137</v>
      </c>
      <c r="H128" t="s">
        <v>39</v>
      </c>
      <c r="I128" t="s">
        <v>33</v>
      </c>
      <c r="N128" t="s">
        <v>58</v>
      </c>
      <c r="P128">
        <v>2500</v>
      </c>
      <c r="Q128">
        <v>775</v>
      </c>
      <c r="R128" s="18" t="str">
        <f>IF(OR(TRIM(B128&amp;"")="",TRIM(B128&amp;"")="0"),"",HYPERLINK("https://gs.gsdiamonds.com/StoneDetails.aspx?name=" &amp; _xlfn.ENCODEURL(TRIM(B128)), TRIM(B128)))</f>
        <v>LEV2420A</v>
      </c>
      <c r="S128">
        <v>6.22</v>
      </c>
      <c r="T128">
        <v>3.57</v>
      </c>
      <c r="U128">
        <v>1.89</v>
      </c>
      <c r="V128">
        <v>0</v>
      </c>
      <c r="W128">
        <v>0</v>
      </c>
      <c r="X128">
        <v>1.74</v>
      </c>
      <c r="Y128" t="s">
        <v>1998</v>
      </c>
    </row>
    <row r="129" spans="1:25" x14ac:dyDescent="0.25">
      <c r="A129" s="15" t="s">
        <v>2006</v>
      </c>
      <c r="B129" t="s">
        <v>1827</v>
      </c>
      <c r="C129" t="s">
        <v>29</v>
      </c>
      <c r="D129" t="s">
        <v>1586</v>
      </c>
      <c r="E129">
        <v>1</v>
      </c>
      <c r="F129">
        <v>0.34</v>
      </c>
      <c r="G129" t="s">
        <v>396</v>
      </c>
      <c r="H129" t="s">
        <v>53</v>
      </c>
      <c r="I129" t="s">
        <v>33</v>
      </c>
      <c r="N129" t="s">
        <v>34</v>
      </c>
      <c r="P129">
        <v>3000</v>
      </c>
      <c r="Q129">
        <v>1020</v>
      </c>
      <c r="R129" s="18" t="str">
        <f>IF(OR(TRIM(B129&amp;"")="",TRIM(B129&amp;"")="0"),"",HYPERLINK("https://gs.gsdiamonds.com/StoneDetails.aspx?name=" &amp; _xlfn.ENCODEURL(TRIM(B129)), TRIM(B129)))</f>
        <v>LEV2403A</v>
      </c>
      <c r="S129">
        <v>6.76</v>
      </c>
      <c r="T129">
        <v>3.35</v>
      </c>
      <c r="U129">
        <v>2.13</v>
      </c>
      <c r="V129">
        <v>0</v>
      </c>
      <c r="W129">
        <v>0</v>
      </c>
      <c r="X129">
        <v>2.02</v>
      </c>
      <c r="Y129" t="s">
        <v>1998</v>
      </c>
    </row>
    <row r="130" spans="1:25" x14ac:dyDescent="0.25">
      <c r="A130" s="15" t="s">
        <v>2006</v>
      </c>
      <c r="B130" t="s">
        <v>1829</v>
      </c>
      <c r="C130" t="s">
        <v>29</v>
      </c>
      <c r="D130" t="s">
        <v>1586</v>
      </c>
      <c r="E130">
        <v>2</v>
      </c>
      <c r="F130">
        <v>0.46</v>
      </c>
      <c r="G130" t="s">
        <v>137</v>
      </c>
      <c r="H130" t="s">
        <v>57</v>
      </c>
      <c r="I130" t="s">
        <v>33</v>
      </c>
      <c r="P130">
        <v>1900</v>
      </c>
      <c r="Q130">
        <v>874</v>
      </c>
      <c r="R130" s="18" t="str">
        <f>IF(OR(TRIM(B130&amp;"")="",TRIM(B130&amp;"")="0"),"",HYPERLINK("https://gs.gsdiamonds.com/StoneDetails.aspx?name=" &amp; _xlfn.ENCODEURL(TRIM(B130)), TRIM(B130)))</f>
        <v>TRPZ2860</v>
      </c>
      <c r="S130">
        <v>5.55</v>
      </c>
      <c r="T130">
        <v>2.92</v>
      </c>
      <c r="U130">
        <v>1.93</v>
      </c>
      <c r="V130">
        <v>0</v>
      </c>
      <c r="W130">
        <v>0</v>
      </c>
      <c r="X130">
        <v>1.9</v>
      </c>
      <c r="Y130" t="s">
        <v>1999</v>
      </c>
    </row>
    <row r="131" spans="1:25" x14ac:dyDescent="0.25">
      <c r="A131" s="15" t="s">
        <v>2006</v>
      </c>
      <c r="B131" t="s">
        <v>1831</v>
      </c>
      <c r="C131" t="s">
        <v>29</v>
      </c>
      <c r="D131" t="s">
        <v>1586</v>
      </c>
      <c r="E131">
        <v>2</v>
      </c>
      <c r="F131">
        <v>0.95</v>
      </c>
      <c r="G131" t="s">
        <v>38</v>
      </c>
      <c r="H131" t="s">
        <v>32</v>
      </c>
      <c r="I131" t="s">
        <v>33</v>
      </c>
      <c r="N131" t="s">
        <v>34</v>
      </c>
      <c r="P131">
        <v>3500</v>
      </c>
      <c r="Q131">
        <v>3325</v>
      </c>
      <c r="R131" s="18" t="str">
        <f>IF(OR(TRIM(B131&amp;"")="",TRIM(B131&amp;"")="0"),"",HYPERLINK("https://gs.gsdiamonds.com/StoneDetails.aspx?name=" &amp; _xlfn.ENCODEURL(TRIM(B131)), TRIM(B131)))</f>
        <v>TRPZ2866</v>
      </c>
      <c r="S131">
        <v>3.79</v>
      </c>
      <c r="T131">
        <v>7.62</v>
      </c>
      <c r="U131">
        <v>2.2000000000000002</v>
      </c>
      <c r="V131">
        <v>0</v>
      </c>
      <c r="W131">
        <v>0</v>
      </c>
      <c r="X131">
        <v>0.5</v>
      </c>
      <c r="Y131" t="s">
        <v>1999</v>
      </c>
    </row>
    <row r="132" spans="1:25" x14ac:dyDescent="0.25">
      <c r="A132" s="15" t="s">
        <v>2006</v>
      </c>
      <c r="B132" t="s">
        <v>1833</v>
      </c>
      <c r="C132" t="s">
        <v>29</v>
      </c>
      <c r="D132" t="s">
        <v>1586</v>
      </c>
      <c r="E132">
        <v>1</v>
      </c>
      <c r="F132">
        <v>0.34</v>
      </c>
      <c r="G132" t="s">
        <v>396</v>
      </c>
      <c r="H132" t="s">
        <v>39</v>
      </c>
      <c r="I132" t="s">
        <v>33</v>
      </c>
      <c r="N132" t="s">
        <v>46</v>
      </c>
      <c r="P132">
        <v>2500</v>
      </c>
      <c r="Q132">
        <v>850</v>
      </c>
      <c r="R132" s="18" t="str">
        <f>IF(OR(TRIM(B132&amp;"")="",TRIM(B132&amp;"")="0"),"",HYPERLINK("https://gs.gsdiamonds.com/StoneDetails.aspx?name=" &amp; _xlfn.ENCODEURL(TRIM(B132)), TRIM(B132)))</f>
        <v>LEV2407A</v>
      </c>
      <c r="S132">
        <v>6.29</v>
      </c>
      <c r="T132">
        <v>3.63</v>
      </c>
      <c r="U132">
        <v>2</v>
      </c>
      <c r="V132">
        <v>0</v>
      </c>
      <c r="W132">
        <v>0</v>
      </c>
      <c r="X132">
        <v>1.73</v>
      </c>
      <c r="Y132" t="s">
        <v>1998</v>
      </c>
    </row>
    <row r="133" spans="1:25" x14ac:dyDescent="0.25">
      <c r="A133" s="15" t="s">
        <v>2006</v>
      </c>
      <c r="B133" t="s">
        <v>1835</v>
      </c>
      <c r="C133" t="s">
        <v>29</v>
      </c>
      <c r="D133" t="s">
        <v>1586</v>
      </c>
      <c r="E133">
        <v>2</v>
      </c>
      <c r="F133">
        <v>0.62</v>
      </c>
      <c r="G133" t="s">
        <v>396</v>
      </c>
      <c r="H133" t="s">
        <v>57</v>
      </c>
      <c r="I133" t="s">
        <v>33</v>
      </c>
      <c r="N133" t="s">
        <v>909</v>
      </c>
      <c r="P133">
        <v>2100</v>
      </c>
      <c r="Q133">
        <v>1302</v>
      </c>
      <c r="R133" s="18" t="str">
        <f>IF(OR(TRIM(B133&amp;"")="",TRIM(B133&amp;"")="0"),"",HYPERLINK("https://gs.gsdiamonds.com/StoneDetails.aspx?name=" &amp; _xlfn.ENCODEURL(TRIM(B133)), TRIM(B133)))</f>
        <v>TRPZ2868</v>
      </c>
      <c r="S133">
        <v>5.51</v>
      </c>
      <c r="T133">
        <v>3.4</v>
      </c>
      <c r="U133">
        <v>2.2799999999999998</v>
      </c>
      <c r="V133">
        <v>0</v>
      </c>
      <c r="W133">
        <v>0</v>
      </c>
      <c r="X133">
        <v>1.62</v>
      </c>
      <c r="Y133" t="s">
        <v>1999</v>
      </c>
    </row>
    <row r="134" spans="1:25" x14ac:dyDescent="0.25">
      <c r="A134" s="15" t="s">
        <v>2006</v>
      </c>
      <c r="B134" t="s">
        <v>1837</v>
      </c>
      <c r="C134" t="s">
        <v>29</v>
      </c>
      <c r="D134" t="s">
        <v>1586</v>
      </c>
      <c r="E134">
        <v>2</v>
      </c>
      <c r="F134">
        <v>0.51</v>
      </c>
      <c r="G134" t="s">
        <v>38</v>
      </c>
      <c r="H134" t="s">
        <v>39</v>
      </c>
      <c r="I134" t="s">
        <v>397</v>
      </c>
      <c r="P134">
        <v>1900</v>
      </c>
      <c r="Q134">
        <v>969</v>
      </c>
      <c r="R134" s="18" t="str">
        <f>IF(OR(TRIM(B134&amp;"")="",TRIM(B134&amp;"")="0"),"",HYPERLINK("https://gs.gsdiamonds.com/StoneDetails.aspx?name=" &amp; _xlfn.ENCODEURL(TRIM(B134)), TRIM(B134)))</f>
        <v>TRPZ2867</v>
      </c>
      <c r="S134">
        <v>6.01</v>
      </c>
      <c r="T134">
        <v>3.2</v>
      </c>
      <c r="U134">
        <v>1.89</v>
      </c>
      <c r="V134">
        <v>0</v>
      </c>
      <c r="W134">
        <v>0</v>
      </c>
      <c r="X134">
        <v>1.88</v>
      </c>
      <c r="Y134" t="s">
        <v>1999</v>
      </c>
    </row>
    <row r="135" spans="1:25" x14ac:dyDescent="0.25">
      <c r="A135" s="15" t="s">
        <v>2006</v>
      </c>
      <c r="B135" t="s">
        <v>1839</v>
      </c>
      <c r="C135" t="s">
        <v>29</v>
      </c>
      <c r="D135" t="s">
        <v>1586</v>
      </c>
      <c r="E135">
        <v>2</v>
      </c>
      <c r="F135">
        <v>0.52</v>
      </c>
      <c r="G135" t="s">
        <v>38</v>
      </c>
      <c r="H135" t="s">
        <v>57</v>
      </c>
      <c r="I135" t="s">
        <v>397</v>
      </c>
      <c r="N135" t="s">
        <v>34</v>
      </c>
      <c r="P135">
        <v>2700</v>
      </c>
      <c r="Q135">
        <v>1404</v>
      </c>
      <c r="R135" s="18" t="str">
        <f>IF(OR(TRIM(B135&amp;"")="",TRIM(B135&amp;"")="0"),"",HYPERLINK("https://gs.gsdiamonds.com/StoneDetails.aspx?name=" &amp; _xlfn.ENCODEURL(TRIM(B135)), TRIM(B135)))</f>
        <v>TRPZ2865</v>
      </c>
      <c r="S135">
        <v>7.06</v>
      </c>
      <c r="T135">
        <v>2.76</v>
      </c>
      <c r="U135">
        <v>1.98</v>
      </c>
      <c r="V135">
        <v>0</v>
      </c>
      <c r="W135">
        <v>0</v>
      </c>
      <c r="X135">
        <v>2.56</v>
      </c>
      <c r="Y135" t="s">
        <v>1999</v>
      </c>
    </row>
    <row r="136" spans="1:25" x14ac:dyDescent="0.25">
      <c r="A136" s="15" t="s">
        <v>2006</v>
      </c>
      <c r="B136" t="s">
        <v>1841</v>
      </c>
      <c r="C136" t="s">
        <v>29</v>
      </c>
      <c r="D136" t="s">
        <v>1586</v>
      </c>
      <c r="E136">
        <v>2</v>
      </c>
      <c r="F136">
        <v>0.61</v>
      </c>
      <c r="G136" t="s">
        <v>38</v>
      </c>
      <c r="H136" t="s">
        <v>39</v>
      </c>
      <c r="I136" t="s">
        <v>397</v>
      </c>
      <c r="P136">
        <v>2500</v>
      </c>
      <c r="Q136">
        <v>1525</v>
      </c>
      <c r="R136" s="18" t="str">
        <f>IF(OR(TRIM(B136&amp;"")="",TRIM(B136&amp;"")="0"),"",HYPERLINK("https://gs.gsdiamonds.com/StoneDetails.aspx?name=" &amp; _xlfn.ENCODEURL(TRIM(B136)), TRIM(B136)))</f>
        <v>TRPZ2864</v>
      </c>
      <c r="S136">
        <v>6.08</v>
      </c>
      <c r="T136">
        <v>3.07</v>
      </c>
      <c r="U136">
        <v>2.2000000000000002</v>
      </c>
      <c r="V136">
        <v>0</v>
      </c>
      <c r="W136">
        <v>0</v>
      </c>
      <c r="X136">
        <v>1.98</v>
      </c>
      <c r="Y136" t="s">
        <v>1999</v>
      </c>
    </row>
    <row r="137" spans="1:25" x14ac:dyDescent="0.25">
      <c r="A137" s="15" t="s">
        <v>2006</v>
      </c>
      <c r="B137" t="s">
        <v>1843</v>
      </c>
      <c r="C137" t="s">
        <v>29</v>
      </c>
      <c r="D137" t="s">
        <v>1586</v>
      </c>
      <c r="E137">
        <v>2</v>
      </c>
      <c r="F137">
        <v>0.41</v>
      </c>
      <c r="G137" t="s">
        <v>43</v>
      </c>
      <c r="H137" t="s">
        <v>57</v>
      </c>
      <c r="I137" t="s">
        <v>397</v>
      </c>
      <c r="P137">
        <v>1900</v>
      </c>
      <c r="Q137">
        <v>779</v>
      </c>
      <c r="R137" s="18" t="str">
        <f>IF(OR(TRIM(B137&amp;"")="",TRIM(B137&amp;"")="0"),"",HYPERLINK("https://gs.gsdiamonds.com/StoneDetails.aspx?name=" &amp; _xlfn.ENCODEURL(TRIM(B137)), TRIM(B137)))</f>
        <v>TRPZ2863</v>
      </c>
      <c r="S137">
        <v>6.04</v>
      </c>
      <c r="T137">
        <v>2.4300000000000002</v>
      </c>
      <c r="U137">
        <v>1.87</v>
      </c>
      <c r="V137">
        <v>0</v>
      </c>
      <c r="W137">
        <v>0</v>
      </c>
      <c r="X137">
        <v>2.4900000000000002</v>
      </c>
      <c r="Y137" t="s">
        <v>1999</v>
      </c>
    </row>
    <row r="138" spans="1:25" x14ac:dyDescent="0.25">
      <c r="A138" s="15" t="s">
        <v>2006</v>
      </c>
      <c r="B138" t="s">
        <v>1845</v>
      </c>
      <c r="C138" t="s">
        <v>29</v>
      </c>
      <c r="D138" t="s">
        <v>1586</v>
      </c>
      <c r="E138">
        <v>2</v>
      </c>
      <c r="F138">
        <v>0.44</v>
      </c>
      <c r="G138" t="s">
        <v>396</v>
      </c>
      <c r="H138" t="s">
        <v>57</v>
      </c>
      <c r="I138" t="s">
        <v>33</v>
      </c>
      <c r="N138" t="s">
        <v>58</v>
      </c>
      <c r="P138">
        <v>2200</v>
      </c>
      <c r="Q138">
        <v>968</v>
      </c>
      <c r="R138" s="18" t="str">
        <f>IF(OR(TRIM(B138&amp;"")="",TRIM(B138&amp;"")="0"),"",HYPERLINK("https://gs.gsdiamonds.com/StoneDetails.aspx?name=" &amp; _xlfn.ENCODEURL(TRIM(B138)), TRIM(B138)))</f>
        <v>TRPZ2862</v>
      </c>
      <c r="S138">
        <v>5.85</v>
      </c>
      <c r="T138">
        <v>3.09</v>
      </c>
      <c r="U138">
        <v>1.76</v>
      </c>
      <c r="V138">
        <v>0</v>
      </c>
      <c r="W138">
        <v>0</v>
      </c>
      <c r="X138">
        <v>1.89</v>
      </c>
      <c r="Y138" t="s">
        <v>1999</v>
      </c>
    </row>
    <row r="139" spans="1:25" x14ac:dyDescent="0.25">
      <c r="A139" s="15" t="s">
        <v>2006</v>
      </c>
      <c r="B139" t="s">
        <v>1847</v>
      </c>
      <c r="C139" t="s">
        <v>29</v>
      </c>
      <c r="D139" t="s">
        <v>1586</v>
      </c>
      <c r="E139">
        <v>2</v>
      </c>
      <c r="F139">
        <v>0.32</v>
      </c>
      <c r="G139" t="s">
        <v>49</v>
      </c>
      <c r="H139" t="s">
        <v>32</v>
      </c>
      <c r="I139" t="s">
        <v>33</v>
      </c>
      <c r="N139" t="s">
        <v>46</v>
      </c>
      <c r="P139">
        <v>1500</v>
      </c>
      <c r="Q139">
        <v>480</v>
      </c>
      <c r="R139" s="18" t="str">
        <f>IF(OR(TRIM(B139&amp;"")="",TRIM(B139&amp;"")="0"),"",HYPERLINK("https://gs.gsdiamonds.com/StoneDetails.aspx?name=" &amp; _xlfn.ENCODEURL(TRIM(B139)), TRIM(B139)))</f>
        <v>TRPZ2861</v>
      </c>
      <c r="S139">
        <v>6.19</v>
      </c>
      <c r="T139">
        <v>2.48</v>
      </c>
      <c r="U139">
        <v>1.49</v>
      </c>
      <c r="V139">
        <v>0</v>
      </c>
      <c r="W139">
        <v>0</v>
      </c>
      <c r="X139">
        <v>2.5</v>
      </c>
      <c r="Y139" t="s">
        <v>1999</v>
      </c>
    </row>
    <row r="140" spans="1:25" x14ac:dyDescent="0.25">
      <c r="A140" s="15" t="s">
        <v>2006</v>
      </c>
      <c r="B140" t="s">
        <v>1849</v>
      </c>
      <c r="C140" t="s">
        <v>29</v>
      </c>
      <c r="D140" t="s">
        <v>1586</v>
      </c>
      <c r="E140">
        <v>1</v>
      </c>
      <c r="F140">
        <v>0.6</v>
      </c>
      <c r="G140" t="s">
        <v>43</v>
      </c>
      <c r="H140" t="s">
        <v>39</v>
      </c>
      <c r="I140" t="s">
        <v>33</v>
      </c>
      <c r="N140" t="s">
        <v>46</v>
      </c>
      <c r="P140">
        <v>3507</v>
      </c>
      <c r="Q140">
        <v>2104.1999999999998</v>
      </c>
      <c r="R140" s="18" t="str">
        <f>IF(OR(TRIM(B140&amp;"")="",TRIM(B140&amp;"")="0"),"",HYPERLINK("https://gs.gsdiamonds.com/StoneDetails.aspx?name=" &amp; _xlfn.ENCODEURL(TRIM(B140)), TRIM(B140)))</f>
        <v>BLHL11AAAAAA</v>
      </c>
      <c r="S140">
        <v>7.72</v>
      </c>
      <c r="T140">
        <v>4.03</v>
      </c>
      <c r="U140">
        <v>2.61</v>
      </c>
      <c r="V140">
        <v>0</v>
      </c>
      <c r="W140">
        <v>0</v>
      </c>
      <c r="X140">
        <v>1.92</v>
      </c>
      <c r="Y140" t="s">
        <v>1998</v>
      </c>
    </row>
    <row r="141" spans="1:25" x14ac:dyDescent="0.25">
      <c r="A141" s="15" t="s">
        <v>2006</v>
      </c>
      <c r="B141" t="s">
        <v>1851</v>
      </c>
      <c r="C141" t="s">
        <v>29</v>
      </c>
      <c r="D141" t="s">
        <v>1586</v>
      </c>
      <c r="E141">
        <v>2</v>
      </c>
      <c r="F141">
        <v>0.8</v>
      </c>
      <c r="G141" t="s">
        <v>38</v>
      </c>
      <c r="H141" t="s">
        <v>53</v>
      </c>
      <c r="I141" t="s">
        <v>33</v>
      </c>
      <c r="N141" t="s">
        <v>61</v>
      </c>
      <c r="P141">
        <v>2600</v>
      </c>
      <c r="Q141">
        <v>2080</v>
      </c>
      <c r="R141" s="18" t="str">
        <f>IF(OR(TRIM(B141&amp;"")="",TRIM(B141&amp;"")="0"),"",HYPERLINK("https://gs.gsdiamonds.com/StoneDetails.aspx?name=" &amp; _xlfn.ENCODEURL(TRIM(B141)), TRIM(B141)))</f>
        <v>TRPZ2869</v>
      </c>
      <c r="S141">
        <v>6.28</v>
      </c>
      <c r="T141">
        <v>3.64</v>
      </c>
      <c r="U141">
        <v>2.5</v>
      </c>
      <c r="V141">
        <v>0</v>
      </c>
      <c r="W141">
        <v>0</v>
      </c>
      <c r="X141">
        <v>1.73</v>
      </c>
      <c r="Y141" t="s">
        <v>1999</v>
      </c>
    </row>
    <row r="142" spans="1:25" x14ac:dyDescent="0.25">
      <c r="A142" s="15" t="s">
        <v>2006</v>
      </c>
      <c r="B142" t="s">
        <v>1853</v>
      </c>
      <c r="C142" t="s">
        <v>29</v>
      </c>
      <c r="D142" t="s">
        <v>1586</v>
      </c>
      <c r="E142">
        <v>2</v>
      </c>
      <c r="F142">
        <v>0.47</v>
      </c>
      <c r="G142" t="s">
        <v>137</v>
      </c>
      <c r="H142" t="s">
        <v>50</v>
      </c>
      <c r="I142" t="s">
        <v>33</v>
      </c>
      <c r="N142" t="s">
        <v>70</v>
      </c>
      <c r="P142">
        <v>1500</v>
      </c>
      <c r="Q142">
        <v>705</v>
      </c>
      <c r="R142" s="18" t="str">
        <f>IF(OR(TRIM(B142&amp;"")="",TRIM(B142&amp;"")="0"),"",HYPERLINK("https://gs.gsdiamonds.com/StoneDetails.aspx?name=" &amp; _xlfn.ENCODEURL(TRIM(B142)), TRIM(B142)))</f>
        <v>TRPZ2870</v>
      </c>
      <c r="S142">
        <v>5.43</v>
      </c>
      <c r="T142">
        <v>3.03</v>
      </c>
      <c r="U142">
        <v>2.02</v>
      </c>
      <c r="V142">
        <v>0</v>
      </c>
      <c r="W142">
        <v>0</v>
      </c>
      <c r="X142">
        <v>1.79</v>
      </c>
      <c r="Y142" t="s">
        <v>1999</v>
      </c>
    </row>
    <row r="143" spans="1:25" x14ac:dyDescent="0.25">
      <c r="A143" s="15"/>
      <c r="R143" s="15"/>
    </row>
    <row r="144" spans="1:25" x14ac:dyDescent="0.25">
      <c r="A144" s="15"/>
      <c r="R144" s="15"/>
    </row>
    <row r="145" spans="1:18" x14ac:dyDescent="0.25">
      <c r="A145" s="15"/>
      <c r="R145" s="15"/>
    </row>
    <row r="146" spans="1:18" x14ac:dyDescent="0.25">
      <c r="A146" s="15"/>
      <c r="R146" s="15"/>
    </row>
    <row r="147" spans="1:18" x14ac:dyDescent="0.25">
      <c r="A147" s="15"/>
      <c r="R147" s="15"/>
    </row>
    <row r="148" spans="1:18" x14ac:dyDescent="0.25">
      <c r="A148" s="15"/>
      <c r="R148" s="15"/>
    </row>
    <row r="149" spans="1:18" x14ac:dyDescent="0.25">
      <c r="A149" s="15"/>
      <c r="R149" s="15"/>
    </row>
    <row r="150" spans="1:18" x14ac:dyDescent="0.25">
      <c r="A150" s="15"/>
      <c r="R150" s="15"/>
    </row>
    <row r="151" spans="1:18" x14ac:dyDescent="0.25">
      <c r="A151" s="15"/>
      <c r="R151" s="15"/>
    </row>
    <row r="152" spans="1:18" x14ac:dyDescent="0.25">
      <c r="A152" s="15"/>
      <c r="R152" s="15"/>
    </row>
    <row r="153" spans="1:18" x14ac:dyDescent="0.25">
      <c r="A153" s="15"/>
      <c r="R153" s="15"/>
    </row>
    <row r="154" spans="1:18" x14ac:dyDescent="0.25">
      <c r="A154" s="15"/>
      <c r="R154" s="15"/>
    </row>
    <row r="155" spans="1:18" x14ac:dyDescent="0.25">
      <c r="A155" s="15"/>
      <c r="R155" s="15"/>
    </row>
    <row r="156" spans="1:18" x14ac:dyDescent="0.25">
      <c r="A156" s="15"/>
      <c r="R156" s="15"/>
    </row>
    <row r="157" spans="1:18" x14ac:dyDescent="0.25">
      <c r="A157" s="15"/>
      <c r="R157" s="15"/>
    </row>
    <row r="158" spans="1:18" x14ac:dyDescent="0.25">
      <c r="A158" s="15"/>
      <c r="R158" s="15"/>
    </row>
    <row r="159" spans="1:18" x14ac:dyDescent="0.25">
      <c r="A159" s="15"/>
      <c r="R159" s="15"/>
    </row>
    <row r="160" spans="1:18" x14ac:dyDescent="0.25">
      <c r="A160" s="15"/>
      <c r="R160" s="15"/>
    </row>
    <row r="161" spans="1:18" x14ac:dyDescent="0.25">
      <c r="A161" s="15"/>
      <c r="R161" s="15"/>
    </row>
    <row r="162" spans="1:18" x14ac:dyDescent="0.25">
      <c r="A162" s="15"/>
      <c r="R162" s="15"/>
    </row>
    <row r="163" spans="1:18" x14ac:dyDescent="0.25">
      <c r="A163" s="15"/>
      <c r="R163" s="15"/>
    </row>
    <row r="164" spans="1:18" x14ac:dyDescent="0.25">
      <c r="A164" s="15"/>
      <c r="R164" s="15"/>
    </row>
    <row r="165" spans="1:18" x14ac:dyDescent="0.25">
      <c r="A165" s="15"/>
      <c r="R165" s="15"/>
    </row>
    <row r="166" spans="1:18" x14ac:dyDescent="0.25">
      <c r="A166" s="15"/>
      <c r="R166" s="15"/>
    </row>
    <row r="167" spans="1:18" x14ac:dyDescent="0.25">
      <c r="A167" s="15"/>
      <c r="R167" s="15"/>
    </row>
    <row r="168" spans="1:18" x14ac:dyDescent="0.25">
      <c r="A168" s="15"/>
      <c r="R168" s="15"/>
    </row>
    <row r="169" spans="1:18" x14ac:dyDescent="0.25">
      <c r="A169" s="15"/>
      <c r="R169" s="15"/>
    </row>
    <row r="170" spans="1:18" x14ac:dyDescent="0.25">
      <c r="A170" s="15"/>
      <c r="R170" s="15"/>
    </row>
    <row r="171" spans="1:18" x14ac:dyDescent="0.25">
      <c r="A171" s="15"/>
      <c r="R171" s="15"/>
    </row>
    <row r="172" spans="1:18" x14ac:dyDescent="0.25">
      <c r="A172" s="15"/>
      <c r="R172" s="15"/>
    </row>
    <row r="173" spans="1:18" x14ac:dyDescent="0.25">
      <c r="A173" s="15"/>
      <c r="R173" s="15"/>
    </row>
    <row r="174" spans="1:18" x14ac:dyDescent="0.25">
      <c r="A174" s="15"/>
      <c r="R174" s="15"/>
    </row>
    <row r="175" spans="1:18" x14ac:dyDescent="0.25">
      <c r="A175" s="15"/>
      <c r="R175" s="15"/>
    </row>
    <row r="176" spans="1:18" x14ac:dyDescent="0.25">
      <c r="A176" s="15"/>
      <c r="R176" s="15"/>
    </row>
    <row r="177" spans="1:18" x14ac:dyDescent="0.25">
      <c r="A177" s="15"/>
      <c r="R177" s="15"/>
    </row>
    <row r="178" spans="1:18" x14ac:dyDescent="0.25">
      <c r="A178" s="15"/>
      <c r="R178" s="15"/>
    </row>
    <row r="179" spans="1:18" x14ac:dyDescent="0.25">
      <c r="A179" s="15"/>
      <c r="R179" s="15"/>
    </row>
    <row r="180" spans="1:18" x14ac:dyDescent="0.25">
      <c r="A180" s="15"/>
      <c r="R180" s="15"/>
    </row>
    <row r="181" spans="1:18" x14ac:dyDescent="0.25">
      <c r="A181" s="15"/>
      <c r="R181" s="15"/>
    </row>
    <row r="182" spans="1:18" x14ac:dyDescent="0.25">
      <c r="A182" s="15"/>
      <c r="R182" s="15"/>
    </row>
    <row r="183" spans="1:18" x14ac:dyDescent="0.25">
      <c r="A183" s="15"/>
      <c r="R183" s="15"/>
    </row>
    <row r="184" spans="1:18" x14ac:dyDescent="0.25">
      <c r="A184" s="15"/>
      <c r="R184" s="15"/>
    </row>
    <row r="185" spans="1:18" x14ac:dyDescent="0.25">
      <c r="A185" s="15"/>
      <c r="R185" s="15"/>
    </row>
    <row r="186" spans="1:18" x14ac:dyDescent="0.25">
      <c r="A186" s="15"/>
      <c r="R186" s="15"/>
    </row>
    <row r="187" spans="1:18" x14ac:dyDescent="0.25">
      <c r="A187" s="15"/>
      <c r="R187" s="15"/>
    </row>
    <row r="188" spans="1:18" x14ac:dyDescent="0.25">
      <c r="A188" s="15"/>
      <c r="R188" s="15"/>
    </row>
    <row r="189" spans="1:18" x14ac:dyDescent="0.25">
      <c r="A189" s="15"/>
      <c r="R189" s="15"/>
    </row>
    <row r="190" spans="1:18" x14ac:dyDescent="0.25">
      <c r="A190" s="15"/>
      <c r="R190" s="15"/>
    </row>
    <row r="191" spans="1:18" x14ac:dyDescent="0.25">
      <c r="A191" s="15"/>
      <c r="R191" s="15"/>
    </row>
    <row r="192" spans="1:18" x14ac:dyDescent="0.25">
      <c r="A192" s="15"/>
      <c r="R192" s="15"/>
    </row>
    <row r="193" spans="1:18" x14ac:dyDescent="0.25">
      <c r="A193" s="15"/>
      <c r="R193" s="15"/>
    </row>
    <row r="194" spans="1:18" x14ac:dyDescent="0.25">
      <c r="A194" s="15"/>
      <c r="R194" s="15"/>
    </row>
    <row r="195" spans="1:18" x14ac:dyDescent="0.25">
      <c r="A195" s="15"/>
      <c r="R195" s="15"/>
    </row>
    <row r="196" spans="1:18" x14ac:dyDescent="0.25">
      <c r="A196" s="15"/>
      <c r="R196" s="15"/>
    </row>
    <row r="197" spans="1:18" x14ac:dyDescent="0.25">
      <c r="A197" s="15"/>
      <c r="R197" s="15"/>
    </row>
    <row r="198" spans="1:18" x14ac:dyDescent="0.25">
      <c r="A198" s="15"/>
      <c r="R198" s="15"/>
    </row>
    <row r="199" spans="1:18" x14ac:dyDescent="0.25">
      <c r="A199" s="15"/>
      <c r="R199" s="15"/>
    </row>
    <row r="200" spans="1:18" x14ac:dyDescent="0.25">
      <c r="A200" s="15"/>
      <c r="R200" s="15"/>
    </row>
    <row r="201" spans="1:18" x14ac:dyDescent="0.25">
      <c r="A201" s="15"/>
      <c r="R201" s="15"/>
    </row>
    <row r="202" spans="1:18" x14ac:dyDescent="0.25">
      <c r="A202" s="15"/>
      <c r="R202" s="15"/>
    </row>
    <row r="203" spans="1:18" x14ac:dyDescent="0.25">
      <c r="A203" s="15"/>
      <c r="R203" s="15"/>
    </row>
    <row r="204" spans="1:18" x14ac:dyDescent="0.25">
      <c r="A204" s="15"/>
      <c r="R204" s="15"/>
    </row>
    <row r="205" spans="1:18" x14ac:dyDescent="0.25">
      <c r="A205" s="15"/>
      <c r="R205" s="15"/>
    </row>
    <row r="206" spans="1:18" x14ac:dyDescent="0.25">
      <c r="A206" s="15"/>
      <c r="R206" s="15"/>
    </row>
    <row r="207" spans="1:18" x14ac:dyDescent="0.25">
      <c r="A207" s="15"/>
      <c r="R207" s="15"/>
    </row>
    <row r="208" spans="1:18" x14ac:dyDescent="0.25">
      <c r="A208" s="15"/>
      <c r="R208" s="15"/>
    </row>
    <row r="209" spans="1:18" x14ac:dyDescent="0.25">
      <c r="A209" s="15"/>
      <c r="R209" s="15"/>
    </row>
    <row r="210" spans="1:18" x14ac:dyDescent="0.25">
      <c r="A210" s="15"/>
      <c r="R210" s="15"/>
    </row>
    <row r="211" spans="1:18" x14ac:dyDescent="0.25">
      <c r="A211" s="15"/>
      <c r="R211" s="15"/>
    </row>
    <row r="212" spans="1:18" x14ac:dyDescent="0.25">
      <c r="A212" s="15"/>
      <c r="R212" s="15"/>
    </row>
    <row r="213" spans="1:18" x14ac:dyDescent="0.25">
      <c r="A213" s="15"/>
      <c r="R213" s="15"/>
    </row>
    <row r="214" spans="1:18" x14ac:dyDescent="0.25">
      <c r="A214" s="15"/>
      <c r="R214" s="15"/>
    </row>
    <row r="215" spans="1:18" x14ac:dyDescent="0.25">
      <c r="A215" s="15"/>
      <c r="R215" s="15"/>
    </row>
    <row r="216" spans="1:18" x14ac:dyDescent="0.25">
      <c r="A216" s="15"/>
      <c r="R216" s="15"/>
    </row>
    <row r="217" spans="1:18" x14ac:dyDescent="0.25">
      <c r="A217" s="15"/>
      <c r="R217" s="15"/>
    </row>
    <row r="218" spans="1:18" x14ac:dyDescent="0.25">
      <c r="A218" s="15"/>
      <c r="R218" s="15"/>
    </row>
    <row r="219" spans="1:18" x14ac:dyDescent="0.25">
      <c r="A219" s="15"/>
      <c r="R219" s="15"/>
    </row>
    <row r="220" spans="1:18" x14ac:dyDescent="0.25">
      <c r="A220" s="15"/>
      <c r="R220" s="15"/>
    </row>
    <row r="221" spans="1:18" x14ac:dyDescent="0.25">
      <c r="A221" s="15"/>
      <c r="R221" s="15"/>
    </row>
    <row r="222" spans="1:18" x14ac:dyDescent="0.25">
      <c r="A222" s="15"/>
      <c r="R222" s="15"/>
    </row>
    <row r="223" spans="1:18" x14ac:dyDescent="0.25">
      <c r="A223" s="15"/>
      <c r="R223" s="15"/>
    </row>
    <row r="224" spans="1:18" x14ac:dyDescent="0.25">
      <c r="A224" s="15"/>
      <c r="R224" s="15"/>
    </row>
    <row r="225" spans="1:18" x14ac:dyDescent="0.25">
      <c r="A225" s="15"/>
      <c r="R225" s="15"/>
    </row>
    <row r="226" spans="1:18" x14ac:dyDescent="0.25">
      <c r="A226" s="15"/>
      <c r="R226" s="15"/>
    </row>
    <row r="227" spans="1:18" x14ac:dyDescent="0.25">
      <c r="A227" s="15"/>
      <c r="R227" s="15"/>
    </row>
    <row r="228" spans="1:18" x14ac:dyDescent="0.25">
      <c r="A228" s="15"/>
      <c r="R228" s="15"/>
    </row>
    <row r="229" spans="1:18" x14ac:dyDescent="0.25">
      <c r="A229" s="15"/>
      <c r="R229" s="15"/>
    </row>
    <row r="230" spans="1:18" x14ac:dyDescent="0.25">
      <c r="A230" s="15"/>
      <c r="R230" s="15"/>
    </row>
    <row r="231" spans="1:18" x14ac:dyDescent="0.25">
      <c r="A231" s="15"/>
      <c r="R231" s="15"/>
    </row>
    <row r="232" spans="1:18" x14ac:dyDescent="0.25">
      <c r="A232" s="15"/>
      <c r="R232" s="15"/>
    </row>
    <row r="233" spans="1:18" x14ac:dyDescent="0.25">
      <c r="A233" s="15"/>
      <c r="R233" s="15"/>
    </row>
    <row r="234" spans="1:18" x14ac:dyDescent="0.25">
      <c r="A234" s="15"/>
      <c r="R234" s="15"/>
    </row>
    <row r="235" spans="1:18" x14ac:dyDescent="0.25">
      <c r="A235" s="15"/>
      <c r="R235" s="15"/>
    </row>
    <row r="236" spans="1:18" x14ac:dyDescent="0.25">
      <c r="A236" s="15"/>
      <c r="R236" s="15"/>
    </row>
    <row r="237" spans="1:18" x14ac:dyDescent="0.25">
      <c r="A237" s="15"/>
      <c r="R237" s="15"/>
    </row>
    <row r="238" spans="1:18" x14ac:dyDescent="0.25">
      <c r="A238" s="15"/>
      <c r="R238" s="15"/>
    </row>
    <row r="239" spans="1:18" x14ac:dyDescent="0.25">
      <c r="A239" s="15"/>
      <c r="R239" s="15"/>
    </row>
    <row r="240" spans="1:18" x14ac:dyDescent="0.25">
      <c r="A240" s="15"/>
      <c r="R240" s="15"/>
    </row>
    <row r="241" spans="1:18" x14ac:dyDescent="0.25">
      <c r="A241" s="15"/>
      <c r="R241" s="15"/>
    </row>
    <row r="242" spans="1:18" x14ac:dyDescent="0.25">
      <c r="A242" s="15"/>
      <c r="R242" s="15"/>
    </row>
    <row r="243" spans="1:18" x14ac:dyDescent="0.25">
      <c r="A243" s="15"/>
      <c r="R243" s="15"/>
    </row>
    <row r="244" spans="1:18" x14ac:dyDescent="0.25">
      <c r="A244" s="15"/>
      <c r="R244" s="15"/>
    </row>
    <row r="245" spans="1:18" x14ac:dyDescent="0.25">
      <c r="A245" s="15"/>
      <c r="R245" s="15"/>
    </row>
    <row r="246" spans="1:18" x14ac:dyDescent="0.25">
      <c r="A246" s="15"/>
      <c r="R246" s="15"/>
    </row>
    <row r="247" spans="1:18" x14ac:dyDescent="0.25">
      <c r="A247" s="15"/>
      <c r="R247" s="15"/>
    </row>
    <row r="248" spans="1:18" x14ac:dyDescent="0.25">
      <c r="A248" s="15"/>
      <c r="R248" s="15"/>
    </row>
    <row r="249" spans="1:18" x14ac:dyDescent="0.25">
      <c r="A249" s="15"/>
      <c r="R249" s="15"/>
    </row>
    <row r="250" spans="1:18" x14ac:dyDescent="0.25">
      <c r="A250" s="15"/>
      <c r="R250" s="15"/>
    </row>
    <row r="251" spans="1:18" x14ac:dyDescent="0.25">
      <c r="A251" s="15"/>
      <c r="R251" s="15"/>
    </row>
    <row r="252" spans="1:18" x14ac:dyDescent="0.25">
      <c r="A252" s="15"/>
      <c r="R252" s="15"/>
    </row>
    <row r="253" spans="1:18" x14ac:dyDescent="0.25">
      <c r="A253" s="15"/>
      <c r="R253" s="15"/>
    </row>
    <row r="254" spans="1:18" x14ac:dyDescent="0.25">
      <c r="A254" s="15"/>
      <c r="R254" s="15"/>
    </row>
    <row r="255" spans="1:18" x14ac:dyDescent="0.25">
      <c r="A255" s="15"/>
      <c r="R255" s="15"/>
    </row>
    <row r="256" spans="1:18" x14ac:dyDescent="0.25">
      <c r="A256" s="15"/>
      <c r="R256" s="15"/>
    </row>
    <row r="257" spans="1:18" x14ac:dyDescent="0.25">
      <c r="A257" s="15"/>
      <c r="R257" s="15"/>
    </row>
    <row r="258" spans="1:18" x14ac:dyDescent="0.25">
      <c r="A258" s="15"/>
      <c r="R258" s="15"/>
    </row>
    <row r="259" spans="1:18" x14ac:dyDescent="0.25">
      <c r="A259" s="15"/>
      <c r="R259" s="15"/>
    </row>
    <row r="260" spans="1:18" x14ac:dyDescent="0.25">
      <c r="A260" s="15"/>
      <c r="R260" s="15"/>
    </row>
    <row r="261" spans="1:18" x14ac:dyDescent="0.25">
      <c r="A261" s="15"/>
      <c r="R261" s="15"/>
    </row>
    <row r="262" spans="1:18" x14ac:dyDescent="0.25">
      <c r="A262" s="15"/>
      <c r="R262" s="15"/>
    </row>
    <row r="263" spans="1:18" x14ac:dyDescent="0.25">
      <c r="A263" s="15"/>
      <c r="R263" s="15"/>
    </row>
    <row r="264" spans="1:18" x14ac:dyDescent="0.25">
      <c r="A264" s="15"/>
      <c r="R264" s="15"/>
    </row>
    <row r="265" spans="1:18" x14ac:dyDescent="0.25">
      <c r="A265" s="15"/>
      <c r="R265" s="15"/>
    </row>
    <row r="266" spans="1:18" x14ac:dyDescent="0.25">
      <c r="A266" s="15"/>
      <c r="R266" s="15"/>
    </row>
    <row r="267" spans="1:18" x14ac:dyDescent="0.25">
      <c r="A267" s="15"/>
      <c r="R267" s="15"/>
    </row>
    <row r="268" spans="1:18" x14ac:dyDescent="0.25">
      <c r="A268" s="15"/>
      <c r="R268" s="15"/>
    </row>
    <row r="269" spans="1:18" x14ac:dyDescent="0.25">
      <c r="A269" s="15"/>
      <c r="R269" s="15"/>
    </row>
    <row r="270" spans="1:18" x14ac:dyDescent="0.25">
      <c r="A270" s="15"/>
      <c r="R270" s="15"/>
    </row>
    <row r="271" spans="1:18" x14ac:dyDescent="0.25">
      <c r="A271" s="15"/>
      <c r="R271" s="15"/>
    </row>
    <row r="272" spans="1:18" x14ac:dyDescent="0.25">
      <c r="A272" s="15"/>
      <c r="R272" s="15"/>
    </row>
    <row r="273" spans="1:18" x14ac:dyDescent="0.25">
      <c r="A273" s="15"/>
      <c r="R273" s="15"/>
    </row>
    <row r="274" spans="1:18" x14ac:dyDescent="0.25">
      <c r="A274" s="15"/>
      <c r="R274" s="15"/>
    </row>
    <row r="275" spans="1:18" x14ac:dyDescent="0.25">
      <c r="A275" s="15"/>
      <c r="R275" s="15"/>
    </row>
    <row r="276" spans="1:18" x14ac:dyDescent="0.25">
      <c r="A276" s="15"/>
      <c r="R276" s="15"/>
    </row>
    <row r="277" spans="1:18" x14ac:dyDescent="0.25">
      <c r="A277" s="15"/>
      <c r="R277" s="15"/>
    </row>
    <row r="278" spans="1:18" x14ac:dyDescent="0.25">
      <c r="A278" s="15"/>
      <c r="R278" s="15"/>
    </row>
    <row r="279" spans="1:18" x14ac:dyDescent="0.25">
      <c r="A279" s="15"/>
      <c r="R279" s="15"/>
    </row>
    <row r="280" spans="1:18" x14ac:dyDescent="0.25">
      <c r="A280" s="15"/>
      <c r="R280" s="15"/>
    </row>
    <row r="281" spans="1:18" x14ac:dyDescent="0.25">
      <c r="A281" s="15"/>
      <c r="R281" s="15"/>
    </row>
    <row r="282" spans="1:18" x14ac:dyDescent="0.25">
      <c r="A282" s="15"/>
      <c r="R282" s="15"/>
    </row>
    <row r="283" spans="1:18" x14ac:dyDescent="0.25">
      <c r="A283" s="15"/>
      <c r="R283" s="15"/>
    </row>
    <row r="284" spans="1:18" x14ac:dyDescent="0.25">
      <c r="A284" s="15"/>
      <c r="R284" s="15"/>
    </row>
    <row r="285" spans="1:18" x14ac:dyDescent="0.25">
      <c r="A285" s="15"/>
      <c r="R285" s="15"/>
    </row>
    <row r="286" spans="1:18" x14ac:dyDescent="0.25">
      <c r="A286" s="15"/>
      <c r="R286" s="15"/>
    </row>
    <row r="287" spans="1:18" x14ac:dyDescent="0.25">
      <c r="A287" s="15"/>
      <c r="R287" s="15"/>
    </row>
    <row r="288" spans="1:18" x14ac:dyDescent="0.25">
      <c r="A288" s="15"/>
      <c r="R288" s="15"/>
    </row>
    <row r="289" spans="1:18" x14ac:dyDescent="0.25">
      <c r="A289" s="15"/>
      <c r="R289" s="15"/>
    </row>
    <row r="290" spans="1:18" x14ac:dyDescent="0.25">
      <c r="A290" s="15"/>
      <c r="R290" s="15"/>
    </row>
    <row r="291" spans="1:18" x14ac:dyDescent="0.25">
      <c r="A291" s="15"/>
      <c r="R291" s="15"/>
    </row>
    <row r="292" spans="1:18" x14ac:dyDescent="0.25">
      <c r="A292" s="15"/>
      <c r="R292" s="15"/>
    </row>
    <row r="293" spans="1:18" x14ac:dyDescent="0.25">
      <c r="A293" s="15"/>
      <c r="R293" s="15"/>
    </row>
    <row r="294" spans="1:18" x14ac:dyDescent="0.25">
      <c r="A294" s="15"/>
      <c r="R294" s="15"/>
    </row>
    <row r="295" spans="1:18" x14ac:dyDescent="0.25">
      <c r="A295" s="15"/>
      <c r="R295" s="15"/>
    </row>
    <row r="296" spans="1:18" x14ac:dyDescent="0.25">
      <c r="A296" s="15"/>
      <c r="R296" s="15"/>
    </row>
    <row r="297" spans="1:18" x14ac:dyDescent="0.25">
      <c r="A297" s="15"/>
      <c r="R297" s="15"/>
    </row>
    <row r="298" spans="1:18" x14ac:dyDescent="0.25">
      <c r="A298" s="15"/>
      <c r="R298" s="15"/>
    </row>
    <row r="299" spans="1:18" x14ac:dyDescent="0.25">
      <c r="A299" s="15"/>
      <c r="R299" s="15"/>
    </row>
    <row r="300" spans="1:18" x14ac:dyDescent="0.25">
      <c r="A300" s="15"/>
      <c r="R300" s="15"/>
    </row>
    <row r="301" spans="1:18" x14ac:dyDescent="0.25">
      <c r="A301" s="15"/>
      <c r="R301" s="15"/>
    </row>
    <row r="302" spans="1:18" x14ac:dyDescent="0.25">
      <c r="A302" s="15"/>
      <c r="R302" s="15"/>
    </row>
    <row r="303" spans="1:18" x14ac:dyDescent="0.25">
      <c r="A303" s="15"/>
      <c r="R303" s="15"/>
    </row>
    <row r="304" spans="1:18" x14ac:dyDescent="0.25">
      <c r="A304" s="15"/>
      <c r="R304" s="15"/>
    </row>
    <row r="305" spans="1:18" x14ac:dyDescent="0.25">
      <c r="A305" s="15"/>
      <c r="R305" s="15"/>
    </row>
    <row r="306" spans="1:18" x14ac:dyDescent="0.25">
      <c r="A306" s="15"/>
      <c r="R306" s="15"/>
    </row>
    <row r="307" spans="1:18" x14ac:dyDescent="0.25">
      <c r="A307" s="15"/>
      <c r="R307" s="15"/>
    </row>
    <row r="308" spans="1:18" x14ac:dyDescent="0.25">
      <c r="A308" s="15"/>
      <c r="R308" s="15"/>
    </row>
    <row r="309" spans="1:18" x14ac:dyDescent="0.25">
      <c r="A309" s="15"/>
      <c r="R309" s="15"/>
    </row>
    <row r="310" spans="1:18" x14ac:dyDescent="0.25">
      <c r="A310" s="15"/>
      <c r="R310" s="15"/>
    </row>
    <row r="311" spans="1:18" x14ac:dyDescent="0.25">
      <c r="A311" s="15"/>
      <c r="R311" s="15"/>
    </row>
    <row r="312" spans="1:18" x14ac:dyDescent="0.25">
      <c r="A312" s="15"/>
      <c r="R312" s="15"/>
    </row>
    <row r="313" spans="1:18" x14ac:dyDescent="0.25">
      <c r="A313" s="15"/>
      <c r="R313" s="15"/>
    </row>
    <row r="314" spans="1:18" x14ac:dyDescent="0.25">
      <c r="A314" s="15"/>
      <c r="R314" s="15"/>
    </row>
    <row r="315" spans="1:18" x14ac:dyDescent="0.25">
      <c r="A315" s="15"/>
      <c r="R315" s="15"/>
    </row>
    <row r="316" spans="1:18" x14ac:dyDescent="0.25">
      <c r="A316" s="15"/>
      <c r="R316" s="15"/>
    </row>
    <row r="317" spans="1:18" x14ac:dyDescent="0.25">
      <c r="A317" s="15"/>
      <c r="R317" s="15"/>
    </row>
    <row r="318" spans="1:18" x14ac:dyDescent="0.25">
      <c r="A318" s="15"/>
      <c r="R318" s="15"/>
    </row>
    <row r="319" spans="1:18" x14ac:dyDescent="0.25">
      <c r="A319" s="15"/>
      <c r="R319" s="15"/>
    </row>
    <row r="320" spans="1:18" x14ac:dyDescent="0.25">
      <c r="A320" s="15"/>
      <c r="R320" s="15"/>
    </row>
    <row r="321" spans="1:18" x14ac:dyDescent="0.25">
      <c r="A321" s="15"/>
      <c r="R321" s="15"/>
    </row>
    <row r="322" spans="1:18" x14ac:dyDescent="0.25">
      <c r="A322" s="15"/>
      <c r="R322" s="15"/>
    </row>
    <row r="323" spans="1:18" x14ac:dyDescent="0.25">
      <c r="A323" s="15"/>
      <c r="R323" s="15"/>
    </row>
    <row r="324" spans="1:18" x14ac:dyDescent="0.25">
      <c r="A324" s="15"/>
      <c r="R324" s="15"/>
    </row>
    <row r="325" spans="1:18" x14ac:dyDescent="0.25">
      <c r="A325" s="15"/>
      <c r="R325" s="15"/>
    </row>
    <row r="326" spans="1:18" x14ac:dyDescent="0.25">
      <c r="A326" s="15"/>
      <c r="R326" s="15"/>
    </row>
    <row r="327" spans="1:18" x14ac:dyDescent="0.25">
      <c r="A327" s="15"/>
      <c r="R327" s="15"/>
    </row>
    <row r="328" spans="1:18" x14ac:dyDescent="0.25">
      <c r="A328" s="15"/>
      <c r="R328" s="15"/>
    </row>
    <row r="329" spans="1:18" x14ac:dyDescent="0.25">
      <c r="A329" s="15"/>
      <c r="R329" s="15"/>
    </row>
    <row r="330" spans="1:18" x14ac:dyDescent="0.25">
      <c r="A330" s="15"/>
      <c r="R330" s="15"/>
    </row>
    <row r="331" spans="1:18" x14ac:dyDescent="0.25">
      <c r="A331" s="15"/>
      <c r="R331" s="15"/>
    </row>
    <row r="332" spans="1:18" x14ac:dyDescent="0.25">
      <c r="A332" s="15"/>
      <c r="R332" s="15"/>
    </row>
    <row r="333" spans="1:18" x14ac:dyDescent="0.25">
      <c r="A333" s="15"/>
      <c r="R333" s="15"/>
    </row>
    <row r="334" spans="1:18" x14ac:dyDescent="0.25">
      <c r="A334" s="15"/>
      <c r="R334" s="15"/>
    </row>
    <row r="335" spans="1:18" x14ac:dyDescent="0.25">
      <c r="A335" s="15"/>
      <c r="R335" s="15"/>
    </row>
    <row r="336" spans="1:18" x14ac:dyDescent="0.25">
      <c r="A336" s="15"/>
      <c r="R336" s="15"/>
    </row>
    <row r="337" spans="1:18" x14ac:dyDescent="0.25">
      <c r="A337" s="15"/>
      <c r="R337" s="15"/>
    </row>
    <row r="338" spans="1:18" x14ac:dyDescent="0.25">
      <c r="A338" s="15"/>
      <c r="R338" s="15"/>
    </row>
    <row r="339" spans="1:18" x14ac:dyDescent="0.25">
      <c r="A339" s="15"/>
      <c r="R339" s="15"/>
    </row>
    <row r="340" spans="1:18" x14ac:dyDescent="0.25">
      <c r="A340" s="15"/>
      <c r="R340" s="15"/>
    </row>
    <row r="341" spans="1:18" x14ac:dyDescent="0.25">
      <c r="A341" s="15"/>
      <c r="R341" s="15"/>
    </row>
    <row r="342" spans="1:18" x14ac:dyDescent="0.25">
      <c r="A342" s="15"/>
      <c r="R342" s="15"/>
    </row>
    <row r="343" spans="1:18" x14ac:dyDescent="0.25">
      <c r="A343" s="15"/>
      <c r="R343" s="15"/>
    </row>
    <row r="344" spans="1:18" x14ac:dyDescent="0.25">
      <c r="A344" s="15"/>
      <c r="R344" s="15"/>
    </row>
    <row r="345" spans="1:18" x14ac:dyDescent="0.25">
      <c r="A345" s="15"/>
      <c r="R345" s="15"/>
    </row>
    <row r="346" spans="1:18" x14ac:dyDescent="0.25">
      <c r="A346" s="15"/>
      <c r="R346" s="15"/>
    </row>
    <row r="347" spans="1:18" x14ac:dyDescent="0.25">
      <c r="A347" s="15"/>
      <c r="R347" s="15"/>
    </row>
    <row r="348" spans="1:18" x14ac:dyDescent="0.25">
      <c r="A348" s="15"/>
      <c r="R348" s="15"/>
    </row>
    <row r="349" spans="1:18" x14ac:dyDescent="0.25">
      <c r="A349" s="15"/>
      <c r="R349" s="15"/>
    </row>
    <row r="350" spans="1:18" x14ac:dyDescent="0.25">
      <c r="A350" s="15"/>
      <c r="R350" s="15"/>
    </row>
    <row r="351" spans="1:18" x14ac:dyDescent="0.25">
      <c r="A351" s="15"/>
      <c r="R351" s="15"/>
    </row>
    <row r="352" spans="1:18" x14ac:dyDescent="0.25">
      <c r="A352" s="15"/>
      <c r="R352" s="15"/>
    </row>
    <row r="353" spans="1:18" x14ac:dyDescent="0.25">
      <c r="A353" s="15"/>
      <c r="R353" s="15"/>
    </row>
    <row r="354" spans="1:18" x14ac:dyDescent="0.25">
      <c r="A354" s="15"/>
      <c r="R354" s="15"/>
    </row>
    <row r="355" spans="1:18" x14ac:dyDescent="0.25">
      <c r="A355" s="15"/>
      <c r="R355" s="15"/>
    </row>
    <row r="356" spans="1:18" x14ac:dyDescent="0.25">
      <c r="A356" s="15"/>
      <c r="R356" s="15"/>
    </row>
    <row r="357" spans="1:18" x14ac:dyDescent="0.25">
      <c r="A357" s="15"/>
      <c r="R357" s="15"/>
    </row>
    <row r="358" spans="1:18" x14ac:dyDescent="0.25">
      <c r="A358" s="15"/>
      <c r="R358" s="15"/>
    </row>
    <row r="359" spans="1:18" x14ac:dyDescent="0.25">
      <c r="A359" s="15"/>
      <c r="R359" s="15"/>
    </row>
    <row r="360" spans="1:18" x14ac:dyDescent="0.25">
      <c r="A360" s="15"/>
      <c r="R360" s="15"/>
    </row>
    <row r="361" spans="1:18" x14ac:dyDescent="0.25">
      <c r="A361" s="15"/>
      <c r="R361" s="15"/>
    </row>
    <row r="362" spans="1:18" x14ac:dyDescent="0.25">
      <c r="A362" s="15"/>
      <c r="R362" s="15"/>
    </row>
    <row r="363" spans="1:18" x14ac:dyDescent="0.25">
      <c r="A363" s="15"/>
      <c r="R363" s="15"/>
    </row>
    <row r="364" spans="1:18" x14ac:dyDescent="0.25">
      <c r="A364" s="15"/>
      <c r="R364" s="15"/>
    </row>
    <row r="365" spans="1:18" x14ac:dyDescent="0.25">
      <c r="A365" s="15"/>
      <c r="R365" s="15"/>
    </row>
    <row r="366" spans="1:18" x14ac:dyDescent="0.25">
      <c r="A366" s="15"/>
      <c r="R366" s="15"/>
    </row>
    <row r="367" spans="1:18" x14ac:dyDescent="0.25">
      <c r="A367" s="15"/>
      <c r="R367" s="15"/>
    </row>
    <row r="368" spans="1:18" x14ac:dyDescent="0.25">
      <c r="A368" s="15"/>
      <c r="R368" s="15"/>
    </row>
    <row r="369" spans="1:18" x14ac:dyDescent="0.25">
      <c r="A369" s="15"/>
      <c r="R369" s="15"/>
    </row>
    <row r="370" spans="1:18" x14ac:dyDescent="0.25">
      <c r="A370" s="15"/>
      <c r="R370" s="15"/>
    </row>
    <row r="371" spans="1:18" x14ac:dyDescent="0.25">
      <c r="A371" s="15"/>
      <c r="R371" s="15"/>
    </row>
    <row r="372" spans="1:18" x14ac:dyDescent="0.25">
      <c r="A372" s="15"/>
      <c r="R372" s="15"/>
    </row>
    <row r="373" spans="1:18" x14ac:dyDescent="0.25">
      <c r="A373" s="15"/>
      <c r="R373" s="15"/>
    </row>
    <row r="374" spans="1:18" x14ac:dyDescent="0.25">
      <c r="A374" s="15"/>
      <c r="R374" s="15"/>
    </row>
    <row r="375" spans="1:18" x14ac:dyDescent="0.25">
      <c r="A375" s="15"/>
      <c r="R375" s="15"/>
    </row>
    <row r="376" spans="1:18" x14ac:dyDescent="0.25">
      <c r="A376" s="15"/>
      <c r="R376" s="15"/>
    </row>
    <row r="377" spans="1:18" x14ac:dyDescent="0.25">
      <c r="A377" s="15"/>
      <c r="R377" s="15"/>
    </row>
    <row r="378" spans="1:18" x14ac:dyDescent="0.25">
      <c r="A378" s="15"/>
      <c r="R378" s="15"/>
    </row>
    <row r="379" spans="1:18" x14ac:dyDescent="0.25">
      <c r="A379" s="15"/>
      <c r="R379" s="15"/>
    </row>
    <row r="380" spans="1:18" x14ac:dyDescent="0.25">
      <c r="A380" s="15"/>
      <c r="R380" s="15"/>
    </row>
    <row r="381" spans="1:18" x14ac:dyDescent="0.25">
      <c r="A381" s="15"/>
      <c r="R381" s="15"/>
    </row>
    <row r="382" spans="1:18" x14ac:dyDescent="0.25">
      <c r="A382" s="15"/>
      <c r="R382" s="15"/>
    </row>
    <row r="383" spans="1:18" x14ac:dyDescent="0.25">
      <c r="A383" s="15"/>
      <c r="R383" s="15"/>
    </row>
    <row r="384" spans="1:18" x14ac:dyDescent="0.25">
      <c r="A384" s="15"/>
      <c r="R384" s="15"/>
    </row>
    <row r="385" spans="1:18" x14ac:dyDescent="0.25">
      <c r="A385" s="15"/>
      <c r="R385" s="15"/>
    </row>
    <row r="386" spans="1:18" x14ac:dyDescent="0.25">
      <c r="A386" s="15"/>
      <c r="R386" s="15"/>
    </row>
    <row r="387" spans="1:18" x14ac:dyDescent="0.25">
      <c r="A387" s="15"/>
      <c r="R387" s="15"/>
    </row>
    <row r="388" spans="1:18" x14ac:dyDescent="0.25">
      <c r="A388" s="15"/>
      <c r="R388" s="15"/>
    </row>
    <row r="389" spans="1:18" x14ac:dyDescent="0.25">
      <c r="A389" s="15"/>
      <c r="R389" s="15"/>
    </row>
    <row r="390" spans="1:18" x14ac:dyDescent="0.25">
      <c r="A390" s="15"/>
      <c r="R390" s="15"/>
    </row>
    <row r="391" spans="1:18" x14ac:dyDescent="0.25">
      <c r="A391" s="15"/>
      <c r="R391" s="15"/>
    </row>
    <row r="392" spans="1:18" x14ac:dyDescent="0.25">
      <c r="A392" s="15"/>
      <c r="R392" s="15"/>
    </row>
    <row r="393" spans="1:18" x14ac:dyDescent="0.25">
      <c r="A393" s="15"/>
      <c r="R393" s="15"/>
    </row>
    <row r="394" spans="1:18" x14ac:dyDescent="0.25">
      <c r="A394" s="15"/>
      <c r="R394" s="15"/>
    </row>
    <row r="395" spans="1:18" x14ac:dyDescent="0.25">
      <c r="A395" s="15"/>
      <c r="R395" s="15"/>
    </row>
    <row r="396" spans="1:18" x14ac:dyDescent="0.25">
      <c r="A396" s="15"/>
      <c r="R396" s="15"/>
    </row>
    <row r="397" spans="1:18" x14ac:dyDescent="0.25">
      <c r="A397" s="15"/>
      <c r="R397" s="15"/>
    </row>
    <row r="398" spans="1:18" x14ac:dyDescent="0.25">
      <c r="A398" s="15"/>
      <c r="R398" s="15"/>
    </row>
    <row r="399" spans="1:18" x14ac:dyDescent="0.25">
      <c r="A399" s="15"/>
      <c r="R399" s="15"/>
    </row>
    <row r="400" spans="1:18" x14ac:dyDescent="0.25">
      <c r="A400" s="15"/>
      <c r="R400" s="15"/>
    </row>
    <row r="401" spans="1:18" x14ac:dyDescent="0.25">
      <c r="A401" s="15"/>
      <c r="R401" s="15"/>
    </row>
    <row r="402" spans="1:18" x14ac:dyDescent="0.25">
      <c r="A402" s="15"/>
      <c r="R402" s="15"/>
    </row>
    <row r="403" spans="1:18" x14ac:dyDescent="0.25">
      <c r="A403" s="15"/>
      <c r="R403" s="15"/>
    </row>
    <row r="404" spans="1:18" x14ac:dyDescent="0.25">
      <c r="A404" s="15"/>
      <c r="R404" s="15"/>
    </row>
    <row r="405" spans="1:18" x14ac:dyDescent="0.25">
      <c r="A405" s="15"/>
      <c r="R405" s="15"/>
    </row>
    <row r="406" spans="1:18" x14ac:dyDescent="0.25">
      <c r="A406" s="15"/>
      <c r="R406" s="15"/>
    </row>
    <row r="407" spans="1:18" x14ac:dyDescent="0.25">
      <c r="A407" s="15"/>
      <c r="R407" s="15"/>
    </row>
    <row r="408" spans="1:18" x14ac:dyDescent="0.25">
      <c r="A408" s="15"/>
      <c r="R408" s="15"/>
    </row>
    <row r="409" spans="1:18" x14ac:dyDescent="0.25">
      <c r="A409" s="15"/>
      <c r="R409" s="15"/>
    </row>
    <row r="410" spans="1:18" x14ac:dyDescent="0.25">
      <c r="A410" s="15"/>
      <c r="R410" s="15"/>
    </row>
    <row r="411" spans="1:18" x14ac:dyDescent="0.25">
      <c r="A411" s="15"/>
      <c r="R411" s="15"/>
    </row>
    <row r="412" spans="1:18" x14ac:dyDescent="0.25">
      <c r="A412" s="15"/>
      <c r="R412" s="15"/>
    </row>
    <row r="413" spans="1:18" x14ac:dyDescent="0.25">
      <c r="A413" s="15"/>
      <c r="R413" s="15"/>
    </row>
    <row r="414" spans="1:18" x14ac:dyDescent="0.25">
      <c r="A414" s="15"/>
      <c r="R414" s="15"/>
    </row>
    <row r="415" spans="1:18" x14ac:dyDescent="0.25">
      <c r="A415" s="15"/>
      <c r="R415" s="15"/>
    </row>
    <row r="416" spans="1:18" x14ac:dyDescent="0.25">
      <c r="A416" s="15"/>
      <c r="R416" s="15"/>
    </row>
    <row r="417" spans="1:18" x14ac:dyDescent="0.25">
      <c r="A417" s="15"/>
      <c r="R417" s="15"/>
    </row>
    <row r="418" spans="1:18" x14ac:dyDescent="0.25">
      <c r="A418" s="15"/>
      <c r="R418" s="15"/>
    </row>
    <row r="419" spans="1:18" x14ac:dyDescent="0.25">
      <c r="A419" s="15"/>
      <c r="R419" s="15"/>
    </row>
    <row r="420" spans="1:18" x14ac:dyDescent="0.25">
      <c r="A420" s="15"/>
      <c r="R420" s="15"/>
    </row>
    <row r="421" spans="1:18" x14ac:dyDescent="0.25">
      <c r="A421" s="15"/>
      <c r="R421" s="15"/>
    </row>
    <row r="422" spans="1:18" x14ac:dyDescent="0.25">
      <c r="A422" s="15"/>
      <c r="R422" s="15"/>
    </row>
    <row r="423" spans="1:18" x14ac:dyDescent="0.25">
      <c r="A423" s="15"/>
      <c r="R423" s="15"/>
    </row>
    <row r="424" spans="1:18" x14ac:dyDescent="0.25">
      <c r="A424" s="15"/>
      <c r="R424" s="15"/>
    </row>
    <row r="425" spans="1:18" x14ac:dyDescent="0.25">
      <c r="A425" s="15"/>
      <c r="R425" s="15"/>
    </row>
    <row r="426" spans="1:18" x14ac:dyDescent="0.25">
      <c r="A426" s="15"/>
      <c r="R426" s="15"/>
    </row>
    <row r="427" spans="1:18" x14ac:dyDescent="0.25">
      <c r="A427" s="15"/>
      <c r="R427" s="15"/>
    </row>
    <row r="428" spans="1:18" x14ac:dyDescent="0.25">
      <c r="A428" s="15"/>
      <c r="R428" s="15"/>
    </row>
    <row r="429" spans="1:18" x14ac:dyDescent="0.25">
      <c r="A429" s="15"/>
      <c r="R429" s="15"/>
    </row>
    <row r="430" spans="1:18" x14ac:dyDescent="0.25">
      <c r="A430" s="15"/>
      <c r="R430" s="15"/>
    </row>
    <row r="431" spans="1:18" x14ac:dyDescent="0.25">
      <c r="A431" s="15"/>
      <c r="R431" s="15"/>
    </row>
    <row r="432" spans="1:18" x14ac:dyDescent="0.25">
      <c r="A432" s="15"/>
      <c r="R432" s="15"/>
    </row>
    <row r="433" spans="1:18" x14ac:dyDescent="0.25">
      <c r="A433" s="15"/>
      <c r="R433" s="15"/>
    </row>
    <row r="434" spans="1:18" x14ac:dyDescent="0.25">
      <c r="A434" s="15"/>
      <c r="R434" s="15"/>
    </row>
    <row r="435" spans="1:18" x14ac:dyDescent="0.25">
      <c r="A435" s="15"/>
      <c r="R435" s="15"/>
    </row>
    <row r="436" spans="1:18" x14ac:dyDescent="0.25">
      <c r="A436" s="15"/>
      <c r="R436" s="15"/>
    </row>
    <row r="437" spans="1:18" x14ac:dyDescent="0.25">
      <c r="A437" s="15"/>
      <c r="R437" s="15"/>
    </row>
    <row r="438" spans="1:18" x14ac:dyDescent="0.25">
      <c r="A438" s="15"/>
      <c r="R438" s="15"/>
    </row>
    <row r="439" spans="1:18" x14ac:dyDescent="0.25">
      <c r="A439" s="15"/>
      <c r="R439" s="15"/>
    </row>
    <row r="440" spans="1:18" x14ac:dyDescent="0.25">
      <c r="A440" s="15"/>
      <c r="R440" s="15"/>
    </row>
    <row r="441" spans="1:18" x14ac:dyDescent="0.25">
      <c r="A441" s="15"/>
      <c r="R441" s="15"/>
    </row>
    <row r="442" spans="1:18" x14ac:dyDescent="0.25">
      <c r="A442" s="15"/>
      <c r="R442" s="15"/>
    </row>
    <row r="443" spans="1:18" x14ac:dyDescent="0.25">
      <c r="A443" s="15"/>
      <c r="R443" s="15"/>
    </row>
    <row r="444" spans="1:18" x14ac:dyDescent="0.25">
      <c r="A444" s="15"/>
      <c r="R444" s="15"/>
    </row>
    <row r="445" spans="1:18" x14ac:dyDescent="0.25">
      <c r="A445" s="15"/>
      <c r="R445" s="15"/>
    </row>
    <row r="446" spans="1:18" x14ac:dyDescent="0.25">
      <c r="A446" s="15"/>
      <c r="R446" s="15"/>
    </row>
    <row r="447" spans="1:18" x14ac:dyDescent="0.25">
      <c r="A447" s="15"/>
      <c r="R447" s="15"/>
    </row>
    <row r="448" spans="1:18" x14ac:dyDescent="0.25">
      <c r="A448" s="15"/>
      <c r="R448" s="15"/>
    </row>
    <row r="449" spans="1:18" x14ac:dyDescent="0.25">
      <c r="A449" s="15"/>
      <c r="R449" s="15"/>
    </row>
    <row r="450" spans="1:18" x14ac:dyDescent="0.25">
      <c r="A450" s="15"/>
      <c r="R450" s="15"/>
    </row>
    <row r="451" spans="1:18" x14ac:dyDescent="0.25">
      <c r="A451" s="15"/>
      <c r="R451" s="15"/>
    </row>
    <row r="452" spans="1:18" x14ac:dyDescent="0.25">
      <c r="A452" s="15"/>
      <c r="R452" s="15"/>
    </row>
    <row r="453" spans="1:18" x14ac:dyDescent="0.25">
      <c r="A453" s="15"/>
      <c r="R453" s="15"/>
    </row>
    <row r="454" spans="1:18" x14ac:dyDescent="0.25">
      <c r="A454" s="15"/>
      <c r="R454" s="15"/>
    </row>
    <row r="455" spans="1:18" x14ac:dyDescent="0.25">
      <c r="A455" s="15"/>
      <c r="R455" s="15"/>
    </row>
    <row r="456" spans="1:18" x14ac:dyDescent="0.25">
      <c r="A456" s="15"/>
      <c r="R456" s="15"/>
    </row>
    <row r="457" spans="1:18" x14ac:dyDescent="0.25">
      <c r="A457" s="15"/>
      <c r="R457" s="15"/>
    </row>
    <row r="458" spans="1:18" x14ac:dyDescent="0.25">
      <c r="A458" s="15"/>
      <c r="R458" s="15"/>
    </row>
    <row r="459" spans="1:18" x14ac:dyDescent="0.25">
      <c r="A459" s="15"/>
      <c r="R459" s="15"/>
    </row>
    <row r="460" spans="1:18" x14ac:dyDescent="0.25">
      <c r="A460" s="15"/>
      <c r="R460" s="15"/>
    </row>
    <row r="461" spans="1:18" x14ac:dyDescent="0.25">
      <c r="A461" s="15"/>
      <c r="R461" s="15"/>
    </row>
    <row r="462" spans="1:18" x14ac:dyDescent="0.25">
      <c r="A462" s="15"/>
      <c r="R462" s="15"/>
    </row>
    <row r="463" spans="1:18" x14ac:dyDescent="0.25">
      <c r="A463" s="15"/>
      <c r="R463" s="15"/>
    </row>
    <row r="464" spans="1:18" x14ac:dyDescent="0.25">
      <c r="A464" s="15"/>
      <c r="R464" s="15"/>
    </row>
    <row r="465" spans="1:18" x14ac:dyDescent="0.25">
      <c r="A465" s="15"/>
      <c r="R465" s="15"/>
    </row>
    <row r="466" spans="1:18" x14ac:dyDescent="0.25">
      <c r="A466" s="15"/>
      <c r="R466" s="15"/>
    </row>
    <row r="467" spans="1:18" x14ac:dyDescent="0.25">
      <c r="A467" s="15"/>
      <c r="R467" s="15"/>
    </row>
    <row r="468" spans="1:18" x14ac:dyDescent="0.25">
      <c r="A468" s="15"/>
      <c r="R468" s="15"/>
    </row>
    <row r="469" spans="1:18" x14ac:dyDescent="0.25">
      <c r="A469" s="15"/>
      <c r="R469" s="15"/>
    </row>
    <row r="470" spans="1:18" x14ac:dyDescent="0.25">
      <c r="A470" s="15"/>
      <c r="R470" s="15"/>
    </row>
    <row r="471" spans="1:18" x14ac:dyDescent="0.25">
      <c r="A471" s="15"/>
      <c r="R471" s="15"/>
    </row>
    <row r="472" spans="1:18" x14ac:dyDescent="0.25">
      <c r="A472" s="15"/>
      <c r="R472" s="15"/>
    </row>
    <row r="473" spans="1:18" x14ac:dyDescent="0.25">
      <c r="A473" s="15"/>
      <c r="R473" s="15"/>
    </row>
    <row r="474" spans="1:18" x14ac:dyDescent="0.25">
      <c r="A474" s="15"/>
      <c r="R474" s="15"/>
    </row>
    <row r="475" spans="1:18" x14ac:dyDescent="0.25">
      <c r="A475" s="15"/>
      <c r="R475" s="15"/>
    </row>
    <row r="476" spans="1:18" x14ac:dyDescent="0.25">
      <c r="A476" s="15"/>
      <c r="R476" s="15"/>
    </row>
    <row r="477" spans="1:18" x14ac:dyDescent="0.25">
      <c r="A477" s="15"/>
      <c r="R477" s="15"/>
    </row>
    <row r="478" spans="1:18" x14ac:dyDescent="0.25">
      <c r="A478" s="15"/>
      <c r="R478" s="15"/>
    </row>
    <row r="479" spans="1:18" x14ac:dyDescent="0.25">
      <c r="A479" s="15"/>
      <c r="R479" s="15"/>
    </row>
    <row r="480" spans="1:18" x14ac:dyDescent="0.25">
      <c r="A480" s="15"/>
      <c r="R480" s="15"/>
    </row>
    <row r="481" spans="1:18" x14ac:dyDescent="0.25">
      <c r="A481" s="15"/>
      <c r="R481" s="15"/>
    </row>
    <row r="482" spans="1:18" x14ac:dyDescent="0.25">
      <c r="A482" s="15"/>
      <c r="R482" s="15"/>
    </row>
    <row r="483" spans="1:18" x14ac:dyDescent="0.25">
      <c r="A483" s="15"/>
      <c r="R483" s="15"/>
    </row>
    <row r="484" spans="1:18" x14ac:dyDescent="0.25">
      <c r="A484" s="15"/>
      <c r="R484" s="15"/>
    </row>
    <row r="485" spans="1:18" x14ac:dyDescent="0.25">
      <c r="A485" s="15"/>
      <c r="R485" s="15"/>
    </row>
    <row r="486" spans="1:18" x14ac:dyDescent="0.25">
      <c r="A486" s="15"/>
      <c r="R486" s="15"/>
    </row>
    <row r="487" spans="1:18" x14ac:dyDescent="0.25">
      <c r="A487" s="15"/>
      <c r="R487" s="15"/>
    </row>
    <row r="488" spans="1:18" x14ac:dyDescent="0.25">
      <c r="A488" s="15"/>
      <c r="R488" s="15"/>
    </row>
    <row r="489" spans="1:18" x14ac:dyDescent="0.25">
      <c r="A489" s="15"/>
      <c r="R489" s="15"/>
    </row>
    <row r="490" spans="1:18" x14ac:dyDescent="0.25">
      <c r="A490" s="15"/>
      <c r="R490" s="15"/>
    </row>
    <row r="491" spans="1:18" x14ac:dyDescent="0.25">
      <c r="A491" s="15"/>
      <c r="R491" s="15"/>
    </row>
    <row r="492" spans="1:18" x14ac:dyDescent="0.25">
      <c r="A492" s="15"/>
      <c r="R492" s="15"/>
    </row>
    <row r="493" spans="1:18" x14ac:dyDescent="0.25">
      <c r="A493" s="15"/>
      <c r="R493" s="15"/>
    </row>
    <row r="494" spans="1:18" x14ac:dyDescent="0.25">
      <c r="A494" s="15"/>
      <c r="R494" s="15"/>
    </row>
    <row r="495" spans="1:18" x14ac:dyDescent="0.25">
      <c r="A495" s="15"/>
      <c r="R495" s="15"/>
    </row>
    <row r="496" spans="1:18" x14ac:dyDescent="0.25">
      <c r="A496" s="15"/>
      <c r="R496" s="15"/>
    </row>
    <row r="497" spans="1:18" x14ac:dyDescent="0.25">
      <c r="A497" s="15"/>
      <c r="R497" s="15"/>
    </row>
    <row r="498" spans="1:18" x14ac:dyDescent="0.25">
      <c r="A498" s="15"/>
      <c r="R498" s="15"/>
    </row>
    <row r="499" spans="1:18" x14ac:dyDescent="0.25">
      <c r="A499" s="15"/>
      <c r="R499" s="15"/>
    </row>
    <row r="500" spans="1:18" x14ac:dyDescent="0.25">
      <c r="A500" s="15"/>
      <c r="R500" s="15"/>
    </row>
    <row r="501" spans="1:18" x14ac:dyDescent="0.25">
      <c r="A501" s="15"/>
      <c r="R501" s="15"/>
    </row>
    <row r="502" spans="1:18" x14ac:dyDescent="0.25">
      <c r="A502" s="15"/>
      <c r="R502" s="15"/>
    </row>
    <row r="503" spans="1:18" x14ac:dyDescent="0.25">
      <c r="A503" s="15"/>
      <c r="R503" s="15"/>
    </row>
    <row r="504" spans="1:18" x14ac:dyDescent="0.25">
      <c r="A504" s="15"/>
      <c r="R504" s="15"/>
    </row>
    <row r="505" spans="1:18" x14ac:dyDescent="0.25">
      <c r="A505" s="15"/>
      <c r="R505" s="15"/>
    </row>
    <row r="506" spans="1:18" x14ac:dyDescent="0.25">
      <c r="A506" s="15"/>
      <c r="R506" s="15"/>
    </row>
    <row r="507" spans="1:18" x14ac:dyDescent="0.25">
      <c r="A507" s="15"/>
      <c r="R507" s="15"/>
    </row>
    <row r="508" spans="1:18" x14ac:dyDescent="0.25">
      <c r="A508" s="15"/>
      <c r="R508" s="15"/>
    </row>
    <row r="509" spans="1:18" x14ac:dyDescent="0.25">
      <c r="A509" s="15"/>
      <c r="R509" s="15"/>
    </row>
    <row r="510" spans="1:18" x14ac:dyDescent="0.25">
      <c r="A510" s="15"/>
      <c r="R510" s="15"/>
    </row>
    <row r="511" spans="1:18" x14ac:dyDescent="0.25">
      <c r="A511" s="15"/>
      <c r="R511" s="15"/>
    </row>
    <row r="512" spans="1:18" x14ac:dyDescent="0.25">
      <c r="A512" s="15"/>
      <c r="R512" s="15"/>
    </row>
    <row r="513" spans="1:18" x14ac:dyDescent="0.25">
      <c r="A513" s="15"/>
      <c r="R513" s="15"/>
    </row>
    <row r="514" spans="1:18" x14ac:dyDescent="0.25">
      <c r="A514" s="15"/>
      <c r="R514" s="15"/>
    </row>
    <row r="515" spans="1:18" x14ac:dyDescent="0.25">
      <c r="A515" s="15"/>
      <c r="R515" s="15"/>
    </row>
    <row r="516" spans="1:18" x14ac:dyDescent="0.25">
      <c r="A516" s="15"/>
      <c r="R516" s="15"/>
    </row>
    <row r="517" spans="1:18" x14ac:dyDescent="0.25">
      <c r="A517" s="15"/>
      <c r="R517" s="15"/>
    </row>
    <row r="518" spans="1:18" x14ac:dyDescent="0.25">
      <c r="A518" s="15"/>
      <c r="R518" s="15"/>
    </row>
    <row r="519" spans="1:18" x14ac:dyDescent="0.25">
      <c r="A519" s="15"/>
      <c r="R519" s="15"/>
    </row>
    <row r="520" spans="1:18" x14ac:dyDescent="0.25">
      <c r="A520" s="15"/>
      <c r="R520" s="15"/>
    </row>
    <row r="521" spans="1:18" x14ac:dyDescent="0.25">
      <c r="A521" s="15"/>
      <c r="R521" s="15"/>
    </row>
    <row r="522" spans="1:18" x14ac:dyDescent="0.25">
      <c r="A522" s="15"/>
      <c r="R522" s="15"/>
    </row>
    <row r="523" spans="1:18" x14ac:dyDescent="0.25">
      <c r="A523" s="15"/>
      <c r="R523" s="15"/>
    </row>
    <row r="524" spans="1:18" x14ac:dyDescent="0.25">
      <c r="A524" s="15"/>
      <c r="R524" s="15"/>
    </row>
    <row r="525" spans="1:18" x14ac:dyDescent="0.25">
      <c r="A525" s="15"/>
      <c r="R525" s="15"/>
    </row>
    <row r="526" spans="1:18" x14ac:dyDescent="0.25">
      <c r="A526" s="15"/>
      <c r="R526" s="15"/>
    </row>
    <row r="527" spans="1:18" x14ac:dyDescent="0.25">
      <c r="A527" s="15"/>
      <c r="R527" s="15"/>
    </row>
    <row r="528" spans="1:18" x14ac:dyDescent="0.25">
      <c r="A528" s="15"/>
      <c r="R528" s="15"/>
    </row>
    <row r="529" spans="1:18" x14ac:dyDescent="0.25">
      <c r="A529" s="15"/>
      <c r="R529" s="15"/>
    </row>
    <row r="530" spans="1:18" x14ac:dyDescent="0.25">
      <c r="A530" s="15"/>
      <c r="R530" s="15"/>
    </row>
    <row r="531" spans="1:18" x14ac:dyDescent="0.25">
      <c r="A531" s="15"/>
      <c r="R531" s="15"/>
    </row>
    <row r="532" spans="1:18" x14ac:dyDescent="0.25">
      <c r="A532" s="15"/>
      <c r="R532" s="15"/>
    </row>
    <row r="533" spans="1:18" x14ac:dyDescent="0.25">
      <c r="A533" s="15"/>
      <c r="R533" s="15"/>
    </row>
    <row r="534" spans="1:18" x14ac:dyDescent="0.25">
      <c r="A534" s="15"/>
      <c r="R534" s="15"/>
    </row>
    <row r="535" spans="1:18" x14ac:dyDescent="0.25">
      <c r="A535" s="15"/>
      <c r="R535" s="15"/>
    </row>
    <row r="536" spans="1:18" x14ac:dyDescent="0.25">
      <c r="A536" s="15"/>
      <c r="R536" s="15"/>
    </row>
    <row r="537" spans="1:18" x14ac:dyDescent="0.25">
      <c r="A537" s="15"/>
      <c r="R537" s="15"/>
    </row>
    <row r="538" spans="1:18" x14ac:dyDescent="0.25">
      <c r="A538" s="15"/>
      <c r="R538" s="15"/>
    </row>
    <row r="539" spans="1:18" x14ac:dyDescent="0.25">
      <c r="A539" s="15"/>
      <c r="R539" s="15"/>
    </row>
    <row r="540" spans="1:18" x14ac:dyDescent="0.25">
      <c r="A540" s="15"/>
      <c r="R540" s="15"/>
    </row>
    <row r="541" spans="1:18" x14ac:dyDescent="0.25">
      <c r="A541" s="15"/>
      <c r="R541" s="15"/>
    </row>
    <row r="542" spans="1:18" x14ac:dyDescent="0.25">
      <c r="A542" s="15"/>
      <c r="R542" s="15"/>
    </row>
    <row r="543" spans="1:18" x14ac:dyDescent="0.25">
      <c r="A543" s="15"/>
      <c r="R543" s="15"/>
    </row>
    <row r="544" spans="1:18" x14ac:dyDescent="0.25">
      <c r="A544" s="15"/>
      <c r="R544" s="15"/>
    </row>
    <row r="545" spans="1:18" x14ac:dyDescent="0.25">
      <c r="A545" s="15"/>
      <c r="R545" s="15"/>
    </row>
    <row r="546" spans="1:18" x14ac:dyDescent="0.25">
      <c r="A546" s="15"/>
      <c r="R546" s="15"/>
    </row>
    <row r="547" spans="1:18" x14ac:dyDescent="0.25">
      <c r="A547" s="15"/>
      <c r="R547" s="15"/>
    </row>
    <row r="548" spans="1:18" x14ac:dyDescent="0.25">
      <c r="A548" s="15"/>
      <c r="R548" s="15"/>
    </row>
    <row r="549" spans="1:18" x14ac:dyDescent="0.25">
      <c r="A549" s="15"/>
      <c r="R549" s="15"/>
    </row>
    <row r="550" spans="1:18" x14ac:dyDescent="0.25">
      <c r="A550" s="15"/>
      <c r="R550" s="15"/>
    </row>
    <row r="551" spans="1:18" x14ac:dyDescent="0.25">
      <c r="A551" s="15"/>
      <c r="R551" s="15"/>
    </row>
    <row r="552" spans="1:18" x14ac:dyDescent="0.25">
      <c r="A552" s="15"/>
      <c r="R552" s="15"/>
    </row>
    <row r="553" spans="1:18" x14ac:dyDescent="0.25">
      <c r="A553" s="15"/>
      <c r="R553" s="15"/>
    </row>
    <row r="554" spans="1:18" x14ac:dyDescent="0.25">
      <c r="A554" s="15"/>
      <c r="R554" s="15"/>
    </row>
    <row r="555" spans="1:18" x14ac:dyDescent="0.25">
      <c r="A555" s="15"/>
      <c r="R555" s="15"/>
    </row>
    <row r="556" spans="1:18" x14ac:dyDescent="0.25">
      <c r="A556" s="15"/>
      <c r="R556" s="15"/>
    </row>
    <row r="557" spans="1:18" x14ac:dyDescent="0.25">
      <c r="A557" s="15"/>
      <c r="R557" s="15"/>
    </row>
    <row r="558" spans="1:18" x14ac:dyDescent="0.25">
      <c r="A558" s="15"/>
      <c r="R558" s="15"/>
    </row>
    <row r="559" spans="1:18" x14ac:dyDescent="0.25">
      <c r="A559" s="15"/>
      <c r="R559" s="15"/>
    </row>
    <row r="560" spans="1:18" x14ac:dyDescent="0.25">
      <c r="A560" s="15"/>
      <c r="R560" s="15"/>
    </row>
    <row r="561" spans="1:18" x14ac:dyDescent="0.25">
      <c r="A561" s="15"/>
      <c r="R561" s="15"/>
    </row>
    <row r="562" spans="1:18" x14ac:dyDescent="0.25">
      <c r="A562" s="15"/>
      <c r="R562" s="15"/>
    </row>
    <row r="563" spans="1:18" x14ac:dyDescent="0.25">
      <c r="A563" s="15"/>
      <c r="R563" s="15"/>
    </row>
    <row r="564" spans="1:18" x14ac:dyDescent="0.25">
      <c r="A564" s="15"/>
      <c r="R564" s="15"/>
    </row>
    <row r="565" spans="1:18" x14ac:dyDescent="0.25">
      <c r="A565" s="15"/>
      <c r="R565" s="15"/>
    </row>
    <row r="566" spans="1:18" x14ac:dyDescent="0.25">
      <c r="A566" s="15"/>
      <c r="R566" s="15"/>
    </row>
    <row r="567" spans="1:18" x14ac:dyDescent="0.25">
      <c r="A567" s="15"/>
      <c r="R567" s="15"/>
    </row>
    <row r="568" spans="1:18" x14ac:dyDescent="0.25">
      <c r="A568" s="15"/>
      <c r="R568" s="15"/>
    </row>
    <row r="569" spans="1:18" x14ac:dyDescent="0.25">
      <c r="A569" s="15"/>
      <c r="R569" s="15"/>
    </row>
    <row r="570" spans="1:18" x14ac:dyDescent="0.25">
      <c r="A570" s="15"/>
      <c r="R570" s="15"/>
    </row>
    <row r="571" spans="1:18" x14ac:dyDescent="0.25">
      <c r="A571" s="15"/>
      <c r="R571" s="15"/>
    </row>
    <row r="572" spans="1:18" x14ac:dyDescent="0.25">
      <c r="A572" s="15"/>
      <c r="R572" s="15"/>
    </row>
    <row r="573" spans="1:18" x14ac:dyDescent="0.25">
      <c r="A573" s="15"/>
      <c r="R573" s="15"/>
    </row>
    <row r="574" spans="1:18" x14ac:dyDescent="0.25">
      <c r="A574" s="15"/>
      <c r="R574" s="15"/>
    </row>
    <row r="575" spans="1:18" x14ac:dyDescent="0.25">
      <c r="A575" s="15"/>
      <c r="R575" s="15"/>
    </row>
    <row r="576" spans="1:18" x14ac:dyDescent="0.25">
      <c r="A576" s="15"/>
      <c r="R576" s="15"/>
    </row>
    <row r="577" spans="1:18" x14ac:dyDescent="0.25">
      <c r="A577" s="15"/>
      <c r="R577" s="15"/>
    </row>
    <row r="578" spans="1:18" x14ac:dyDescent="0.25">
      <c r="A578" s="15"/>
      <c r="R578" s="15"/>
    </row>
    <row r="579" spans="1:18" x14ac:dyDescent="0.25">
      <c r="A579" s="15"/>
      <c r="R579" s="15"/>
    </row>
    <row r="580" spans="1:18" x14ac:dyDescent="0.25">
      <c r="A580" s="15"/>
      <c r="R580" s="15"/>
    </row>
    <row r="581" spans="1:18" x14ac:dyDescent="0.25">
      <c r="A581" s="15"/>
      <c r="R581" s="15"/>
    </row>
    <row r="582" spans="1:18" x14ac:dyDescent="0.25">
      <c r="A582" s="15"/>
      <c r="R582" s="15"/>
    </row>
    <row r="583" spans="1:18" x14ac:dyDescent="0.25">
      <c r="A583" s="15"/>
      <c r="R583" s="15"/>
    </row>
    <row r="584" spans="1:18" x14ac:dyDescent="0.25">
      <c r="A584" s="15"/>
      <c r="R584" s="15"/>
    </row>
    <row r="585" spans="1:18" x14ac:dyDescent="0.25">
      <c r="A585" s="15"/>
      <c r="R585" s="15"/>
    </row>
    <row r="586" spans="1:18" x14ac:dyDescent="0.25">
      <c r="A586" s="15"/>
      <c r="R586" s="15"/>
    </row>
    <row r="587" spans="1:18" x14ac:dyDescent="0.25">
      <c r="A587" s="15"/>
      <c r="R587" s="15"/>
    </row>
    <row r="588" spans="1:18" x14ac:dyDescent="0.25">
      <c r="A588" s="15"/>
      <c r="R588" s="15"/>
    </row>
    <row r="589" spans="1:18" x14ac:dyDescent="0.25">
      <c r="A589" s="15"/>
      <c r="R589" s="15"/>
    </row>
    <row r="590" spans="1:18" x14ac:dyDescent="0.25">
      <c r="A590" s="15"/>
      <c r="R590" s="15"/>
    </row>
    <row r="591" spans="1:18" x14ac:dyDescent="0.25">
      <c r="A591" s="15"/>
      <c r="R591" s="15"/>
    </row>
    <row r="592" spans="1:18" x14ac:dyDescent="0.25">
      <c r="A592" s="15"/>
      <c r="R592" s="15"/>
    </row>
    <row r="593" spans="1:18" x14ac:dyDescent="0.25">
      <c r="A593" s="15"/>
      <c r="R593" s="15"/>
    </row>
    <row r="594" spans="1:18" x14ac:dyDescent="0.25">
      <c r="A594" s="15"/>
      <c r="R594" s="15"/>
    </row>
    <row r="595" spans="1:18" x14ac:dyDescent="0.25">
      <c r="A595" s="15"/>
      <c r="R595" s="15"/>
    </row>
    <row r="596" spans="1:18" x14ac:dyDescent="0.25">
      <c r="A596" s="15"/>
      <c r="R596" s="15"/>
    </row>
    <row r="597" spans="1:18" x14ac:dyDescent="0.25">
      <c r="A597" s="15"/>
      <c r="R597" s="15"/>
    </row>
    <row r="598" spans="1:18" x14ac:dyDescent="0.25">
      <c r="A598" s="15"/>
      <c r="R598" s="15"/>
    </row>
    <row r="599" spans="1:18" x14ac:dyDescent="0.25">
      <c r="A599" s="15"/>
      <c r="R599" s="15"/>
    </row>
    <row r="600" spans="1:18" x14ac:dyDescent="0.25">
      <c r="A600" s="15"/>
      <c r="R600" s="15"/>
    </row>
    <row r="601" spans="1:18" x14ac:dyDescent="0.25">
      <c r="A601" s="15"/>
      <c r="R601" s="15"/>
    </row>
    <row r="602" spans="1:18" x14ac:dyDescent="0.25">
      <c r="A602" s="15"/>
      <c r="R602" s="15"/>
    </row>
    <row r="603" spans="1:18" x14ac:dyDescent="0.25">
      <c r="A603" s="15"/>
      <c r="R603" s="15"/>
    </row>
    <row r="604" spans="1:18" x14ac:dyDescent="0.25">
      <c r="A604" s="15"/>
      <c r="R604" s="15"/>
    </row>
    <row r="605" spans="1:18" x14ac:dyDescent="0.25">
      <c r="A605" s="15"/>
      <c r="R605" s="15"/>
    </row>
    <row r="606" spans="1:18" x14ac:dyDescent="0.25">
      <c r="A606" s="15"/>
      <c r="R606" s="15"/>
    </row>
    <row r="607" spans="1:18" x14ac:dyDescent="0.25">
      <c r="A607" s="15"/>
      <c r="R607" s="15"/>
    </row>
    <row r="608" spans="1:18" x14ac:dyDescent="0.25">
      <c r="A608" s="15"/>
      <c r="R608" s="15"/>
    </row>
    <row r="609" spans="1:18" x14ac:dyDescent="0.25">
      <c r="A609" s="15"/>
      <c r="R609" s="15"/>
    </row>
    <row r="610" spans="1:18" x14ac:dyDescent="0.25">
      <c r="A610" s="15"/>
      <c r="R610" s="15"/>
    </row>
    <row r="611" spans="1:18" x14ac:dyDescent="0.25">
      <c r="A611" s="15"/>
      <c r="R611" s="15"/>
    </row>
    <row r="612" spans="1:18" x14ac:dyDescent="0.25">
      <c r="A612" s="15"/>
      <c r="R612" s="15"/>
    </row>
    <row r="613" spans="1:18" x14ac:dyDescent="0.25">
      <c r="A613" s="15"/>
      <c r="R613" s="15"/>
    </row>
    <row r="614" spans="1:18" x14ac:dyDescent="0.25">
      <c r="A614" s="15"/>
      <c r="R614" s="15"/>
    </row>
    <row r="615" spans="1:18" x14ac:dyDescent="0.25">
      <c r="A615" s="15"/>
      <c r="R615" s="15"/>
    </row>
    <row r="616" spans="1:18" x14ac:dyDescent="0.25">
      <c r="A616" s="15"/>
      <c r="R616" s="15"/>
    </row>
    <row r="617" spans="1:18" x14ac:dyDescent="0.25">
      <c r="A617" s="15"/>
      <c r="R617" s="15"/>
    </row>
    <row r="618" spans="1:18" x14ac:dyDescent="0.25">
      <c r="A618" s="15"/>
      <c r="R618" s="15"/>
    </row>
    <row r="619" spans="1:18" x14ac:dyDescent="0.25">
      <c r="A619" s="15"/>
      <c r="R619" s="15"/>
    </row>
    <row r="620" spans="1:18" x14ac:dyDescent="0.25">
      <c r="A620" s="15"/>
      <c r="R620" s="15"/>
    </row>
    <row r="621" spans="1:18" x14ac:dyDescent="0.25">
      <c r="A621" s="15"/>
      <c r="R621" s="15"/>
    </row>
    <row r="622" spans="1:18" x14ac:dyDescent="0.25">
      <c r="A622" s="15"/>
      <c r="R622" s="15"/>
    </row>
    <row r="623" spans="1:18" x14ac:dyDescent="0.25">
      <c r="A623" s="15"/>
      <c r="R623" s="15"/>
    </row>
    <row r="624" spans="1:18" x14ac:dyDescent="0.25">
      <c r="A624" s="15"/>
      <c r="R624" s="15"/>
    </row>
    <row r="625" spans="1:18" x14ac:dyDescent="0.25">
      <c r="A625" s="15"/>
      <c r="R625" s="15"/>
    </row>
    <row r="626" spans="1:18" x14ac:dyDescent="0.25">
      <c r="A626" s="15"/>
      <c r="R626" s="15"/>
    </row>
    <row r="627" spans="1:18" x14ac:dyDescent="0.25">
      <c r="A627" s="15"/>
      <c r="R627" s="15"/>
    </row>
    <row r="628" spans="1:18" x14ac:dyDescent="0.25">
      <c r="A628" s="15"/>
      <c r="R628" s="15"/>
    </row>
    <row r="629" spans="1:18" x14ac:dyDescent="0.25">
      <c r="A629" s="15"/>
      <c r="R629" s="15"/>
    </row>
    <row r="630" spans="1:18" x14ac:dyDescent="0.25">
      <c r="A630" s="15"/>
      <c r="R630" s="15"/>
    </row>
    <row r="631" spans="1:18" x14ac:dyDescent="0.25">
      <c r="A631" s="15"/>
      <c r="R631" s="15"/>
    </row>
    <row r="632" spans="1:18" x14ac:dyDescent="0.25">
      <c r="A632" s="15"/>
      <c r="R632" s="15"/>
    </row>
    <row r="633" spans="1:18" x14ac:dyDescent="0.25">
      <c r="A633" s="15"/>
      <c r="R633" s="15"/>
    </row>
    <row r="634" spans="1:18" x14ac:dyDescent="0.25">
      <c r="A634" s="15"/>
      <c r="R634" s="15"/>
    </row>
    <row r="635" spans="1:18" x14ac:dyDescent="0.25">
      <c r="A635" s="15"/>
      <c r="R635" s="15"/>
    </row>
    <row r="636" spans="1:18" x14ac:dyDescent="0.25">
      <c r="A636" s="15"/>
      <c r="R636" s="15"/>
    </row>
    <row r="637" spans="1:18" x14ac:dyDescent="0.25">
      <c r="A637" s="15"/>
      <c r="R637" s="15"/>
    </row>
    <row r="638" spans="1:18" x14ac:dyDescent="0.25">
      <c r="A638" s="15"/>
      <c r="R638" s="15"/>
    </row>
    <row r="639" spans="1:18" x14ac:dyDescent="0.25">
      <c r="A639" s="15"/>
      <c r="R639" s="15"/>
    </row>
    <row r="640" spans="1:18" x14ac:dyDescent="0.25">
      <c r="A640" s="15"/>
      <c r="R640" s="15"/>
    </row>
    <row r="641" spans="1:18" x14ac:dyDescent="0.25">
      <c r="A641" s="15"/>
      <c r="R641" s="15"/>
    </row>
    <row r="642" spans="1:18" x14ac:dyDescent="0.25">
      <c r="A642" s="15"/>
      <c r="R642" s="15"/>
    </row>
    <row r="643" spans="1:18" x14ac:dyDescent="0.25">
      <c r="A643" s="15"/>
      <c r="R643" s="15"/>
    </row>
    <row r="644" spans="1:18" x14ac:dyDescent="0.25">
      <c r="A644" s="15"/>
      <c r="R644" s="15"/>
    </row>
    <row r="645" spans="1:18" x14ac:dyDescent="0.25">
      <c r="A645" s="15"/>
      <c r="R645" s="15"/>
    </row>
    <row r="646" spans="1:18" x14ac:dyDescent="0.25">
      <c r="A646" s="15"/>
      <c r="R646" s="15"/>
    </row>
    <row r="647" spans="1:18" x14ac:dyDescent="0.25">
      <c r="A647" s="15"/>
      <c r="R647" s="15"/>
    </row>
    <row r="648" spans="1:18" x14ac:dyDescent="0.25">
      <c r="A648" s="15"/>
      <c r="R648" s="15"/>
    </row>
    <row r="649" spans="1:18" x14ac:dyDescent="0.25">
      <c r="A649" s="15"/>
      <c r="R649" s="15"/>
    </row>
    <row r="650" spans="1:18" x14ac:dyDescent="0.25">
      <c r="A650" s="15"/>
      <c r="R650" s="15"/>
    </row>
    <row r="651" spans="1:18" x14ac:dyDescent="0.25">
      <c r="A651" s="15"/>
      <c r="R651" s="15"/>
    </row>
    <row r="652" spans="1:18" x14ac:dyDescent="0.25">
      <c r="A652" s="15"/>
      <c r="R652" s="15"/>
    </row>
    <row r="653" spans="1:18" x14ac:dyDescent="0.25">
      <c r="A653" s="15"/>
      <c r="R653" s="15"/>
    </row>
    <row r="654" spans="1:18" x14ac:dyDescent="0.25">
      <c r="A654" s="15"/>
      <c r="R654" s="15"/>
    </row>
    <row r="655" spans="1:18" x14ac:dyDescent="0.25">
      <c r="A655" s="15"/>
      <c r="R655" s="15"/>
    </row>
    <row r="656" spans="1:18" x14ac:dyDescent="0.25">
      <c r="A656" s="15"/>
      <c r="R656" s="15"/>
    </row>
    <row r="657" spans="1:18" x14ac:dyDescent="0.25">
      <c r="A657" s="15"/>
      <c r="R657" s="15"/>
    </row>
    <row r="658" spans="1:18" x14ac:dyDescent="0.25">
      <c r="A658" s="15"/>
      <c r="R658" s="15"/>
    </row>
    <row r="659" spans="1:18" x14ac:dyDescent="0.25">
      <c r="A659" s="15"/>
      <c r="R659" s="15"/>
    </row>
    <row r="660" spans="1:18" x14ac:dyDescent="0.25">
      <c r="A660" s="15"/>
      <c r="R660" s="15"/>
    </row>
    <row r="661" spans="1:18" x14ac:dyDescent="0.25">
      <c r="A661" s="15"/>
      <c r="R661" s="15"/>
    </row>
    <row r="662" spans="1:18" x14ac:dyDescent="0.25">
      <c r="A662" s="15"/>
      <c r="R662" s="15"/>
    </row>
    <row r="663" spans="1:18" x14ac:dyDescent="0.25">
      <c r="A663" s="15"/>
      <c r="R663" s="15"/>
    </row>
    <row r="664" spans="1:18" x14ac:dyDescent="0.25">
      <c r="A664" s="15"/>
      <c r="R664" s="15"/>
    </row>
    <row r="665" spans="1:18" x14ac:dyDescent="0.25">
      <c r="A665" s="15"/>
      <c r="R665" s="15"/>
    </row>
    <row r="666" spans="1:18" x14ac:dyDescent="0.25">
      <c r="A666" s="15"/>
      <c r="R666" s="15"/>
    </row>
    <row r="667" spans="1:18" x14ac:dyDescent="0.25">
      <c r="A667" s="15"/>
      <c r="R667" s="15"/>
    </row>
    <row r="668" spans="1:18" x14ac:dyDescent="0.25">
      <c r="A668" s="15"/>
      <c r="R668" s="15"/>
    </row>
    <row r="669" spans="1:18" x14ac:dyDescent="0.25">
      <c r="A669" s="15"/>
      <c r="R669" s="15"/>
    </row>
    <row r="670" spans="1:18" x14ac:dyDescent="0.25">
      <c r="A670" s="15"/>
      <c r="R670" s="15"/>
    </row>
    <row r="671" spans="1:18" x14ac:dyDescent="0.25">
      <c r="A671" s="15"/>
      <c r="R671" s="15"/>
    </row>
    <row r="672" spans="1:18" x14ac:dyDescent="0.25">
      <c r="A672" s="15"/>
      <c r="R672" s="15"/>
    </row>
    <row r="673" spans="1:18" x14ac:dyDescent="0.25">
      <c r="A673" s="15"/>
      <c r="R673" s="15"/>
    </row>
    <row r="674" spans="1:18" x14ac:dyDescent="0.25">
      <c r="A674" s="15"/>
      <c r="R674" s="15"/>
    </row>
    <row r="675" spans="1:18" x14ac:dyDescent="0.25">
      <c r="A675" s="15"/>
      <c r="R675" s="15"/>
    </row>
    <row r="676" spans="1:18" x14ac:dyDescent="0.25">
      <c r="A676" s="15"/>
      <c r="R676" s="15"/>
    </row>
    <row r="677" spans="1:18" x14ac:dyDescent="0.25">
      <c r="A677" s="15"/>
      <c r="R677" s="15"/>
    </row>
    <row r="678" spans="1:18" x14ac:dyDescent="0.25">
      <c r="A678" s="15"/>
      <c r="R678" s="15"/>
    </row>
    <row r="679" spans="1:18" x14ac:dyDescent="0.25">
      <c r="A679" s="15"/>
      <c r="R679" s="15"/>
    </row>
    <row r="680" spans="1:18" x14ac:dyDescent="0.25">
      <c r="A680" s="15"/>
      <c r="R680" s="15"/>
    </row>
    <row r="681" spans="1:18" x14ac:dyDescent="0.25">
      <c r="A681" s="15"/>
      <c r="R681" s="15"/>
    </row>
    <row r="682" spans="1:18" x14ac:dyDescent="0.25">
      <c r="A682" s="15"/>
      <c r="R682" s="15"/>
    </row>
    <row r="683" spans="1:18" x14ac:dyDescent="0.25">
      <c r="A683" s="15"/>
      <c r="R683" s="15"/>
    </row>
    <row r="684" spans="1:18" x14ac:dyDescent="0.25">
      <c r="A684" s="15"/>
      <c r="R684" s="15"/>
    </row>
    <row r="685" spans="1:18" x14ac:dyDescent="0.25">
      <c r="A685" s="15"/>
      <c r="R685" s="15"/>
    </row>
    <row r="686" spans="1:18" x14ac:dyDescent="0.25">
      <c r="A686" s="15"/>
      <c r="R686" s="15"/>
    </row>
    <row r="687" spans="1:18" x14ac:dyDescent="0.25">
      <c r="A687" s="15"/>
      <c r="R687" s="15"/>
    </row>
    <row r="688" spans="1:18" x14ac:dyDescent="0.25">
      <c r="A688" s="15"/>
      <c r="R688" s="15"/>
    </row>
    <row r="689" spans="1:18" x14ac:dyDescent="0.25">
      <c r="A689" s="15"/>
      <c r="R689" s="15"/>
    </row>
    <row r="690" spans="1:18" x14ac:dyDescent="0.25">
      <c r="A690" s="15"/>
      <c r="R690" s="15"/>
    </row>
    <row r="691" spans="1:18" x14ac:dyDescent="0.25">
      <c r="A691" s="15"/>
      <c r="R691" s="15"/>
    </row>
    <row r="692" spans="1:18" x14ac:dyDescent="0.25">
      <c r="A692" s="15"/>
      <c r="R692" s="15"/>
    </row>
    <row r="693" spans="1:18" x14ac:dyDescent="0.25">
      <c r="A693" s="15"/>
      <c r="R693" s="15"/>
    </row>
    <row r="694" spans="1:18" x14ac:dyDescent="0.25">
      <c r="A694" s="15"/>
      <c r="R694" s="15"/>
    </row>
    <row r="695" spans="1:18" x14ac:dyDescent="0.25">
      <c r="A695" s="15"/>
      <c r="R695" s="15"/>
    </row>
    <row r="696" spans="1:18" x14ac:dyDescent="0.25">
      <c r="A696" s="15"/>
      <c r="R696" s="15"/>
    </row>
    <row r="697" spans="1:18" x14ac:dyDescent="0.25">
      <c r="A697" s="15"/>
      <c r="R697" s="15"/>
    </row>
    <row r="698" spans="1:18" x14ac:dyDescent="0.25">
      <c r="A698" s="15"/>
      <c r="R698" s="15"/>
    </row>
    <row r="699" spans="1:18" x14ac:dyDescent="0.25">
      <c r="A699" s="15"/>
      <c r="R699" s="15"/>
    </row>
    <row r="700" spans="1:18" x14ac:dyDescent="0.25">
      <c r="A700" s="15"/>
      <c r="R700" s="15"/>
    </row>
    <row r="701" spans="1:18" x14ac:dyDescent="0.25">
      <c r="A701" s="15"/>
      <c r="R701" s="15"/>
    </row>
    <row r="702" spans="1:18" x14ac:dyDescent="0.25">
      <c r="A702" s="15"/>
      <c r="R702" s="15"/>
    </row>
    <row r="703" spans="1:18" x14ac:dyDescent="0.25">
      <c r="A703" s="15"/>
      <c r="R703" s="15"/>
    </row>
    <row r="704" spans="1:18" x14ac:dyDescent="0.25">
      <c r="A704" s="15"/>
      <c r="R704" s="15"/>
    </row>
    <row r="705" spans="1:18" x14ac:dyDescent="0.25">
      <c r="A705" s="15"/>
      <c r="R705" s="15"/>
    </row>
    <row r="706" spans="1:18" x14ac:dyDescent="0.25">
      <c r="A706" s="15"/>
      <c r="R706" s="15"/>
    </row>
    <row r="707" spans="1:18" x14ac:dyDescent="0.25">
      <c r="A707" s="15"/>
      <c r="R707" s="15"/>
    </row>
    <row r="708" spans="1:18" x14ac:dyDescent="0.25">
      <c r="A708" s="15"/>
      <c r="R708" s="15"/>
    </row>
    <row r="709" spans="1:18" x14ac:dyDescent="0.25">
      <c r="A709" s="15"/>
      <c r="R709" s="15"/>
    </row>
    <row r="710" spans="1:18" x14ac:dyDescent="0.25">
      <c r="A710" s="15"/>
      <c r="R710" s="15"/>
    </row>
    <row r="711" spans="1:18" x14ac:dyDescent="0.25">
      <c r="A711" s="15"/>
      <c r="R711" s="15"/>
    </row>
    <row r="712" spans="1:18" x14ac:dyDescent="0.25">
      <c r="A712" s="15"/>
      <c r="R712" s="15"/>
    </row>
    <row r="713" spans="1:18" x14ac:dyDescent="0.25">
      <c r="A713" s="15"/>
      <c r="R713" s="15"/>
    </row>
    <row r="714" spans="1:18" x14ac:dyDescent="0.25">
      <c r="A714" s="15"/>
      <c r="R714" s="15"/>
    </row>
    <row r="715" spans="1:18" x14ac:dyDescent="0.25">
      <c r="A715" s="15"/>
      <c r="R715" s="15"/>
    </row>
    <row r="716" spans="1:18" x14ac:dyDescent="0.25">
      <c r="A716" s="15"/>
      <c r="R716" s="15"/>
    </row>
    <row r="717" spans="1:18" x14ac:dyDescent="0.25">
      <c r="A717" s="15"/>
      <c r="R717" s="15"/>
    </row>
    <row r="718" spans="1:18" x14ac:dyDescent="0.25">
      <c r="A718" s="15"/>
      <c r="R718" s="15"/>
    </row>
    <row r="719" spans="1:18" x14ac:dyDescent="0.25">
      <c r="A719" s="15"/>
      <c r="R719" s="15"/>
    </row>
    <row r="720" spans="1:18" x14ac:dyDescent="0.25">
      <c r="A720" s="15"/>
      <c r="R720" s="15"/>
    </row>
    <row r="721" spans="1:18" x14ac:dyDescent="0.25">
      <c r="A721" s="15"/>
      <c r="R721" s="15"/>
    </row>
    <row r="722" spans="1:18" x14ac:dyDescent="0.25">
      <c r="A722" s="15"/>
      <c r="R722" s="15"/>
    </row>
    <row r="723" spans="1:18" x14ac:dyDescent="0.25">
      <c r="A723" s="15"/>
      <c r="R723" s="15"/>
    </row>
    <row r="724" spans="1:18" x14ac:dyDescent="0.25">
      <c r="A724" s="15"/>
      <c r="R724" s="15"/>
    </row>
    <row r="725" spans="1:18" x14ac:dyDescent="0.25">
      <c r="A725" s="15"/>
      <c r="R725" s="15"/>
    </row>
    <row r="726" spans="1:18" x14ac:dyDescent="0.25">
      <c r="A726" s="15"/>
      <c r="R726" s="15"/>
    </row>
    <row r="727" spans="1:18" x14ac:dyDescent="0.25">
      <c r="A727" s="15"/>
      <c r="R727" s="15"/>
    </row>
    <row r="728" spans="1:18" x14ac:dyDescent="0.25">
      <c r="A728" s="15"/>
      <c r="R728" s="15"/>
    </row>
    <row r="729" spans="1:18" x14ac:dyDescent="0.25">
      <c r="A729" s="15"/>
      <c r="R729" s="15"/>
    </row>
    <row r="730" spans="1:18" x14ac:dyDescent="0.25">
      <c r="A730" s="15"/>
      <c r="R730" s="15"/>
    </row>
    <row r="731" spans="1:18" x14ac:dyDescent="0.25">
      <c r="A731" s="15"/>
      <c r="R731" s="15"/>
    </row>
    <row r="732" spans="1:18" x14ac:dyDescent="0.25">
      <c r="A732" s="15"/>
      <c r="R732" s="15"/>
    </row>
    <row r="733" spans="1:18" x14ac:dyDescent="0.25">
      <c r="A733" s="15"/>
      <c r="R733" s="15"/>
    </row>
    <row r="734" spans="1:18" x14ac:dyDescent="0.25">
      <c r="A734" s="15"/>
      <c r="R734" s="15"/>
    </row>
    <row r="735" spans="1:18" x14ac:dyDescent="0.25">
      <c r="A735" s="15"/>
      <c r="R735" s="15"/>
    </row>
    <row r="736" spans="1:18" x14ac:dyDescent="0.25">
      <c r="A736" s="15"/>
      <c r="R736" s="15"/>
    </row>
    <row r="737" spans="1:18" x14ac:dyDescent="0.25">
      <c r="A737" s="15"/>
      <c r="R737" s="15"/>
    </row>
    <row r="738" spans="1:18" x14ac:dyDescent="0.25">
      <c r="A738" s="15"/>
      <c r="R738" s="15"/>
    </row>
    <row r="739" spans="1:18" x14ac:dyDescent="0.25">
      <c r="A739" s="15"/>
      <c r="R739" s="15"/>
    </row>
    <row r="740" spans="1:18" x14ac:dyDescent="0.25">
      <c r="A740" s="15"/>
      <c r="R740" s="15"/>
    </row>
    <row r="741" spans="1:18" x14ac:dyDescent="0.25">
      <c r="A741" s="15"/>
      <c r="R741" s="15"/>
    </row>
    <row r="742" spans="1:18" x14ac:dyDescent="0.25">
      <c r="A742" s="15"/>
      <c r="R742" s="15"/>
    </row>
    <row r="743" spans="1:18" x14ac:dyDescent="0.25">
      <c r="A743" s="15"/>
      <c r="R743" s="15"/>
    </row>
    <row r="744" spans="1:18" x14ac:dyDescent="0.25">
      <c r="A744" s="15"/>
      <c r="R744" s="15"/>
    </row>
    <row r="745" spans="1:18" x14ac:dyDescent="0.25">
      <c r="A745" s="15"/>
      <c r="R745" s="15"/>
    </row>
    <row r="746" spans="1:18" x14ac:dyDescent="0.25">
      <c r="A746" s="15"/>
      <c r="R746" s="15"/>
    </row>
    <row r="747" spans="1:18" x14ac:dyDescent="0.25">
      <c r="A747" s="15"/>
      <c r="R747" s="15"/>
    </row>
    <row r="748" spans="1:18" x14ac:dyDescent="0.25">
      <c r="A748" s="15"/>
      <c r="R748" s="15"/>
    </row>
    <row r="749" spans="1:18" x14ac:dyDescent="0.25">
      <c r="A749" s="15"/>
      <c r="R749" s="15"/>
    </row>
    <row r="750" spans="1:18" x14ac:dyDescent="0.25">
      <c r="A750" s="15"/>
      <c r="R750" s="15"/>
    </row>
    <row r="751" spans="1:18" x14ac:dyDescent="0.25">
      <c r="A751" s="15"/>
      <c r="R751" s="15"/>
    </row>
    <row r="752" spans="1:18" x14ac:dyDescent="0.25">
      <c r="A752" s="15"/>
      <c r="R752" s="15"/>
    </row>
    <row r="753" spans="1:18" x14ac:dyDescent="0.25">
      <c r="A753" s="15"/>
      <c r="R753" s="15"/>
    </row>
    <row r="754" spans="1:18" x14ac:dyDescent="0.25">
      <c r="A754" s="15"/>
      <c r="R754" s="15"/>
    </row>
    <row r="755" spans="1:18" x14ac:dyDescent="0.25">
      <c r="A755" s="15"/>
      <c r="R755" s="15"/>
    </row>
    <row r="756" spans="1:18" x14ac:dyDescent="0.25">
      <c r="A756" s="15"/>
      <c r="R756" s="15"/>
    </row>
    <row r="757" spans="1:18" x14ac:dyDescent="0.25">
      <c r="A757" s="15"/>
      <c r="R757" s="15"/>
    </row>
    <row r="758" spans="1:18" x14ac:dyDescent="0.25">
      <c r="A758" s="15"/>
      <c r="R758" s="15"/>
    </row>
    <row r="759" spans="1:18" x14ac:dyDescent="0.25">
      <c r="A759" s="15"/>
      <c r="R759" s="15"/>
    </row>
    <row r="760" spans="1:18" x14ac:dyDescent="0.25">
      <c r="A760" s="15"/>
      <c r="R760" s="15"/>
    </row>
    <row r="761" spans="1:18" x14ac:dyDescent="0.25">
      <c r="A761" s="15"/>
      <c r="R761" s="15"/>
    </row>
    <row r="762" spans="1:18" x14ac:dyDescent="0.25">
      <c r="A762" s="15"/>
      <c r="R762" s="15"/>
    </row>
    <row r="763" spans="1:18" x14ac:dyDescent="0.25">
      <c r="A763" s="15"/>
      <c r="R763" s="15"/>
    </row>
    <row r="764" spans="1:18" x14ac:dyDescent="0.25">
      <c r="A764" s="15"/>
      <c r="R764" s="15"/>
    </row>
    <row r="765" spans="1:18" x14ac:dyDescent="0.25">
      <c r="A765" s="15"/>
      <c r="R765" s="15"/>
    </row>
    <row r="766" spans="1:18" x14ac:dyDescent="0.25">
      <c r="A766" s="15"/>
      <c r="R766" s="15"/>
    </row>
    <row r="767" spans="1:18" x14ac:dyDescent="0.25">
      <c r="A767" s="15"/>
      <c r="R767" s="15"/>
    </row>
    <row r="768" spans="1:18" x14ac:dyDescent="0.25">
      <c r="A768" s="15"/>
      <c r="R768" s="15"/>
    </row>
    <row r="769" spans="1:18" x14ac:dyDescent="0.25">
      <c r="A769" s="15"/>
      <c r="R769" s="15"/>
    </row>
    <row r="770" spans="1:18" x14ac:dyDescent="0.25">
      <c r="A770" s="15"/>
      <c r="R770" s="15"/>
    </row>
    <row r="771" spans="1:18" x14ac:dyDescent="0.25">
      <c r="A771" s="15"/>
      <c r="R771" s="15"/>
    </row>
    <row r="772" spans="1:18" x14ac:dyDescent="0.25">
      <c r="A772" s="15"/>
      <c r="R772" s="15"/>
    </row>
    <row r="773" spans="1:18" x14ac:dyDescent="0.25">
      <c r="A773" s="15"/>
      <c r="R773" s="15"/>
    </row>
    <row r="774" spans="1:18" x14ac:dyDescent="0.25">
      <c r="A774" s="15"/>
      <c r="R774" s="15"/>
    </row>
    <row r="775" spans="1:18" x14ac:dyDescent="0.25">
      <c r="A775" s="15"/>
      <c r="R775" s="15"/>
    </row>
    <row r="776" spans="1:18" x14ac:dyDescent="0.25">
      <c r="A776" s="15"/>
      <c r="R776" s="15"/>
    </row>
    <row r="777" spans="1:18" x14ac:dyDescent="0.25">
      <c r="A777" s="15"/>
      <c r="R777" s="15"/>
    </row>
    <row r="778" spans="1:18" x14ac:dyDescent="0.25">
      <c r="A778" s="15"/>
      <c r="R778" s="15"/>
    </row>
    <row r="779" spans="1:18" x14ac:dyDescent="0.25">
      <c r="A779" s="15"/>
      <c r="R779" s="15"/>
    </row>
    <row r="780" spans="1:18" x14ac:dyDescent="0.25">
      <c r="A780" s="15"/>
      <c r="R780" s="15"/>
    </row>
    <row r="781" spans="1:18" x14ac:dyDescent="0.25">
      <c r="A781" s="15"/>
      <c r="R781" s="15"/>
    </row>
    <row r="782" spans="1:18" x14ac:dyDescent="0.25">
      <c r="A782" s="15"/>
      <c r="R782" s="15"/>
    </row>
    <row r="783" spans="1:18" x14ac:dyDescent="0.25">
      <c r="A783" s="15"/>
      <c r="R783" s="15"/>
    </row>
    <row r="784" spans="1:18" x14ac:dyDescent="0.25">
      <c r="A784" s="15"/>
      <c r="R784" s="15"/>
    </row>
    <row r="785" spans="1:18" x14ac:dyDescent="0.25">
      <c r="A785" s="15"/>
      <c r="R785" s="15"/>
    </row>
    <row r="786" spans="1:18" x14ac:dyDescent="0.25">
      <c r="A786" s="15"/>
      <c r="R786" s="15"/>
    </row>
    <row r="787" spans="1:18" x14ac:dyDescent="0.25">
      <c r="A787" s="15"/>
      <c r="R787" s="15"/>
    </row>
    <row r="788" spans="1:18" x14ac:dyDescent="0.25">
      <c r="A788" s="15"/>
      <c r="R788" s="15"/>
    </row>
    <row r="789" spans="1:18" x14ac:dyDescent="0.25">
      <c r="A789" s="15"/>
      <c r="R789" s="15"/>
    </row>
    <row r="790" spans="1:18" x14ac:dyDescent="0.25">
      <c r="A790" s="15"/>
      <c r="R790" s="15"/>
    </row>
    <row r="791" spans="1:18" x14ac:dyDescent="0.25">
      <c r="A791" s="15"/>
      <c r="R791" s="15"/>
    </row>
    <row r="792" spans="1:18" x14ac:dyDescent="0.25">
      <c r="A792" s="15"/>
      <c r="R792" s="15"/>
    </row>
    <row r="793" spans="1:18" x14ac:dyDescent="0.25">
      <c r="A793" s="15"/>
      <c r="R793" s="15"/>
    </row>
    <row r="794" spans="1:18" x14ac:dyDescent="0.25">
      <c r="A794" s="15"/>
      <c r="R794" s="15"/>
    </row>
    <row r="795" spans="1:18" x14ac:dyDescent="0.25">
      <c r="A795" s="15"/>
      <c r="R795" s="15"/>
    </row>
    <row r="796" spans="1:18" x14ac:dyDescent="0.25">
      <c r="A796" s="15"/>
      <c r="R796" s="15"/>
    </row>
    <row r="797" spans="1:18" x14ac:dyDescent="0.25">
      <c r="A797" s="15"/>
      <c r="R797" s="15"/>
    </row>
    <row r="798" spans="1:18" x14ac:dyDescent="0.25">
      <c r="A798" s="15"/>
      <c r="R798" s="15"/>
    </row>
    <row r="799" spans="1:18" x14ac:dyDescent="0.25">
      <c r="A799" s="15"/>
      <c r="R799" s="15"/>
    </row>
    <row r="800" spans="1:18" x14ac:dyDescent="0.25">
      <c r="A800" s="15"/>
      <c r="R800" s="15"/>
    </row>
    <row r="801" spans="1:18" x14ac:dyDescent="0.25">
      <c r="A801" s="15"/>
      <c r="R801" s="15"/>
    </row>
    <row r="802" spans="1:18" x14ac:dyDescent="0.25">
      <c r="A802" s="15"/>
      <c r="R802" s="15"/>
    </row>
    <row r="803" spans="1:18" x14ac:dyDescent="0.25">
      <c r="A803" s="15"/>
      <c r="R803" s="15"/>
    </row>
    <row r="804" spans="1:18" x14ac:dyDescent="0.25">
      <c r="A804" s="15"/>
      <c r="R804" s="15"/>
    </row>
    <row r="805" spans="1:18" x14ac:dyDescent="0.25">
      <c r="A805" s="15"/>
      <c r="R805" s="15"/>
    </row>
    <row r="806" spans="1:18" x14ac:dyDescent="0.25">
      <c r="A806" s="15"/>
      <c r="R806" s="15"/>
    </row>
    <row r="807" spans="1:18" x14ac:dyDescent="0.25">
      <c r="A807" s="15"/>
      <c r="R807" s="15"/>
    </row>
    <row r="808" spans="1:18" x14ac:dyDescent="0.25">
      <c r="A808" s="15"/>
      <c r="R808" s="15"/>
    </row>
    <row r="809" spans="1:18" x14ac:dyDescent="0.25">
      <c r="A809" s="15"/>
      <c r="R809" s="15"/>
    </row>
    <row r="810" spans="1:18" x14ac:dyDescent="0.25">
      <c r="A810" s="15"/>
      <c r="R810" s="15"/>
    </row>
    <row r="811" spans="1:18" x14ac:dyDescent="0.25">
      <c r="A811" s="15"/>
      <c r="R811" s="15"/>
    </row>
    <row r="812" spans="1:18" x14ac:dyDescent="0.25">
      <c r="A812" s="15"/>
      <c r="R812" s="15"/>
    </row>
    <row r="813" spans="1:18" x14ac:dyDescent="0.25">
      <c r="A813" s="15"/>
      <c r="R813" s="15"/>
    </row>
    <row r="814" spans="1:18" x14ac:dyDescent="0.25">
      <c r="A814" s="15"/>
      <c r="R814" s="15"/>
    </row>
    <row r="815" spans="1:18" x14ac:dyDescent="0.25">
      <c r="A815" s="15"/>
      <c r="R815" s="15"/>
    </row>
    <row r="816" spans="1:18" x14ac:dyDescent="0.25">
      <c r="A816" s="15"/>
      <c r="R816" s="15"/>
    </row>
    <row r="817" spans="1:18" x14ac:dyDescent="0.25">
      <c r="A817" s="15"/>
      <c r="R817" s="15"/>
    </row>
    <row r="818" spans="1:18" x14ac:dyDescent="0.25">
      <c r="A818" s="15"/>
      <c r="R818" s="15"/>
    </row>
    <row r="819" spans="1:18" x14ac:dyDescent="0.25">
      <c r="A819" s="15"/>
      <c r="R819" s="15"/>
    </row>
    <row r="820" spans="1:18" x14ac:dyDescent="0.25">
      <c r="A820" s="15"/>
      <c r="R820" s="15"/>
    </row>
    <row r="821" spans="1:18" x14ac:dyDescent="0.25">
      <c r="A821" s="15"/>
      <c r="R821" s="15"/>
    </row>
    <row r="822" spans="1:18" x14ac:dyDescent="0.25">
      <c r="A822" s="15"/>
      <c r="R822" s="15"/>
    </row>
    <row r="823" spans="1:18" x14ac:dyDescent="0.25">
      <c r="A823" s="15"/>
      <c r="R823" s="15"/>
    </row>
    <row r="824" spans="1:18" x14ac:dyDescent="0.25">
      <c r="A824" s="15"/>
      <c r="R824" s="15"/>
    </row>
    <row r="825" spans="1:18" x14ac:dyDescent="0.25">
      <c r="A825" s="15"/>
      <c r="R825" s="15"/>
    </row>
    <row r="826" spans="1:18" x14ac:dyDescent="0.25">
      <c r="A826" s="15"/>
      <c r="R826" s="15"/>
    </row>
    <row r="827" spans="1:18" x14ac:dyDescent="0.25">
      <c r="A827" s="15"/>
      <c r="R827" s="15"/>
    </row>
    <row r="828" spans="1:18" x14ac:dyDescent="0.25">
      <c r="A828" s="15"/>
      <c r="R828" s="15"/>
    </row>
    <row r="829" spans="1:18" x14ac:dyDescent="0.25">
      <c r="A829" s="15"/>
      <c r="R829" s="15"/>
    </row>
    <row r="830" spans="1:18" x14ac:dyDescent="0.25">
      <c r="A830" s="15"/>
      <c r="R830" s="15"/>
    </row>
    <row r="831" spans="1:18" x14ac:dyDescent="0.25">
      <c r="A831" s="15"/>
      <c r="R831" s="15"/>
    </row>
    <row r="832" spans="1:18" x14ac:dyDescent="0.25">
      <c r="A832" s="15"/>
      <c r="R832" s="15"/>
    </row>
    <row r="833" spans="1:18" x14ac:dyDescent="0.25">
      <c r="A833" s="15"/>
      <c r="R833" s="15"/>
    </row>
    <row r="834" spans="1:18" x14ac:dyDescent="0.25">
      <c r="A834" s="15"/>
      <c r="R834" s="15"/>
    </row>
    <row r="835" spans="1:18" x14ac:dyDescent="0.25">
      <c r="A835" s="15"/>
      <c r="R835" s="15"/>
    </row>
    <row r="836" spans="1:18" x14ac:dyDescent="0.25">
      <c r="A836" s="15"/>
      <c r="R836" s="15"/>
    </row>
    <row r="837" spans="1:18" x14ac:dyDescent="0.25">
      <c r="A837" s="15"/>
      <c r="R837" s="15"/>
    </row>
    <row r="838" spans="1:18" x14ac:dyDescent="0.25">
      <c r="A838" s="15"/>
      <c r="R838" s="15"/>
    </row>
    <row r="839" spans="1:18" x14ac:dyDescent="0.25">
      <c r="A839" s="15"/>
      <c r="R839" s="15"/>
    </row>
    <row r="840" spans="1:18" x14ac:dyDescent="0.25">
      <c r="A840" s="15"/>
      <c r="R840" s="15"/>
    </row>
    <row r="841" spans="1:18" x14ac:dyDescent="0.25">
      <c r="A841" s="15"/>
      <c r="R841" s="15"/>
    </row>
    <row r="842" spans="1:18" x14ac:dyDescent="0.25">
      <c r="A842" s="15"/>
      <c r="R842" s="15"/>
    </row>
    <row r="843" spans="1:18" x14ac:dyDescent="0.25">
      <c r="A843" s="15"/>
      <c r="R843" s="15"/>
    </row>
    <row r="844" spans="1:18" x14ac:dyDescent="0.25">
      <c r="A844" s="15"/>
      <c r="R844" s="15"/>
    </row>
    <row r="845" spans="1:18" x14ac:dyDescent="0.25">
      <c r="A845" s="15"/>
      <c r="R845" s="15"/>
    </row>
    <row r="846" spans="1:18" x14ac:dyDescent="0.25">
      <c r="A846" s="15"/>
      <c r="R846" s="15"/>
    </row>
    <row r="847" spans="1:18" x14ac:dyDescent="0.25">
      <c r="A847" s="15"/>
      <c r="R847" s="15"/>
    </row>
    <row r="848" spans="1:18" x14ac:dyDescent="0.25">
      <c r="A848" s="15"/>
      <c r="R848" s="15"/>
    </row>
    <row r="849" spans="1:18" x14ac:dyDescent="0.25">
      <c r="A849" s="15"/>
      <c r="R849" s="15"/>
    </row>
    <row r="850" spans="1:18" x14ac:dyDescent="0.25">
      <c r="A850" s="15"/>
      <c r="R850" s="15"/>
    </row>
    <row r="851" spans="1:18" x14ac:dyDescent="0.25">
      <c r="A851" s="15"/>
      <c r="R851" s="15"/>
    </row>
    <row r="852" spans="1:18" x14ac:dyDescent="0.25">
      <c r="A852" s="15"/>
      <c r="R852" s="15"/>
    </row>
    <row r="853" spans="1:18" x14ac:dyDescent="0.25">
      <c r="A853" s="15"/>
      <c r="R853" s="15"/>
    </row>
    <row r="854" spans="1:18" x14ac:dyDescent="0.25">
      <c r="A854" s="15"/>
      <c r="R854" s="15"/>
    </row>
    <row r="855" spans="1:18" x14ac:dyDescent="0.25">
      <c r="A855" s="15"/>
      <c r="R855" s="15"/>
    </row>
    <row r="856" spans="1:18" x14ac:dyDescent="0.25">
      <c r="A856" s="15"/>
      <c r="R856" s="15"/>
    </row>
    <row r="857" spans="1:18" x14ac:dyDescent="0.25">
      <c r="A857" s="15"/>
      <c r="R857" s="15"/>
    </row>
    <row r="858" spans="1:18" x14ac:dyDescent="0.25">
      <c r="A858" s="15"/>
      <c r="R858" s="15"/>
    </row>
    <row r="859" spans="1:18" x14ac:dyDescent="0.25">
      <c r="A859" s="15"/>
      <c r="R859" s="15"/>
    </row>
    <row r="860" spans="1:18" x14ac:dyDescent="0.25">
      <c r="A860" s="15"/>
      <c r="R860" s="15"/>
    </row>
    <row r="861" spans="1:18" x14ac:dyDescent="0.25">
      <c r="A861" s="15"/>
      <c r="R861" s="15"/>
    </row>
    <row r="862" spans="1:18" x14ac:dyDescent="0.25">
      <c r="A862" s="15"/>
      <c r="R862" s="15"/>
    </row>
    <row r="863" spans="1:18" x14ac:dyDescent="0.25">
      <c r="A863" s="15"/>
      <c r="R863" s="15"/>
    </row>
    <row r="864" spans="1:18" x14ac:dyDescent="0.25">
      <c r="A864" s="15"/>
      <c r="R864" s="15"/>
    </row>
    <row r="865" spans="1:18" x14ac:dyDescent="0.25">
      <c r="A865" s="15"/>
      <c r="R865" s="15"/>
    </row>
    <row r="866" spans="1:18" x14ac:dyDescent="0.25">
      <c r="A866" s="15"/>
      <c r="R866" s="15"/>
    </row>
    <row r="867" spans="1:18" x14ac:dyDescent="0.25">
      <c r="A867" s="15"/>
      <c r="R867" s="15"/>
    </row>
    <row r="868" spans="1:18" x14ac:dyDescent="0.25">
      <c r="A868" s="15"/>
      <c r="R868" s="15"/>
    </row>
    <row r="869" spans="1:18" x14ac:dyDescent="0.25">
      <c r="A869" s="15"/>
      <c r="R869" s="15"/>
    </row>
    <row r="870" spans="1:18" x14ac:dyDescent="0.25">
      <c r="A870" s="15"/>
      <c r="R870" s="15"/>
    </row>
    <row r="871" spans="1:18" x14ac:dyDescent="0.25">
      <c r="A871" s="15"/>
      <c r="R871" s="15"/>
    </row>
    <row r="872" spans="1:18" x14ac:dyDescent="0.25">
      <c r="A872" s="15"/>
      <c r="R872" s="15"/>
    </row>
    <row r="873" spans="1:18" x14ac:dyDescent="0.25">
      <c r="A873" s="15"/>
      <c r="R873" s="15"/>
    </row>
    <row r="874" spans="1:18" x14ac:dyDescent="0.25">
      <c r="A874" s="15"/>
      <c r="R874" s="15"/>
    </row>
    <row r="875" spans="1:18" x14ac:dyDescent="0.25">
      <c r="A875" s="15"/>
      <c r="R875" s="15"/>
    </row>
    <row r="876" spans="1:18" x14ac:dyDescent="0.25">
      <c r="A876" s="15"/>
      <c r="R876" s="15"/>
    </row>
    <row r="877" spans="1:18" x14ac:dyDescent="0.25">
      <c r="A877" s="15"/>
      <c r="R877" s="15"/>
    </row>
    <row r="878" spans="1:18" x14ac:dyDescent="0.25">
      <c r="A878" s="15"/>
      <c r="R878" s="15"/>
    </row>
    <row r="879" spans="1:18" x14ac:dyDescent="0.25">
      <c r="A879" s="15"/>
      <c r="R879" s="15"/>
    </row>
    <row r="880" spans="1:18" x14ac:dyDescent="0.25">
      <c r="A880" s="15"/>
      <c r="R880" s="15"/>
    </row>
    <row r="881" spans="1:18" x14ac:dyDescent="0.25">
      <c r="A881" s="15"/>
      <c r="R881" s="15"/>
    </row>
    <row r="882" spans="1:18" x14ac:dyDescent="0.25">
      <c r="A882" s="15"/>
      <c r="R882" s="15"/>
    </row>
    <row r="883" spans="1:18" x14ac:dyDescent="0.25">
      <c r="A883" s="15"/>
      <c r="R883" s="15"/>
    </row>
    <row r="884" spans="1:18" x14ac:dyDescent="0.25">
      <c r="A884" s="15"/>
      <c r="R884" s="15"/>
    </row>
    <row r="885" spans="1:18" x14ac:dyDescent="0.25">
      <c r="A885" s="15"/>
      <c r="R885" s="15"/>
    </row>
    <row r="886" spans="1:18" x14ac:dyDescent="0.25">
      <c r="A886" s="15"/>
      <c r="R886" s="15"/>
    </row>
    <row r="887" spans="1:18" x14ac:dyDescent="0.25">
      <c r="A887" s="15"/>
      <c r="R887" s="15"/>
    </row>
    <row r="888" spans="1:18" x14ac:dyDescent="0.25">
      <c r="A888" s="15"/>
      <c r="R888" s="15"/>
    </row>
    <row r="889" spans="1:18" x14ac:dyDescent="0.25">
      <c r="A889" s="15"/>
      <c r="R889" s="15"/>
    </row>
    <row r="890" spans="1:18" x14ac:dyDescent="0.25">
      <c r="A890" s="15"/>
      <c r="R890" s="15"/>
    </row>
    <row r="891" spans="1:18" x14ac:dyDescent="0.25">
      <c r="A891" s="15"/>
      <c r="R891" s="15"/>
    </row>
    <row r="892" spans="1:18" x14ac:dyDescent="0.25">
      <c r="A892" s="15"/>
      <c r="R892" s="15"/>
    </row>
    <row r="893" spans="1:18" x14ac:dyDescent="0.25">
      <c r="A893" s="15"/>
      <c r="R893" s="15"/>
    </row>
    <row r="894" spans="1:18" x14ac:dyDescent="0.25">
      <c r="A894" s="15"/>
      <c r="R894" s="15"/>
    </row>
    <row r="895" spans="1:18" x14ac:dyDescent="0.25">
      <c r="A895" s="15"/>
      <c r="R895" s="15"/>
    </row>
    <row r="896" spans="1:18" x14ac:dyDescent="0.25">
      <c r="A896" s="15"/>
      <c r="R896" s="15"/>
    </row>
    <row r="897" spans="1:18" x14ac:dyDescent="0.25">
      <c r="A897" s="15"/>
      <c r="R897" s="15"/>
    </row>
    <row r="898" spans="1:18" x14ac:dyDescent="0.25">
      <c r="A898" s="15"/>
      <c r="R898" s="15"/>
    </row>
    <row r="899" spans="1:18" x14ac:dyDescent="0.25">
      <c r="A899" s="15"/>
      <c r="R899" s="15"/>
    </row>
    <row r="900" spans="1:18" x14ac:dyDescent="0.25">
      <c r="A900" s="15"/>
      <c r="R900" s="15"/>
    </row>
    <row r="901" spans="1:18" x14ac:dyDescent="0.25">
      <c r="A901" s="15"/>
      <c r="R901" s="15"/>
    </row>
    <row r="902" spans="1:18" x14ac:dyDescent="0.25">
      <c r="A902" s="15"/>
      <c r="R902" s="15"/>
    </row>
    <row r="903" spans="1:18" x14ac:dyDescent="0.25">
      <c r="A903" s="15"/>
      <c r="R903" s="15"/>
    </row>
    <row r="904" spans="1:18" x14ac:dyDescent="0.25">
      <c r="A904" s="15"/>
      <c r="R904" s="15"/>
    </row>
    <row r="905" spans="1:18" x14ac:dyDescent="0.25">
      <c r="A905" s="15"/>
      <c r="R905" s="15"/>
    </row>
    <row r="906" spans="1:18" x14ac:dyDescent="0.25">
      <c r="A906" s="15"/>
      <c r="R906" s="15"/>
    </row>
    <row r="907" spans="1:18" x14ac:dyDescent="0.25">
      <c r="A907" s="15"/>
      <c r="R907" s="15"/>
    </row>
    <row r="908" spans="1:18" x14ac:dyDescent="0.25">
      <c r="A908" s="15"/>
      <c r="R908" s="15"/>
    </row>
    <row r="909" spans="1:18" x14ac:dyDescent="0.25">
      <c r="A909" s="15"/>
      <c r="R909" s="15"/>
    </row>
    <row r="910" spans="1:18" x14ac:dyDescent="0.25">
      <c r="A910" s="15"/>
      <c r="R910" s="15"/>
    </row>
    <row r="911" spans="1:18" x14ac:dyDescent="0.25">
      <c r="A911" s="15"/>
      <c r="R911" s="15"/>
    </row>
    <row r="912" spans="1:18" x14ac:dyDescent="0.25">
      <c r="A912" s="15"/>
      <c r="R912" s="15"/>
    </row>
    <row r="913" spans="1:18" x14ac:dyDescent="0.25">
      <c r="A913" s="15"/>
      <c r="R913" s="15"/>
    </row>
    <row r="914" spans="1:18" x14ac:dyDescent="0.25">
      <c r="A914" s="15"/>
      <c r="R914" s="15"/>
    </row>
    <row r="915" spans="1:18" x14ac:dyDescent="0.25">
      <c r="A915" s="15"/>
      <c r="R915" s="15"/>
    </row>
    <row r="916" spans="1:18" x14ac:dyDescent="0.25">
      <c r="A916" s="15"/>
      <c r="R916" s="15"/>
    </row>
    <row r="917" spans="1:18" x14ac:dyDescent="0.25">
      <c r="A917" s="15"/>
      <c r="R917" s="15"/>
    </row>
    <row r="918" spans="1:18" x14ac:dyDescent="0.25">
      <c r="A918" s="15"/>
      <c r="R918" s="15"/>
    </row>
    <row r="919" spans="1:18" x14ac:dyDescent="0.25">
      <c r="A919" s="15"/>
      <c r="R919" s="15"/>
    </row>
    <row r="920" spans="1:18" x14ac:dyDescent="0.25">
      <c r="A920" s="15"/>
      <c r="R920" s="15"/>
    </row>
    <row r="921" spans="1:18" x14ac:dyDescent="0.25">
      <c r="A921" s="15"/>
      <c r="R921" s="15"/>
    </row>
    <row r="922" spans="1:18" x14ac:dyDescent="0.25">
      <c r="A922" s="15"/>
      <c r="R922" s="15"/>
    </row>
    <row r="923" spans="1:18" x14ac:dyDescent="0.25">
      <c r="A923" s="15"/>
      <c r="R923" s="15"/>
    </row>
    <row r="924" spans="1:18" x14ac:dyDescent="0.25">
      <c r="A924" s="15"/>
      <c r="R924" s="15"/>
    </row>
    <row r="925" spans="1:18" x14ac:dyDescent="0.25">
      <c r="A925" s="15"/>
      <c r="R925" s="15"/>
    </row>
    <row r="926" spans="1:18" x14ac:dyDescent="0.25">
      <c r="A926" s="15"/>
      <c r="R926" s="15"/>
    </row>
    <row r="927" spans="1:18" x14ac:dyDescent="0.25">
      <c r="A927" s="15"/>
      <c r="R927" s="15"/>
    </row>
    <row r="928" spans="1:18" x14ac:dyDescent="0.25">
      <c r="A928" s="15"/>
      <c r="R928" s="15"/>
    </row>
    <row r="929" spans="1:18" x14ac:dyDescent="0.25">
      <c r="A929" s="15"/>
      <c r="R929" s="15"/>
    </row>
    <row r="930" spans="1:18" x14ac:dyDescent="0.25">
      <c r="A930" s="15"/>
      <c r="R930" s="15"/>
    </row>
    <row r="931" spans="1:18" x14ac:dyDescent="0.25">
      <c r="A931" s="15"/>
      <c r="R931" s="15"/>
    </row>
    <row r="932" spans="1:18" x14ac:dyDescent="0.25">
      <c r="A932" s="15"/>
      <c r="R932" s="15"/>
    </row>
    <row r="933" spans="1:18" x14ac:dyDescent="0.25">
      <c r="A933" s="15"/>
      <c r="R933" s="15"/>
    </row>
    <row r="934" spans="1:18" x14ac:dyDescent="0.25">
      <c r="A934" s="15"/>
      <c r="R934" s="15"/>
    </row>
    <row r="935" spans="1:18" x14ac:dyDescent="0.25">
      <c r="A935" s="15"/>
      <c r="R935" s="15"/>
    </row>
    <row r="936" spans="1:18" x14ac:dyDescent="0.25">
      <c r="A936" s="15"/>
      <c r="R936" s="15"/>
    </row>
    <row r="937" spans="1:18" x14ac:dyDescent="0.25">
      <c r="A937" s="15"/>
      <c r="R937" s="15"/>
    </row>
    <row r="938" spans="1:18" x14ac:dyDescent="0.25">
      <c r="A938" s="15"/>
      <c r="R938" s="15"/>
    </row>
    <row r="939" spans="1:18" x14ac:dyDescent="0.25">
      <c r="A939" s="15"/>
      <c r="R939" s="15"/>
    </row>
    <row r="940" spans="1:18" x14ac:dyDescent="0.25">
      <c r="A940" s="15"/>
      <c r="R940" s="15"/>
    </row>
    <row r="941" spans="1:18" x14ac:dyDescent="0.25">
      <c r="A941" s="15"/>
      <c r="R941" s="15"/>
    </row>
    <row r="942" spans="1:18" x14ac:dyDescent="0.25">
      <c r="A942" s="15"/>
      <c r="R942" s="15"/>
    </row>
    <row r="943" spans="1:18" x14ac:dyDescent="0.25">
      <c r="A943" s="15"/>
      <c r="R943" s="15"/>
    </row>
    <row r="944" spans="1:18" x14ac:dyDescent="0.25">
      <c r="A944" s="15"/>
      <c r="R944" s="15"/>
    </row>
    <row r="945" spans="1:18" x14ac:dyDescent="0.25">
      <c r="A945" s="15"/>
      <c r="R945" s="15"/>
    </row>
    <row r="946" spans="1:18" x14ac:dyDescent="0.25">
      <c r="A946" s="15"/>
      <c r="R946" s="15"/>
    </row>
    <row r="947" spans="1:18" x14ac:dyDescent="0.25">
      <c r="A947" s="15"/>
      <c r="R947" s="15"/>
    </row>
    <row r="948" spans="1:18" x14ac:dyDescent="0.25">
      <c r="A948" s="15"/>
      <c r="R948" s="15"/>
    </row>
    <row r="949" spans="1:18" x14ac:dyDescent="0.25">
      <c r="A949" s="15"/>
      <c r="R949" s="15"/>
    </row>
    <row r="950" spans="1:18" x14ac:dyDescent="0.25">
      <c r="A950" s="15"/>
      <c r="R950" s="15"/>
    </row>
    <row r="951" spans="1:18" x14ac:dyDescent="0.25">
      <c r="A951" s="15"/>
      <c r="R951" s="15"/>
    </row>
    <row r="952" spans="1:18" x14ac:dyDescent="0.25">
      <c r="A952" s="15"/>
      <c r="R952" s="15"/>
    </row>
    <row r="953" spans="1:18" x14ac:dyDescent="0.25">
      <c r="A953" s="15"/>
      <c r="R953" s="15"/>
    </row>
    <row r="954" spans="1:18" x14ac:dyDescent="0.25">
      <c r="A954" s="15"/>
      <c r="R954" s="15"/>
    </row>
    <row r="955" spans="1:18" x14ac:dyDescent="0.25">
      <c r="A955" s="15"/>
      <c r="R955" s="15"/>
    </row>
    <row r="956" spans="1:18" x14ac:dyDescent="0.25">
      <c r="A956" s="15"/>
      <c r="R956" s="15"/>
    </row>
    <row r="957" spans="1:18" x14ac:dyDescent="0.25">
      <c r="A957" s="15"/>
      <c r="R957" s="15"/>
    </row>
    <row r="958" spans="1:18" x14ac:dyDescent="0.25">
      <c r="A958" s="15"/>
      <c r="R958" s="15"/>
    </row>
    <row r="959" spans="1:18" x14ac:dyDescent="0.25">
      <c r="A959" s="15"/>
      <c r="R959" s="15"/>
    </row>
    <row r="960" spans="1:18" x14ac:dyDescent="0.25">
      <c r="A960" s="15"/>
      <c r="R960" s="15"/>
    </row>
    <row r="961" spans="1:18" x14ac:dyDescent="0.25">
      <c r="A961" s="15"/>
      <c r="R961" s="15"/>
    </row>
    <row r="962" spans="1:18" x14ac:dyDescent="0.25">
      <c r="A962" s="15"/>
      <c r="R962" s="15"/>
    </row>
    <row r="963" spans="1:18" x14ac:dyDescent="0.25">
      <c r="A963" s="15"/>
      <c r="R963" s="15"/>
    </row>
    <row r="964" spans="1:18" x14ac:dyDescent="0.25">
      <c r="A964" s="15"/>
      <c r="R964" s="15"/>
    </row>
    <row r="965" spans="1:18" x14ac:dyDescent="0.25">
      <c r="A965" s="15"/>
      <c r="R965" s="15"/>
    </row>
    <row r="966" spans="1:18" x14ac:dyDescent="0.25">
      <c r="A966" s="15"/>
      <c r="R966" s="15"/>
    </row>
    <row r="967" spans="1:18" x14ac:dyDescent="0.25">
      <c r="A967" s="15"/>
      <c r="R967" s="15"/>
    </row>
    <row r="968" spans="1:18" x14ac:dyDescent="0.25">
      <c r="A968" s="15"/>
      <c r="R968" s="15"/>
    </row>
    <row r="969" spans="1:18" x14ac:dyDescent="0.25">
      <c r="A969" s="15"/>
      <c r="R969" s="15"/>
    </row>
    <row r="970" spans="1:18" x14ac:dyDescent="0.25">
      <c r="A970" s="15"/>
      <c r="R970" s="15"/>
    </row>
    <row r="971" spans="1:18" x14ac:dyDescent="0.25">
      <c r="A971" s="15"/>
      <c r="R971" s="15"/>
    </row>
    <row r="972" spans="1:18" x14ac:dyDescent="0.25">
      <c r="A972" s="15"/>
      <c r="R972" s="15"/>
    </row>
    <row r="973" spans="1:18" x14ac:dyDescent="0.25">
      <c r="A973" s="15"/>
      <c r="R973" s="15"/>
    </row>
    <row r="974" spans="1:18" x14ac:dyDescent="0.25">
      <c r="A974" s="15"/>
      <c r="R974" s="15"/>
    </row>
    <row r="975" spans="1:18" x14ac:dyDescent="0.25">
      <c r="A975" s="15"/>
      <c r="R975" s="15"/>
    </row>
    <row r="976" spans="1:18" x14ac:dyDescent="0.25">
      <c r="A976" s="15"/>
      <c r="R976" s="15"/>
    </row>
    <row r="977" spans="1:18" x14ac:dyDescent="0.25">
      <c r="A977" s="15"/>
      <c r="R977" s="15"/>
    </row>
    <row r="978" spans="1:18" x14ac:dyDescent="0.25">
      <c r="A978" s="15"/>
      <c r="R978" s="15"/>
    </row>
    <row r="979" spans="1:18" x14ac:dyDescent="0.25">
      <c r="A979" s="15"/>
      <c r="R979" s="15"/>
    </row>
    <row r="980" spans="1:18" x14ac:dyDescent="0.25">
      <c r="A980" s="15"/>
      <c r="R980" s="15"/>
    </row>
    <row r="981" spans="1:18" x14ac:dyDescent="0.25">
      <c r="A981" s="15"/>
      <c r="R981" s="15"/>
    </row>
    <row r="982" spans="1:18" x14ac:dyDescent="0.25">
      <c r="A982" s="15"/>
      <c r="R982" s="15"/>
    </row>
    <row r="983" spans="1:18" x14ac:dyDescent="0.25">
      <c r="A983" s="15"/>
      <c r="R983" s="15"/>
    </row>
    <row r="984" spans="1:18" x14ac:dyDescent="0.25">
      <c r="A984" s="15"/>
      <c r="R984" s="15"/>
    </row>
    <row r="985" spans="1:18" x14ac:dyDescent="0.25">
      <c r="A985" s="15"/>
      <c r="R985" s="15"/>
    </row>
    <row r="986" spans="1:18" x14ac:dyDescent="0.25">
      <c r="A986" s="15"/>
      <c r="R986" s="15"/>
    </row>
    <row r="987" spans="1:18" x14ac:dyDescent="0.25">
      <c r="A987" s="15"/>
      <c r="R987" s="15"/>
    </row>
    <row r="988" spans="1:18" x14ac:dyDescent="0.25">
      <c r="A988" s="15"/>
      <c r="R988" s="15"/>
    </row>
    <row r="989" spans="1:18" x14ac:dyDescent="0.25">
      <c r="A989" s="15"/>
      <c r="R989" s="15"/>
    </row>
    <row r="990" spans="1:18" x14ac:dyDescent="0.25">
      <c r="A990" s="15"/>
      <c r="R990" s="15"/>
    </row>
    <row r="991" spans="1:18" x14ac:dyDescent="0.25">
      <c r="A991" s="15"/>
      <c r="R991" s="15"/>
    </row>
    <row r="992" spans="1:18" x14ac:dyDescent="0.25">
      <c r="A992" s="15"/>
      <c r="R992" s="15"/>
    </row>
    <row r="993" spans="1:18" x14ac:dyDescent="0.25">
      <c r="A993" s="15"/>
      <c r="R993" s="15"/>
    </row>
    <row r="994" spans="1:18" x14ac:dyDescent="0.25">
      <c r="A994" s="15"/>
      <c r="R994" s="15"/>
    </row>
    <row r="995" spans="1:18" x14ac:dyDescent="0.25">
      <c r="A995" s="15"/>
      <c r="R995" s="15"/>
    </row>
    <row r="996" spans="1:18" x14ac:dyDescent="0.25">
      <c r="A996" s="15"/>
      <c r="R996" s="15"/>
    </row>
    <row r="997" spans="1:18" x14ac:dyDescent="0.25">
      <c r="A997" s="15"/>
      <c r="R997" s="15"/>
    </row>
    <row r="998" spans="1:18" x14ac:dyDescent="0.25">
      <c r="A998" s="15"/>
      <c r="R998" s="15"/>
    </row>
    <row r="999" spans="1:18" x14ac:dyDescent="0.25">
      <c r="A999" s="15"/>
      <c r="R999" s="15"/>
    </row>
    <row r="1000" spans="1:18" x14ac:dyDescent="0.25">
      <c r="A1000" s="15"/>
      <c r="R1000" s="15"/>
    </row>
    <row r="1001" spans="1:18" x14ac:dyDescent="0.25">
      <c r="A1001" s="15"/>
      <c r="R1001" s="15"/>
    </row>
    <row r="1002" spans="1:18" x14ac:dyDescent="0.25">
      <c r="A1002" s="15"/>
      <c r="R1002" s="15"/>
    </row>
    <row r="1003" spans="1:18" x14ac:dyDescent="0.25">
      <c r="A1003" s="15"/>
      <c r="R1003" s="15"/>
    </row>
    <row r="1004" spans="1:18" x14ac:dyDescent="0.25">
      <c r="A1004" s="15"/>
      <c r="R1004" s="15"/>
    </row>
    <row r="1005" spans="1:18" x14ac:dyDescent="0.25">
      <c r="A1005" s="15"/>
      <c r="R1005" s="15"/>
    </row>
    <row r="1006" spans="1:18" x14ac:dyDescent="0.25">
      <c r="A1006" s="15"/>
      <c r="R1006" s="15"/>
    </row>
    <row r="1007" spans="1:18" x14ac:dyDescent="0.25">
      <c r="A1007" s="15"/>
      <c r="R1007" s="15"/>
    </row>
    <row r="1008" spans="1:18" x14ac:dyDescent="0.25">
      <c r="A1008" s="15"/>
      <c r="R1008" s="15"/>
    </row>
    <row r="1009" spans="1:18" x14ac:dyDescent="0.25">
      <c r="A1009" s="15"/>
      <c r="R1009" s="15"/>
    </row>
    <row r="1010" spans="1:18" x14ac:dyDescent="0.25">
      <c r="A1010" s="15"/>
      <c r="R1010" s="15"/>
    </row>
    <row r="1011" spans="1:18" x14ac:dyDescent="0.25">
      <c r="A1011" s="15"/>
      <c r="R1011" s="15"/>
    </row>
    <row r="1012" spans="1:18" x14ac:dyDescent="0.25">
      <c r="A1012" s="15"/>
      <c r="R1012" s="15"/>
    </row>
    <row r="1013" spans="1:18" x14ac:dyDescent="0.25">
      <c r="A1013" s="15"/>
      <c r="R1013" s="15"/>
    </row>
    <row r="1014" spans="1:18" x14ac:dyDescent="0.25">
      <c r="A1014" s="15"/>
      <c r="R1014" s="15"/>
    </row>
    <row r="1015" spans="1:18" x14ac:dyDescent="0.25">
      <c r="A1015" s="15"/>
      <c r="R1015" s="15"/>
    </row>
    <row r="1016" spans="1:18" x14ac:dyDescent="0.25">
      <c r="A1016" s="15"/>
      <c r="R1016" s="15"/>
    </row>
    <row r="1017" spans="1:18" x14ac:dyDescent="0.25">
      <c r="A1017" s="15"/>
      <c r="R1017" s="15"/>
    </row>
    <row r="1018" spans="1:18" x14ac:dyDescent="0.25">
      <c r="A1018" s="15"/>
      <c r="R1018" s="15"/>
    </row>
    <row r="1019" spans="1:18" x14ac:dyDescent="0.25">
      <c r="A1019" s="15"/>
      <c r="R1019" s="15"/>
    </row>
    <row r="1020" spans="1:18" x14ac:dyDescent="0.25">
      <c r="A1020" s="15"/>
      <c r="R1020" s="15"/>
    </row>
    <row r="1021" spans="1:18" x14ac:dyDescent="0.25">
      <c r="A1021" s="15"/>
      <c r="R1021" s="15"/>
    </row>
    <row r="1022" spans="1:18" x14ac:dyDescent="0.25">
      <c r="A1022" s="15"/>
      <c r="R1022" s="15"/>
    </row>
    <row r="1023" spans="1:18" x14ac:dyDescent="0.25">
      <c r="A1023" s="15"/>
      <c r="R1023" s="15"/>
    </row>
    <row r="1024" spans="1:18" x14ac:dyDescent="0.25">
      <c r="A1024" s="15"/>
      <c r="R1024" s="15"/>
    </row>
    <row r="1025" spans="1:18" x14ac:dyDescent="0.25">
      <c r="A1025" s="15"/>
      <c r="R1025" s="15"/>
    </row>
    <row r="1026" spans="1:18" x14ac:dyDescent="0.25">
      <c r="A1026" s="15"/>
      <c r="R1026" s="15"/>
    </row>
    <row r="1027" spans="1:18" x14ac:dyDescent="0.25">
      <c r="A1027" s="15"/>
      <c r="R1027" s="15"/>
    </row>
    <row r="1028" spans="1:18" x14ac:dyDescent="0.25">
      <c r="A1028" s="15"/>
      <c r="R1028" s="15"/>
    </row>
    <row r="1029" spans="1:18" x14ac:dyDescent="0.25">
      <c r="A1029" s="15"/>
      <c r="R1029" s="15"/>
    </row>
    <row r="1030" spans="1:18" x14ac:dyDescent="0.25">
      <c r="A1030" s="15"/>
      <c r="R1030" s="15"/>
    </row>
    <row r="1031" spans="1:18" x14ac:dyDescent="0.25">
      <c r="A1031" s="15"/>
      <c r="R1031" s="15"/>
    </row>
    <row r="1032" spans="1:18" x14ac:dyDescent="0.25">
      <c r="A1032" s="15"/>
      <c r="R1032" s="15"/>
    </row>
    <row r="1033" spans="1:18" x14ac:dyDescent="0.25">
      <c r="A1033" s="15"/>
      <c r="R1033" s="15"/>
    </row>
    <row r="1034" spans="1:18" x14ac:dyDescent="0.25">
      <c r="A1034" s="15"/>
      <c r="R1034" s="15"/>
    </row>
    <row r="1035" spans="1:18" x14ac:dyDescent="0.25">
      <c r="A1035" s="15"/>
      <c r="R1035" s="15"/>
    </row>
    <row r="1036" spans="1:18" x14ac:dyDescent="0.25">
      <c r="A1036" s="15"/>
      <c r="R1036" s="15"/>
    </row>
    <row r="1037" spans="1:18" x14ac:dyDescent="0.25">
      <c r="A1037" s="15"/>
      <c r="R1037" s="15"/>
    </row>
    <row r="1038" spans="1:18" x14ac:dyDescent="0.25">
      <c r="A1038" s="15"/>
      <c r="R1038" s="15"/>
    </row>
    <row r="1039" spans="1:18" x14ac:dyDescent="0.25">
      <c r="A1039" s="15"/>
      <c r="R1039" s="15"/>
    </row>
    <row r="1040" spans="1:18" x14ac:dyDescent="0.25">
      <c r="A1040" s="15"/>
      <c r="R1040" s="15"/>
    </row>
    <row r="1041" spans="1:18" x14ac:dyDescent="0.25">
      <c r="A1041" s="15"/>
      <c r="R1041" s="15"/>
    </row>
    <row r="1042" spans="1:18" x14ac:dyDescent="0.25">
      <c r="A1042" s="15"/>
      <c r="R1042" s="15"/>
    </row>
    <row r="1043" spans="1:18" x14ac:dyDescent="0.25">
      <c r="A1043" s="15"/>
      <c r="R1043" s="15"/>
    </row>
    <row r="1044" spans="1:18" x14ac:dyDescent="0.25">
      <c r="A1044" s="15"/>
      <c r="R1044" s="15"/>
    </row>
    <row r="1045" spans="1:18" x14ac:dyDescent="0.25">
      <c r="A1045" s="15"/>
      <c r="R1045" s="15"/>
    </row>
    <row r="1046" spans="1:18" x14ac:dyDescent="0.25">
      <c r="A1046" s="15"/>
      <c r="R1046" s="15"/>
    </row>
    <row r="1047" spans="1:18" x14ac:dyDescent="0.25">
      <c r="A1047" s="15"/>
      <c r="R1047" s="15"/>
    </row>
    <row r="1048" spans="1:18" x14ac:dyDescent="0.25">
      <c r="A1048" s="15"/>
      <c r="R1048" s="15"/>
    </row>
    <row r="1049" spans="1:18" x14ac:dyDescent="0.25">
      <c r="A1049" s="15"/>
      <c r="R1049" s="15"/>
    </row>
    <row r="1050" spans="1:18" x14ac:dyDescent="0.25">
      <c r="A1050" s="15"/>
      <c r="R1050" s="15"/>
    </row>
    <row r="1051" spans="1:18" x14ac:dyDescent="0.25">
      <c r="A1051" s="15"/>
      <c r="R1051" s="15"/>
    </row>
    <row r="1052" spans="1:18" x14ac:dyDescent="0.25">
      <c r="A1052" s="15"/>
      <c r="R1052" s="15"/>
    </row>
    <row r="1053" spans="1:18" x14ac:dyDescent="0.25">
      <c r="A1053" s="15"/>
      <c r="R1053" s="15"/>
    </row>
    <row r="1054" spans="1:18" x14ac:dyDescent="0.25">
      <c r="A1054" s="15"/>
      <c r="R1054" s="15"/>
    </row>
    <row r="1055" spans="1:18" x14ac:dyDescent="0.25">
      <c r="A1055" s="15"/>
      <c r="R1055" s="15"/>
    </row>
    <row r="1056" spans="1:18" x14ac:dyDescent="0.25">
      <c r="A1056" s="15"/>
      <c r="R1056" s="15"/>
    </row>
    <row r="1057" spans="1:18" x14ac:dyDescent="0.25">
      <c r="A1057" s="15"/>
      <c r="R1057" s="15"/>
    </row>
    <row r="1058" spans="1:18" x14ac:dyDescent="0.25">
      <c r="A1058" s="15"/>
      <c r="R1058" s="15"/>
    </row>
    <row r="1059" spans="1:18" x14ac:dyDescent="0.25">
      <c r="A1059" s="15"/>
      <c r="R1059" s="15"/>
    </row>
    <row r="1060" spans="1:18" x14ac:dyDescent="0.25">
      <c r="A1060" s="15"/>
      <c r="R1060" s="15"/>
    </row>
    <row r="1061" spans="1:18" x14ac:dyDescent="0.25">
      <c r="A1061" s="15"/>
      <c r="R1061" s="15"/>
    </row>
    <row r="1062" spans="1:18" x14ac:dyDescent="0.25">
      <c r="A1062" s="15"/>
      <c r="R1062" s="15"/>
    </row>
    <row r="1063" spans="1:18" x14ac:dyDescent="0.25">
      <c r="A1063" s="15"/>
      <c r="R1063" s="15"/>
    </row>
    <row r="1064" spans="1:18" x14ac:dyDescent="0.25">
      <c r="A1064" s="15"/>
      <c r="R1064" s="15"/>
    </row>
    <row r="1065" spans="1:18" x14ac:dyDescent="0.25">
      <c r="A1065" s="15"/>
      <c r="R1065" s="15"/>
    </row>
    <row r="1066" spans="1:18" x14ac:dyDescent="0.25">
      <c r="A1066" s="15"/>
      <c r="R1066" s="15"/>
    </row>
    <row r="1067" spans="1:18" x14ac:dyDescent="0.25">
      <c r="A1067" s="15"/>
      <c r="R1067" s="15"/>
    </row>
    <row r="1068" spans="1:18" x14ac:dyDescent="0.25">
      <c r="A1068" s="15"/>
      <c r="R1068" s="15"/>
    </row>
    <row r="1069" spans="1:18" x14ac:dyDescent="0.25">
      <c r="A1069" s="15"/>
      <c r="R1069" s="15"/>
    </row>
    <row r="1070" spans="1:18" x14ac:dyDescent="0.25">
      <c r="A1070" s="15"/>
      <c r="R1070" s="15"/>
    </row>
    <row r="1071" spans="1:18" x14ac:dyDescent="0.25">
      <c r="A1071" s="15"/>
      <c r="R1071" s="15"/>
    </row>
    <row r="1072" spans="1:18" x14ac:dyDescent="0.25">
      <c r="A1072" s="15"/>
      <c r="R1072" s="15"/>
    </row>
    <row r="1073" spans="1:18" x14ac:dyDescent="0.25">
      <c r="A1073" s="15"/>
      <c r="R1073" s="15"/>
    </row>
    <row r="1074" spans="1:18" x14ac:dyDescent="0.25">
      <c r="A1074" s="15"/>
      <c r="R1074" s="15"/>
    </row>
    <row r="1075" spans="1:18" x14ac:dyDescent="0.25">
      <c r="A1075" s="15"/>
      <c r="R1075" s="15"/>
    </row>
    <row r="1076" spans="1:18" x14ac:dyDescent="0.25">
      <c r="A1076" s="15"/>
      <c r="R1076" s="15"/>
    </row>
    <row r="1077" spans="1:18" x14ac:dyDescent="0.25">
      <c r="A1077" s="15"/>
      <c r="R1077" s="15"/>
    </row>
    <row r="1078" spans="1:18" x14ac:dyDescent="0.25">
      <c r="A1078" s="15"/>
      <c r="R1078" s="15"/>
    </row>
    <row r="1079" spans="1:18" x14ac:dyDescent="0.25">
      <c r="A1079" s="15"/>
      <c r="R1079" s="15"/>
    </row>
    <row r="1080" spans="1:18" x14ac:dyDescent="0.25">
      <c r="A1080" s="15"/>
      <c r="R1080" s="15"/>
    </row>
    <row r="1081" spans="1:18" x14ac:dyDescent="0.25">
      <c r="A1081" s="15"/>
      <c r="R1081" s="15"/>
    </row>
    <row r="1082" spans="1:18" x14ac:dyDescent="0.25">
      <c r="A1082" s="15"/>
      <c r="R1082" s="15"/>
    </row>
    <row r="1083" spans="1:18" x14ac:dyDescent="0.25">
      <c r="A1083" s="15"/>
      <c r="R1083" s="15"/>
    </row>
    <row r="1084" spans="1:18" x14ac:dyDescent="0.25">
      <c r="A1084" s="15"/>
      <c r="R1084" s="15"/>
    </row>
    <row r="1085" spans="1:18" x14ac:dyDescent="0.25">
      <c r="A1085" s="15"/>
      <c r="R1085" s="15"/>
    </row>
    <row r="1086" spans="1:18" x14ac:dyDescent="0.25">
      <c r="A1086" s="15"/>
      <c r="R1086" s="15"/>
    </row>
    <row r="1087" spans="1:18" x14ac:dyDescent="0.25">
      <c r="A1087" s="15"/>
      <c r="R1087" s="15"/>
    </row>
    <row r="1088" spans="1:18" x14ac:dyDescent="0.25">
      <c r="A1088" s="15"/>
      <c r="R1088" s="15"/>
    </row>
    <row r="1089" spans="1:18" x14ac:dyDescent="0.25">
      <c r="A1089" s="15"/>
      <c r="R1089" s="15"/>
    </row>
    <row r="1090" spans="1:18" x14ac:dyDescent="0.25">
      <c r="A1090" s="15"/>
      <c r="R1090" s="15"/>
    </row>
    <row r="1091" spans="1:18" x14ac:dyDescent="0.25">
      <c r="A1091" s="15"/>
      <c r="R1091" s="15"/>
    </row>
    <row r="1092" spans="1:18" x14ac:dyDescent="0.25">
      <c r="A1092" s="15"/>
      <c r="R1092" s="15"/>
    </row>
    <row r="1093" spans="1:18" x14ac:dyDescent="0.25">
      <c r="A1093" s="15"/>
      <c r="R1093" s="15"/>
    </row>
    <row r="1094" spans="1:18" x14ac:dyDescent="0.25">
      <c r="A1094" s="15"/>
      <c r="R1094" s="15"/>
    </row>
    <row r="1095" spans="1:18" x14ac:dyDescent="0.25">
      <c r="A1095" s="15"/>
      <c r="R1095" s="15"/>
    </row>
    <row r="1096" spans="1:18" x14ac:dyDescent="0.25">
      <c r="A1096" s="15"/>
      <c r="R1096" s="15"/>
    </row>
    <row r="1097" spans="1:18" x14ac:dyDescent="0.25">
      <c r="A1097" s="15"/>
      <c r="R1097" s="15"/>
    </row>
    <row r="1098" spans="1:18" x14ac:dyDescent="0.25">
      <c r="A1098" s="15"/>
      <c r="R1098" s="15"/>
    </row>
    <row r="1099" spans="1:18" x14ac:dyDescent="0.25">
      <c r="A1099" s="15"/>
      <c r="R1099" s="15"/>
    </row>
    <row r="1100" spans="1:18" x14ac:dyDescent="0.25">
      <c r="A1100" s="15"/>
      <c r="R1100" s="15"/>
    </row>
    <row r="1101" spans="1:18" x14ac:dyDescent="0.25">
      <c r="A1101" s="15"/>
      <c r="R1101" s="15"/>
    </row>
    <row r="1102" spans="1:18" x14ac:dyDescent="0.25">
      <c r="A1102" s="15"/>
      <c r="R1102" s="15"/>
    </row>
    <row r="1103" spans="1:18" x14ac:dyDescent="0.25">
      <c r="A1103" s="15"/>
      <c r="R1103" s="15"/>
    </row>
    <row r="1104" spans="1:18" x14ac:dyDescent="0.25">
      <c r="A1104" s="15"/>
      <c r="R1104" s="15"/>
    </row>
    <row r="1105" spans="1:18" x14ac:dyDescent="0.25">
      <c r="A1105" s="15"/>
      <c r="R1105" s="15"/>
    </row>
    <row r="1106" spans="1:18" x14ac:dyDescent="0.25">
      <c r="A1106" s="15"/>
      <c r="R1106" s="15"/>
    </row>
    <row r="1107" spans="1:18" x14ac:dyDescent="0.25">
      <c r="A1107" s="15"/>
      <c r="R1107" s="15"/>
    </row>
    <row r="1108" spans="1:18" x14ac:dyDescent="0.25">
      <c r="A1108" s="15"/>
      <c r="R1108" s="15"/>
    </row>
    <row r="1109" spans="1:18" x14ac:dyDescent="0.25">
      <c r="A1109" s="15"/>
      <c r="R1109" s="15"/>
    </row>
    <row r="1110" spans="1:18" x14ac:dyDescent="0.25">
      <c r="A1110" s="15"/>
      <c r="R1110" s="15"/>
    </row>
    <row r="1111" spans="1:18" x14ac:dyDescent="0.25">
      <c r="A1111" s="15"/>
      <c r="R1111" s="15"/>
    </row>
    <row r="1112" spans="1:18" x14ac:dyDescent="0.25">
      <c r="A1112" s="15"/>
      <c r="R1112" s="15"/>
    </row>
    <row r="1113" spans="1:18" x14ac:dyDescent="0.25">
      <c r="A1113" s="15"/>
      <c r="R1113" s="15"/>
    </row>
    <row r="1114" spans="1:18" x14ac:dyDescent="0.25">
      <c r="A1114" s="15"/>
      <c r="R1114" s="15"/>
    </row>
    <row r="1115" spans="1:18" x14ac:dyDescent="0.25">
      <c r="A1115" s="15"/>
      <c r="R1115" s="15"/>
    </row>
    <row r="1116" spans="1:18" x14ac:dyDescent="0.25">
      <c r="A1116" s="15"/>
      <c r="R1116" s="15"/>
    </row>
    <row r="1117" spans="1:18" x14ac:dyDescent="0.25">
      <c r="A1117" s="15"/>
      <c r="R1117" s="15"/>
    </row>
    <row r="1118" spans="1:18" x14ac:dyDescent="0.25">
      <c r="A1118" s="15"/>
      <c r="R1118" s="15"/>
    </row>
    <row r="1119" spans="1:18" x14ac:dyDescent="0.25">
      <c r="A1119" s="15"/>
      <c r="R1119" s="15"/>
    </row>
    <row r="1120" spans="1:18" x14ac:dyDescent="0.25">
      <c r="A1120" s="15"/>
      <c r="R1120" s="15"/>
    </row>
    <row r="1121" spans="1:18" x14ac:dyDescent="0.25">
      <c r="A1121" s="15"/>
      <c r="R1121" s="15"/>
    </row>
    <row r="1122" spans="1:18" x14ac:dyDescent="0.25">
      <c r="A1122" s="15"/>
      <c r="R1122" s="15"/>
    </row>
    <row r="1123" spans="1:18" x14ac:dyDescent="0.25">
      <c r="A1123" s="15"/>
      <c r="R1123" s="15"/>
    </row>
    <row r="1124" spans="1:18" x14ac:dyDescent="0.25">
      <c r="A1124" s="15"/>
      <c r="R1124" s="15"/>
    </row>
    <row r="1125" spans="1:18" x14ac:dyDescent="0.25">
      <c r="A1125" s="15"/>
      <c r="R1125" s="15"/>
    </row>
    <row r="1126" spans="1:18" x14ac:dyDescent="0.25">
      <c r="A1126" s="15"/>
      <c r="R1126" s="15"/>
    </row>
    <row r="1127" spans="1:18" x14ac:dyDescent="0.25">
      <c r="A1127" s="15"/>
      <c r="R1127" s="15"/>
    </row>
    <row r="1128" spans="1:18" x14ac:dyDescent="0.25">
      <c r="A1128" s="15"/>
      <c r="R1128" s="15"/>
    </row>
    <row r="1129" spans="1:18" x14ac:dyDescent="0.25">
      <c r="A1129" s="15"/>
      <c r="R1129" s="15"/>
    </row>
    <row r="1130" spans="1:18" x14ac:dyDescent="0.25">
      <c r="A1130" s="15"/>
      <c r="R1130" s="15"/>
    </row>
    <row r="1131" spans="1:18" x14ac:dyDescent="0.25">
      <c r="A1131" s="15"/>
      <c r="R1131" s="15"/>
    </row>
    <row r="1132" spans="1:18" x14ac:dyDescent="0.25">
      <c r="A1132" s="15"/>
      <c r="R1132" s="15"/>
    </row>
    <row r="1133" spans="1:18" x14ac:dyDescent="0.25">
      <c r="A1133" s="15"/>
      <c r="R1133" s="15"/>
    </row>
    <row r="1134" spans="1:18" x14ac:dyDescent="0.25">
      <c r="A1134" s="15"/>
      <c r="R1134" s="15"/>
    </row>
    <row r="1135" spans="1:18" x14ac:dyDescent="0.25">
      <c r="A1135" s="15"/>
      <c r="R1135" s="15"/>
    </row>
    <row r="1136" spans="1:18" x14ac:dyDescent="0.25">
      <c r="A1136" s="15"/>
      <c r="R1136" s="15"/>
    </row>
    <row r="1137" spans="1:18" x14ac:dyDescent="0.25">
      <c r="A1137" s="15"/>
      <c r="R1137" s="15"/>
    </row>
    <row r="1138" spans="1:18" x14ac:dyDescent="0.25">
      <c r="A1138" s="15"/>
      <c r="R1138" s="15"/>
    </row>
    <row r="1139" spans="1:18" x14ac:dyDescent="0.25">
      <c r="A1139" s="15"/>
      <c r="R1139" s="15"/>
    </row>
    <row r="1140" spans="1:18" x14ac:dyDescent="0.25">
      <c r="A1140" s="15"/>
      <c r="R1140" s="15"/>
    </row>
    <row r="1141" spans="1:18" x14ac:dyDescent="0.25">
      <c r="A1141" s="15"/>
      <c r="R1141" s="15"/>
    </row>
    <row r="1142" spans="1:18" x14ac:dyDescent="0.25">
      <c r="A1142" s="15"/>
      <c r="R1142" s="15"/>
    </row>
    <row r="1143" spans="1:18" x14ac:dyDescent="0.25">
      <c r="A1143" s="15"/>
      <c r="R1143" s="15"/>
    </row>
    <row r="1144" spans="1:18" x14ac:dyDescent="0.25">
      <c r="A1144" s="15"/>
      <c r="R1144" s="15"/>
    </row>
    <row r="1145" spans="1:18" x14ac:dyDescent="0.25">
      <c r="A1145" s="15"/>
      <c r="R1145" s="15"/>
    </row>
    <row r="1146" spans="1:18" x14ac:dyDescent="0.25">
      <c r="A1146" s="15"/>
      <c r="R1146" s="15"/>
    </row>
    <row r="1147" spans="1:18" x14ac:dyDescent="0.25">
      <c r="A1147" s="15"/>
      <c r="R1147" s="15"/>
    </row>
    <row r="1148" spans="1:18" x14ac:dyDescent="0.25">
      <c r="A1148" s="15"/>
      <c r="R1148" s="15"/>
    </row>
    <row r="1149" spans="1:18" x14ac:dyDescent="0.25">
      <c r="A1149" s="15"/>
      <c r="R1149" s="15"/>
    </row>
    <row r="1150" spans="1:18" x14ac:dyDescent="0.25">
      <c r="A1150" s="15"/>
      <c r="R1150" s="15"/>
    </row>
    <row r="1151" spans="1:18" x14ac:dyDescent="0.25">
      <c r="A1151" s="15"/>
      <c r="R1151" s="15"/>
    </row>
    <row r="1152" spans="1:18" x14ac:dyDescent="0.25">
      <c r="A1152" s="15"/>
      <c r="R1152" s="15"/>
    </row>
    <row r="1153" spans="1:18" x14ac:dyDescent="0.25">
      <c r="A1153" s="15"/>
      <c r="R1153" s="15"/>
    </row>
    <row r="1154" spans="1:18" x14ac:dyDescent="0.25">
      <c r="A1154" s="15"/>
      <c r="R1154" s="15"/>
    </row>
    <row r="1155" spans="1:18" x14ac:dyDescent="0.25">
      <c r="A1155" s="15"/>
      <c r="R1155" s="15"/>
    </row>
    <row r="1156" spans="1:18" x14ac:dyDescent="0.25">
      <c r="A1156" s="15"/>
      <c r="R1156" s="15"/>
    </row>
    <row r="1157" spans="1:18" x14ac:dyDescent="0.25">
      <c r="A1157" s="15"/>
      <c r="R1157" s="15"/>
    </row>
    <row r="1158" spans="1:18" x14ac:dyDescent="0.25">
      <c r="A1158" s="15"/>
      <c r="R1158" s="15"/>
    </row>
    <row r="1159" spans="1:18" x14ac:dyDescent="0.25">
      <c r="A1159" s="15"/>
      <c r="R1159" s="15"/>
    </row>
    <row r="1160" spans="1:18" x14ac:dyDescent="0.25">
      <c r="A1160" s="15"/>
      <c r="R1160" s="15"/>
    </row>
    <row r="1161" spans="1:18" x14ac:dyDescent="0.25">
      <c r="A1161" s="15"/>
      <c r="R1161" s="15"/>
    </row>
    <row r="1162" spans="1:18" x14ac:dyDescent="0.25">
      <c r="A1162" s="15"/>
      <c r="R1162" s="15"/>
    </row>
    <row r="1163" spans="1:18" x14ac:dyDescent="0.25">
      <c r="A1163" s="15"/>
      <c r="R1163" s="15"/>
    </row>
    <row r="1164" spans="1:18" x14ac:dyDescent="0.25">
      <c r="A1164" s="15"/>
      <c r="R1164" s="15"/>
    </row>
    <row r="1165" spans="1:18" x14ac:dyDescent="0.25">
      <c r="A1165" s="15"/>
      <c r="R1165" s="15"/>
    </row>
    <row r="1166" spans="1:18" x14ac:dyDescent="0.25">
      <c r="A1166" s="15"/>
      <c r="R1166" s="15"/>
    </row>
    <row r="1167" spans="1:18" x14ac:dyDescent="0.25">
      <c r="A1167" s="15"/>
      <c r="R1167" s="15"/>
    </row>
    <row r="1168" spans="1:18" x14ac:dyDescent="0.25">
      <c r="A1168" s="15"/>
      <c r="R1168" s="15"/>
    </row>
    <row r="1169" spans="1:18" x14ac:dyDescent="0.25">
      <c r="A1169" s="15"/>
      <c r="R1169" s="15"/>
    </row>
    <row r="1170" spans="1:18" x14ac:dyDescent="0.25">
      <c r="A1170" s="15"/>
      <c r="R1170" s="15"/>
    </row>
    <row r="1171" spans="1:18" x14ac:dyDescent="0.25">
      <c r="A1171" s="15"/>
      <c r="R1171" s="15"/>
    </row>
    <row r="1172" spans="1:18" x14ac:dyDescent="0.25">
      <c r="A1172" s="15"/>
      <c r="R1172" s="15"/>
    </row>
    <row r="1173" spans="1:18" x14ac:dyDescent="0.25">
      <c r="A1173" s="15"/>
      <c r="R1173" s="15"/>
    </row>
    <row r="1174" spans="1:18" x14ac:dyDescent="0.25">
      <c r="A1174" s="15"/>
      <c r="R1174" s="15"/>
    </row>
    <row r="1175" spans="1:18" x14ac:dyDescent="0.25">
      <c r="A1175" s="15"/>
      <c r="R1175" s="15"/>
    </row>
    <row r="1176" spans="1:18" x14ac:dyDescent="0.25">
      <c r="A1176" s="15"/>
      <c r="R1176" s="15"/>
    </row>
    <row r="1177" spans="1:18" x14ac:dyDescent="0.25">
      <c r="A1177" s="15"/>
      <c r="R1177" s="15"/>
    </row>
    <row r="1178" spans="1:18" x14ac:dyDescent="0.25">
      <c r="A1178" s="15"/>
      <c r="R1178" s="15"/>
    </row>
    <row r="1179" spans="1:18" x14ac:dyDescent="0.25">
      <c r="A1179" s="15"/>
      <c r="R1179" s="15"/>
    </row>
    <row r="1180" spans="1:18" x14ac:dyDescent="0.25">
      <c r="A1180" s="15"/>
      <c r="R1180" s="15"/>
    </row>
    <row r="1181" spans="1:18" x14ac:dyDescent="0.25">
      <c r="A1181" s="15"/>
      <c r="R1181" s="15"/>
    </row>
    <row r="1182" spans="1:18" x14ac:dyDescent="0.25">
      <c r="A1182" s="15"/>
      <c r="R1182" s="15"/>
    </row>
    <row r="1183" spans="1:18" x14ac:dyDescent="0.25">
      <c r="A1183" s="15"/>
      <c r="R1183" s="15"/>
    </row>
    <row r="1184" spans="1:18" x14ac:dyDescent="0.25">
      <c r="A1184" s="15"/>
      <c r="R1184" s="15"/>
    </row>
    <row r="1185" spans="1:18" x14ac:dyDescent="0.25">
      <c r="A1185" s="15"/>
      <c r="R1185" s="15"/>
    </row>
    <row r="1186" spans="1:18" x14ac:dyDescent="0.25">
      <c r="A1186" s="15"/>
      <c r="R1186" s="15"/>
    </row>
    <row r="1187" spans="1:18" x14ac:dyDescent="0.25">
      <c r="A1187" s="15"/>
      <c r="R1187" s="15"/>
    </row>
    <row r="1188" spans="1:18" x14ac:dyDescent="0.25">
      <c r="A1188" s="15"/>
      <c r="R1188" s="15"/>
    </row>
    <row r="1189" spans="1:18" x14ac:dyDescent="0.25">
      <c r="A1189" s="15"/>
      <c r="R1189" s="15"/>
    </row>
    <row r="1190" spans="1:18" x14ac:dyDescent="0.25">
      <c r="A1190" s="15"/>
      <c r="R1190" s="15"/>
    </row>
    <row r="1191" spans="1:18" x14ac:dyDescent="0.25">
      <c r="A1191" s="15"/>
      <c r="R1191" s="15"/>
    </row>
    <row r="1192" spans="1:18" x14ac:dyDescent="0.25">
      <c r="A1192" s="15"/>
      <c r="R1192" s="15"/>
    </row>
    <row r="1193" spans="1:18" x14ac:dyDescent="0.25">
      <c r="A1193" s="15"/>
      <c r="R1193" s="15"/>
    </row>
    <row r="1194" spans="1:18" x14ac:dyDescent="0.25">
      <c r="A1194" s="15"/>
      <c r="R1194" s="15"/>
    </row>
    <row r="1195" spans="1:18" x14ac:dyDescent="0.25">
      <c r="A1195" s="15"/>
      <c r="R1195" s="15"/>
    </row>
    <row r="1196" spans="1:18" x14ac:dyDescent="0.25">
      <c r="A1196" s="15"/>
      <c r="R1196" s="15"/>
    </row>
    <row r="1197" spans="1:18" x14ac:dyDescent="0.25">
      <c r="A1197" s="15"/>
      <c r="R1197" s="15"/>
    </row>
    <row r="1198" spans="1:18" x14ac:dyDescent="0.25">
      <c r="A1198" s="15"/>
      <c r="R1198" s="15"/>
    </row>
    <row r="1199" spans="1:18" x14ac:dyDescent="0.25">
      <c r="A1199" s="15"/>
      <c r="R1199" s="15"/>
    </row>
    <row r="1200" spans="1:18" x14ac:dyDescent="0.25">
      <c r="A1200" s="15"/>
      <c r="R1200" s="15"/>
    </row>
    <row r="1201" spans="1:18" x14ac:dyDescent="0.25">
      <c r="A1201" s="15"/>
      <c r="R1201" s="15"/>
    </row>
    <row r="1202" spans="1:18" x14ac:dyDescent="0.25">
      <c r="A1202" s="15"/>
      <c r="R1202" s="15"/>
    </row>
    <row r="1203" spans="1:18" x14ac:dyDescent="0.25">
      <c r="A1203" s="15"/>
      <c r="R1203" s="15"/>
    </row>
    <row r="1204" spans="1:18" x14ac:dyDescent="0.25">
      <c r="A1204" s="15"/>
      <c r="R1204" s="15"/>
    </row>
    <row r="1205" spans="1:18" x14ac:dyDescent="0.25">
      <c r="A1205" s="15"/>
      <c r="R1205" s="15"/>
    </row>
    <row r="1206" spans="1:18" x14ac:dyDescent="0.25">
      <c r="A1206" s="15"/>
      <c r="R1206" s="15"/>
    </row>
    <row r="1207" spans="1:18" x14ac:dyDescent="0.25">
      <c r="A1207" s="15"/>
      <c r="R1207" s="15"/>
    </row>
    <row r="1208" spans="1:18" x14ac:dyDescent="0.25">
      <c r="A1208" s="15"/>
      <c r="R1208" s="15"/>
    </row>
    <row r="1209" spans="1:18" x14ac:dyDescent="0.25">
      <c r="A1209" s="15"/>
      <c r="R1209" s="15"/>
    </row>
    <row r="1210" spans="1:18" x14ac:dyDescent="0.25">
      <c r="A1210" s="15"/>
      <c r="R1210" s="15"/>
    </row>
    <row r="1211" spans="1:18" x14ac:dyDescent="0.25">
      <c r="A1211" s="15"/>
      <c r="R1211" s="15"/>
    </row>
    <row r="1212" spans="1:18" x14ac:dyDescent="0.25">
      <c r="A1212" s="15"/>
      <c r="R1212" s="15"/>
    </row>
    <row r="1213" spans="1:18" x14ac:dyDescent="0.25">
      <c r="A1213" s="15"/>
      <c r="R1213" s="15"/>
    </row>
    <row r="1214" spans="1:18" x14ac:dyDescent="0.25">
      <c r="A1214" s="15"/>
      <c r="R1214" s="15"/>
    </row>
    <row r="1215" spans="1:18" x14ac:dyDescent="0.25">
      <c r="A1215" s="15"/>
      <c r="R1215" s="15"/>
    </row>
    <row r="1216" spans="1:18" x14ac:dyDescent="0.25">
      <c r="A1216" s="15"/>
      <c r="R1216" s="15"/>
    </row>
    <row r="1217" spans="1:18" x14ac:dyDescent="0.25">
      <c r="A1217" s="15"/>
      <c r="R1217" s="15"/>
    </row>
    <row r="1218" spans="1:18" x14ac:dyDescent="0.25">
      <c r="A1218" s="15"/>
      <c r="R1218" s="15"/>
    </row>
    <row r="1219" spans="1:18" x14ac:dyDescent="0.25">
      <c r="A1219" s="15"/>
      <c r="R1219" s="15"/>
    </row>
    <row r="1220" spans="1:18" x14ac:dyDescent="0.25">
      <c r="A1220" s="15"/>
      <c r="R1220" s="15"/>
    </row>
    <row r="1221" spans="1:18" x14ac:dyDescent="0.25">
      <c r="A1221" s="15"/>
      <c r="R1221" s="15"/>
    </row>
    <row r="1222" spans="1:18" x14ac:dyDescent="0.25">
      <c r="A1222" s="15"/>
      <c r="R1222" s="15"/>
    </row>
    <row r="1223" spans="1:18" x14ac:dyDescent="0.25">
      <c r="A1223" s="15"/>
      <c r="R1223" s="15"/>
    </row>
    <row r="1224" spans="1:18" x14ac:dyDescent="0.25">
      <c r="A1224" s="15"/>
      <c r="R1224" s="15"/>
    </row>
    <row r="1225" spans="1:18" x14ac:dyDescent="0.25">
      <c r="A1225" s="15"/>
      <c r="R1225" s="15"/>
    </row>
    <row r="1226" spans="1:18" x14ac:dyDescent="0.25">
      <c r="A1226" s="15"/>
      <c r="R1226" s="15"/>
    </row>
    <row r="1227" spans="1:18" x14ac:dyDescent="0.25">
      <c r="A1227" s="15"/>
      <c r="R1227" s="15"/>
    </row>
    <row r="1228" spans="1:18" x14ac:dyDescent="0.25">
      <c r="A1228" s="15"/>
      <c r="R1228" s="15"/>
    </row>
    <row r="1229" spans="1:18" x14ac:dyDescent="0.25">
      <c r="A1229" s="15"/>
      <c r="R1229" s="15"/>
    </row>
    <row r="1230" spans="1:18" x14ac:dyDescent="0.25">
      <c r="A1230" s="15"/>
      <c r="R1230" s="15"/>
    </row>
    <row r="1231" spans="1:18" x14ac:dyDescent="0.25">
      <c r="A1231" s="15"/>
      <c r="R1231" s="15"/>
    </row>
    <row r="1232" spans="1:18" x14ac:dyDescent="0.25">
      <c r="A1232" s="15"/>
      <c r="R1232" s="15"/>
    </row>
    <row r="1233" spans="1:18" x14ac:dyDescent="0.25">
      <c r="A1233" s="15"/>
      <c r="R1233" s="15"/>
    </row>
    <row r="1234" spans="1:18" x14ac:dyDescent="0.25">
      <c r="A1234" s="15"/>
      <c r="R1234" s="15"/>
    </row>
    <row r="1235" spans="1:18" x14ac:dyDescent="0.25">
      <c r="A1235" s="15"/>
      <c r="R1235" s="15"/>
    </row>
    <row r="1236" spans="1:18" x14ac:dyDescent="0.25">
      <c r="A1236" s="15"/>
      <c r="R1236" s="15"/>
    </row>
    <row r="1237" spans="1:18" x14ac:dyDescent="0.25">
      <c r="A1237" s="15"/>
      <c r="R1237" s="15"/>
    </row>
    <row r="1238" spans="1:18" x14ac:dyDescent="0.25">
      <c r="A1238" s="15"/>
      <c r="R1238" s="15"/>
    </row>
    <row r="1239" spans="1:18" x14ac:dyDescent="0.25">
      <c r="A1239" s="15"/>
      <c r="R1239" s="15"/>
    </row>
    <row r="1240" spans="1:18" x14ac:dyDescent="0.25">
      <c r="A1240" s="15"/>
      <c r="R1240" s="15"/>
    </row>
    <row r="1241" spans="1:18" x14ac:dyDescent="0.25">
      <c r="A1241" s="15"/>
      <c r="R1241" s="15"/>
    </row>
    <row r="1242" spans="1:18" x14ac:dyDescent="0.25">
      <c r="A1242" s="15"/>
      <c r="R1242" s="15"/>
    </row>
    <row r="1243" spans="1:18" x14ac:dyDescent="0.25">
      <c r="A1243" s="15"/>
      <c r="R1243" s="15"/>
    </row>
    <row r="1244" spans="1:18" x14ac:dyDescent="0.25">
      <c r="A1244" s="15"/>
      <c r="R1244" s="15"/>
    </row>
    <row r="1245" spans="1:18" x14ac:dyDescent="0.25">
      <c r="A1245" s="15"/>
      <c r="R1245" s="15"/>
    </row>
    <row r="1246" spans="1:18" x14ac:dyDescent="0.25">
      <c r="A1246" s="15"/>
      <c r="R1246" s="15"/>
    </row>
    <row r="1247" spans="1:18" x14ac:dyDescent="0.25">
      <c r="A1247" s="15"/>
      <c r="R1247" s="15"/>
    </row>
    <row r="1248" spans="1:18" x14ac:dyDescent="0.25">
      <c r="A1248" s="15"/>
      <c r="R1248" s="15"/>
    </row>
    <row r="1249" spans="1:18" x14ac:dyDescent="0.25">
      <c r="A1249" s="15"/>
      <c r="R1249" s="15"/>
    </row>
    <row r="1250" spans="1:18" x14ac:dyDescent="0.25">
      <c r="A1250" s="15"/>
      <c r="R1250" s="15"/>
    </row>
    <row r="1251" spans="1:18" x14ac:dyDescent="0.25">
      <c r="A1251" s="15"/>
      <c r="R1251" s="15"/>
    </row>
    <row r="1252" spans="1:18" x14ac:dyDescent="0.25">
      <c r="A1252" s="15"/>
      <c r="R1252" s="15"/>
    </row>
    <row r="1253" spans="1:18" x14ac:dyDescent="0.25">
      <c r="A1253" s="15"/>
      <c r="R1253" s="15"/>
    </row>
    <row r="1254" spans="1:18" x14ac:dyDescent="0.25">
      <c r="A1254" s="15"/>
      <c r="R1254" s="15"/>
    </row>
    <row r="1255" spans="1:18" x14ac:dyDescent="0.25">
      <c r="A1255" s="15"/>
      <c r="R1255" s="15"/>
    </row>
    <row r="1256" spans="1:18" x14ac:dyDescent="0.25">
      <c r="A1256" s="15"/>
      <c r="R1256" s="15"/>
    </row>
    <row r="1257" spans="1:18" x14ac:dyDescent="0.25">
      <c r="A1257" s="15"/>
      <c r="R1257" s="15"/>
    </row>
    <row r="1258" spans="1:18" x14ac:dyDescent="0.25">
      <c r="A1258" s="15"/>
      <c r="R1258" s="15"/>
    </row>
    <row r="1259" spans="1:18" x14ac:dyDescent="0.25">
      <c r="A1259" s="15"/>
      <c r="R1259" s="15"/>
    </row>
    <row r="1260" spans="1:18" x14ac:dyDescent="0.25">
      <c r="A1260" s="15"/>
      <c r="R1260" s="15"/>
    </row>
    <row r="1261" spans="1:18" x14ac:dyDescent="0.25">
      <c r="A1261" s="15"/>
      <c r="R1261" s="15"/>
    </row>
    <row r="1262" spans="1:18" x14ac:dyDescent="0.25">
      <c r="A1262" s="15"/>
      <c r="R1262" s="15"/>
    </row>
    <row r="1263" spans="1:18" x14ac:dyDescent="0.25">
      <c r="A1263" s="15"/>
      <c r="R1263" s="15"/>
    </row>
    <row r="1264" spans="1:18" x14ac:dyDescent="0.25">
      <c r="A1264" s="15"/>
      <c r="R1264" s="15"/>
    </row>
    <row r="1265" spans="1:18" x14ac:dyDescent="0.25">
      <c r="A1265" s="15"/>
      <c r="R1265" s="15"/>
    </row>
    <row r="1266" spans="1:18" x14ac:dyDescent="0.25">
      <c r="A1266" s="15"/>
      <c r="R1266" s="15"/>
    </row>
    <row r="1267" spans="1:18" x14ac:dyDescent="0.25">
      <c r="A1267" s="15"/>
      <c r="R1267" s="15"/>
    </row>
    <row r="1268" spans="1:18" x14ac:dyDescent="0.25">
      <c r="A1268" s="15"/>
      <c r="R1268" s="15"/>
    </row>
    <row r="1269" spans="1:18" x14ac:dyDescent="0.25">
      <c r="A1269" s="15"/>
      <c r="R1269" s="15"/>
    </row>
    <row r="1270" spans="1:18" x14ac:dyDescent="0.25">
      <c r="A1270" s="15"/>
      <c r="R1270" s="15"/>
    </row>
    <row r="1271" spans="1:18" x14ac:dyDescent="0.25">
      <c r="A1271" s="15"/>
      <c r="R1271" s="15"/>
    </row>
    <row r="1272" spans="1:18" x14ac:dyDescent="0.25">
      <c r="A1272" s="15"/>
      <c r="R1272" s="15"/>
    </row>
    <row r="1273" spans="1:18" x14ac:dyDescent="0.25">
      <c r="A1273" s="15"/>
      <c r="R1273" s="15"/>
    </row>
    <row r="1274" spans="1:18" x14ac:dyDescent="0.25">
      <c r="A1274" s="15"/>
      <c r="R1274" s="15"/>
    </row>
    <row r="1275" spans="1:18" x14ac:dyDescent="0.25">
      <c r="A1275" s="15"/>
      <c r="R1275" s="15"/>
    </row>
    <row r="1276" spans="1:18" x14ac:dyDescent="0.25">
      <c r="A1276" s="15"/>
      <c r="R1276" s="15"/>
    </row>
    <row r="1277" spans="1:18" x14ac:dyDescent="0.25">
      <c r="A1277" s="15"/>
      <c r="R1277" s="15"/>
    </row>
    <row r="1278" spans="1:18" x14ac:dyDescent="0.25">
      <c r="A1278" s="15"/>
      <c r="R1278" s="15"/>
    </row>
    <row r="1279" spans="1:18" x14ac:dyDescent="0.25">
      <c r="A1279" s="15"/>
      <c r="R1279" s="15"/>
    </row>
    <row r="1280" spans="1:18" x14ac:dyDescent="0.25">
      <c r="A1280" s="15"/>
      <c r="R1280" s="15"/>
    </row>
    <row r="1281" spans="1:18" x14ac:dyDescent="0.25">
      <c r="A1281" s="15"/>
      <c r="R1281" s="15"/>
    </row>
    <row r="1282" spans="1:18" x14ac:dyDescent="0.25">
      <c r="A1282" s="15"/>
      <c r="R1282" s="15"/>
    </row>
    <row r="1283" spans="1:18" x14ac:dyDescent="0.25">
      <c r="A1283" s="15"/>
      <c r="R1283" s="15"/>
    </row>
    <row r="1284" spans="1:18" x14ac:dyDescent="0.25">
      <c r="A1284" s="15"/>
      <c r="R1284" s="15"/>
    </row>
    <row r="1285" spans="1:18" x14ac:dyDescent="0.25">
      <c r="A1285" s="15"/>
      <c r="R1285" s="15"/>
    </row>
    <row r="1286" spans="1:18" x14ac:dyDescent="0.25">
      <c r="A1286" s="15"/>
      <c r="R1286" s="15"/>
    </row>
    <row r="1287" spans="1:18" x14ac:dyDescent="0.25">
      <c r="A1287" s="15"/>
      <c r="R1287" s="15"/>
    </row>
    <row r="1288" spans="1:18" x14ac:dyDescent="0.25">
      <c r="A1288" s="15"/>
      <c r="R1288" s="15"/>
    </row>
    <row r="1289" spans="1:18" x14ac:dyDescent="0.25">
      <c r="A1289" s="15"/>
      <c r="R1289" s="15"/>
    </row>
    <row r="1290" spans="1:18" x14ac:dyDescent="0.25">
      <c r="A1290" s="15"/>
      <c r="R1290" s="15"/>
    </row>
    <row r="1291" spans="1:18" x14ac:dyDescent="0.25">
      <c r="A1291" s="15"/>
      <c r="R1291" s="15"/>
    </row>
    <row r="1292" spans="1:18" x14ac:dyDescent="0.25">
      <c r="A1292" s="15"/>
      <c r="R1292" s="15"/>
    </row>
    <row r="1293" spans="1:18" x14ac:dyDescent="0.25">
      <c r="A1293" s="15"/>
      <c r="R1293" s="15"/>
    </row>
    <row r="1294" spans="1:18" x14ac:dyDescent="0.25">
      <c r="A1294" s="15"/>
      <c r="R1294" s="15"/>
    </row>
    <row r="1295" spans="1:18" x14ac:dyDescent="0.25">
      <c r="A1295" s="15"/>
      <c r="R1295" s="15"/>
    </row>
    <row r="1296" spans="1:18" x14ac:dyDescent="0.25">
      <c r="A1296" s="15"/>
      <c r="R1296" s="15"/>
    </row>
    <row r="1297" spans="1:18" x14ac:dyDescent="0.25">
      <c r="A1297" s="15"/>
      <c r="R1297" s="15"/>
    </row>
    <row r="1298" spans="1:18" x14ac:dyDescent="0.25">
      <c r="A1298" s="15"/>
      <c r="R1298" s="15"/>
    </row>
    <row r="1299" spans="1:18" x14ac:dyDescent="0.25">
      <c r="A1299" s="15"/>
      <c r="R1299" s="15"/>
    </row>
    <row r="1300" spans="1:18" x14ac:dyDescent="0.25">
      <c r="A1300" s="15"/>
      <c r="R1300" s="15"/>
    </row>
    <row r="1301" spans="1:18" x14ac:dyDescent="0.25">
      <c r="A1301" s="15"/>
      <c r="R1301" s="15"/>
    </row>
    <row r="1302" spans="1:18" x14ac:dyDescent="0.25">
      <c r="A1302" s="15"/>
      <c r="R1302" s="15"/>
    </row>
    <row r="1303" spans="1:18" x14ac:dyDescent="0.25">
      <c r="A1303" s="15"/>
      <c r="R1303" s="15"/>
    </row>
    <row r="1304" spans="1:18" x14ac:dyDescent="0.25">
      <c r="A1304" s="15"/>
      <c r="R1304" s="15"/>
    </row>
    <row r="1305" spans="1:18" x14ac:dyDescent="0.25">
      <c r="A1305" s="15"/>
      <c r="R1305" s="15"/>
    </row>
    <row r="1306" spans="1:18" x14ac:dyDescent="0.25">
      <c r="A1306" s="15"/>
      <c r="R1306" s="15"/>
    </row>
    <row r="1307" spans="1:18" x14ac:dyDescent="0.25">
      <c r="A1307" s="15"/>
      <c r="R1307" s="15"/>
    </row>
    <row r="1308" spans="1:18" x14ac:dyDescent="0.25">
      <c r="A1308" s="15"/>
      <c r="R1308" s="15"/>
    </row>
    <row r="1309" spans="1:18" x14ac:dyDescent="0.25">
      <c r="A1309" s="15"/>
      <c r="R1309" s="15"/>
    </row>
    <row r="1310" spans="1:18" x14ac:dyDescent="0.25">
      <c r="A1310" s="15"/>
      <c r="R1310" s="15"/>
    </row>
    <row r="1311" spans="1:18" x14ac:dyDescent="0.25">
      <c r="A1311" s="15"/>
      <c r="R1311" s="15"/>
    </row>
    <row r="1312" spans="1:18" x14ac:dyDescent="0.25">
      <c r="A1312" s="15"/>
      <c r="R1312" s="15"/>
    </row>
    <row r="1313" spans="1:18" x14ac:dyDescent="0.25">
      <c r="A1313" s="15"/>
      <c r="R1313" s="15"/>
    </row>
    <row r="1314" spans="1:18" x14ac:dyDescent="0.25">
      <c r="A1314" s="15"/>
      <c r="R1314" s="15"/>
    </row>
    <row r="1315" spans="1:18" x14ac:dyDescent="0.25">
      <c r="A1315" s="15"/>
      <c r="R1315" s="15"/>
    </row>
    <row r="1316" spans="1:18" x14ac:dyDescent="0.25">
      <c r="A1316" s="15"/>
      <c r="R1316" s="15"/>
    </row>
    <row r="1317" spans="1:18" x14ac:dyDescent="0.25">
      <c r="A1317" s="15"/>
      <c r="R1317" s="15"/>
    </row>
    <row r="1318" spans="1:18" x14ac:dyDescent="0.25">
      <c r="A1318" s="15"/>
      <c r="R1318" s="15"/>
    </row>
    <row r="1319" spans="1:18" x14ac:dyDescent="0.25">
      <c r="A1319" s="15"/>
      <c r="R1319" s="15"/>
    </row>
    <row r="1320" spans="1:18" x14ac:dyDescent="0.25">
      <c r="A1320" s="15"/>
      <c r="R1320" s="15"/>
    </row>
    <row r="1321" spans="1:18" x14ac:dyDescent="0.25">
      <c r="A1321" s="15"/>
      <c r="R1321" s="15"/>
    </row>
    <row r="1322" spans="1:18" x14ac:dyDescent="0.25">
      <c r="A1322" s="15"/>
      <c r="R1322" s="15"/>
    </row>
    <row r="1323" spans="1:18" x14ac:dyDescent="0.25">
      <c r="A1323" s="15"/>
      <c r="R1323" s="15"/>
    </row>
    <row r="1324" spans="1:18" x14ac:dyDescent="0.25">
      <c r="A1324" s="15"/>
      <c r="R1324" s="15"/>
    </row>
    <row r="1325" spans="1:18" x14ac:dyDescent="0.25">
      <c r="A1325" s="15"/>
      <c r="R1325" s="15"/>
    </row>
    <row r="1326" spans="1:18" x14ac:dyDescent="0.25">
      <c r="A1326" s="15"/>
      <c r="R1326" s="15"/>
    </row>
    <row r="1327" spans="1:18" x14ac:dyDescent="0.25">
      <c r="A1327" s="15"/>
      <c r="R1327" s="15"/>
    </row>
    <row r="1328" spans="1:18" x14ac:dyDescent="0.25">
      <c r="A1328" s="15"/>
      <c r="R1328" s="15"/>
    </row>
    <row r="1329" spans="1:18" x14ac:dyDescent="0.25">
      <c r="A1329" s="15"/>
      <c r="R1329" s="15"/>
    </row>
    <row r="1330" spans="1:18" x14ac:dyDescent="0.25">
      <c r="A1330" s="15"/>
      <c r="R1330" s="15"/>
    </row>
    <row r="1331" spans="1:18" x14ac:dyDescent="0.25">
      <c r="A1331" s="15"/>
      <c r="R1331" s="15"/>
    </row>
    <row r="1332" spans="1:18" x14ac:dyDescent="0.25">
      <c r="A1332" s="15"/>
      <c r="R1332" s="15"/>
    </row>
    <row r="1333" spans="1:18" x14ac:dyDescent="0.25">
      <c r="A1333" s="15"/>
      <c r="R1333" s="15"/>
    </row>
    <row r="1334" spans="1:18" x14ac:dyDescent="0.25">
      <c r="A1334" s="15"/>
      <c r="R1334" s="15"/>
    </row>
    <row r="1335" spans="1:18" x14ac:dyDescent="0.25">
      <c r="A1335" s="15"/>
      <c r="R1335" s="15"/>
    </row>
    <row r="1336" spans="1:18" x14ac:dyDescent="0.25">
      <c r="A1336" s="15"/>
      <c r="R1336" s="15"/>
    </row>
    <row r="1337" spans="1:18" x14ac:dyDescent="0.25">
      <c r="A1337" s="15"/>
      <c r="R1337" s="15"/>
    </row>
    <row r="1338" spans="1:18" x14ac:dyDescent="0.25">
      <c r="A1338" s="15"/>
      <c r="R1338" s="15"/>
    </row>
    <row r="1339" spans="1:18" x14ac:dyDescent="0.25">
      <c r="A1339" s="15"/>
      <c r="R1339" s="15"/>
    </row>
    <row r="1340" spans="1:18" x14ac:dyDescent="0.25">
      <c r="A1340" s="15"/>
      <c r="R1340" s="15"/>
    </row>
    <row r="1341" spans="1:18" x14ac:dyDescent="0.25">
      <c r="A1341" s="15"/>
      <c r="R1341" s="15"/>
    </row>
    <row r="1342" spans="1:18" x14ac:dyDescent="0.25">
      <c r="A1342" s="15"/>
      <c r="R1342" s="15"/>
    </row>
    <row r="1343" spans="1:18" x14ac:dyDescent="0.25">
      <c r="A1343" s="15"/>
      <c r="R1343" s="15"/>
    </row>
    <row r="1344" spans="1:18" x14ac:dyDescent="0.25">
      <c r="A1344" s="15"/>
      <c r="R1344" s="15"/>
    </row>
    <row r="1345" spans="1:18" x14ac:dyDescent="0.25">
      <c r="A1345" s="15"/>
      <c r="R1345" s="15"/>
    </row>
    <row r="1346" spans="1:18" x14ac:dyDescent="0.25">
      <c r="A1346" s="15"/>
      <c r="R1346" s="15"/>
    </row>
    <row r="1347" spans="1:18" x14ac:dyDescent="0.25">
      <c r="A1347" s="15"/>
      <c r="R1347" s="15"/>
    </row>
    <row r="1348" spans="1:18" x14ac:dyDescent="0.25">
      <c r="A1348" s="15"/>
      <c r="R1348" s="15"/>
    </row>
    <row r="1349" spans="1:18" x14ac:dyDescent="0.25">
      <c r="A1349" s="15"/>
      <c r="R1349" s="15"/>
    </row>
    <row r="1350" spans="1:18" x14ac:dyDescent="0.25">
      <c r="A1350" s="15"/>
      <c r="R1350" s="15"/>
    </row>
    <row r="1351" spans="1:18" x14ac:dyDescent="0.25">
      <c r="A1351" s="15"/>
      <c r="R1351" s="15"/>
    </row>
    <row r="1352" spans="1:18" x14ac:dyDescent="0.25">
      <c r="A1352" s="15"/>
      <c r="R1352" s="15"/>
    </row>
    <row r="1353" spans="1:18" x14ac:dyDescent="0.25">
      <c r="A1353" s="15"/>
      <c r="R1353" s="15"/>
    </row>
    <row r="1354" spans="1:18" x14ac:dyDescent="0.25">
      <c r="A1354" s="15"/>
      <c r="R1354" s="15"/>
    </row>
    <row r="1355" spans="1:18" x14ac:dyDescent="0.25">
      <c r="A1355" s="15"/>
      <c r="R1355" s="15"/>
    </row>
    <row r="1356" spans="1:18" x14ac:dyDescent="0.25">
      <c r="A1356" s="15"/>
      <c r="R1356" s="15"/>
    </row>
    <row r="1357" spans="1:18" x14ac:dyDescent="0.25">
      <c r="A1357" s="15"/>
      <c r="R1357" s="15"/>
    </row>
    <row r="1358" spans="1:18" x14ac:dyDescent="0.25">
      <c r="A1358" s="15"/>
      <c r="R1358" s="15"/>
    </row>
    <row r="1359" spans="1:18" x14ac:dyDescent="0.25">
      <c r="A1359" s="15"/>
      <c r="R1359" s="15"/>
    </row>
    <row r="1360" spans="1:18" x14ac:dyDescent="0.25">
      <c r="A1360" s="15"/>
      <c r="R1360" s="15"/>
    </row>
    <row r="1361" spans="1:18" x14ac:dyDescent="0.25">
      <c r="A1361" s="15"/>
      <c r="R1361" s="15"/>
    </row>
    <row r="1362" spans="1:18" x14ac:dyDescent="0.25">
      <c r="A1362" s="15"/>
      <c r="R1362" s="15"/>
    </row>
    <row r="1363" spans="1:18" x14ac:dyDescent="0.25">
      <c r="A1363" s="15"/>
      <c r="R1363" s="15"/>
    </row>
    <row r="1364" spans="1:18" x14ac:dyDescent="0.25">
      <c r="A1364" s="15"/>
      <c r="R1364" s="15"/>
    </row>
    <row r="1365" spans="1:18" x14ac:dyDescent="0.25">
      <c r="A1365" s="15"/>
      <c r="R1365" s="15"/>
    </row>
    <row r="1366" spans="1:18" x14ac:dyDescent="0.25">
      <c r="A1366" s="15"/>
      <c r="R1366" s="15"/>
    </row>
    <row r="1367" spans="1:18" x14ac:dyDescent="0.25">
      <c r="A1367" s="15"/>
      <c r="R1367" s="15"/>
    </row>
    <row r="1368" spans="1:18" x14ac:dyDescent="0.25">
      <c r="A1368" s="15"/>
      <c r="R1368" s="15"/>
    </row>
    <row r="1369" spans="1:18" x14ac:dyDescent="0.25">
      <c r="A1369" s="15"/>
      <c r="R1369" s="15"/>
    </row>
    <row r="1370" spans="1:18" x14ac:dyDescent="0.25">
      <c r="A1370" s="15"/>
      <c r="R1370" s="15"/>
    </row>
    <row r="1371" spans="1:18" x14ac:dyDescent="0.25">
      <c r="A1371" s="15"/>
      <c r="R1371" s="15"/>
    </row>
    <row r="1372" spans="1:18" x14ac:dyDescent="0.25">
      <c r="A1372" s="15"/>
      <c r="R1372" s="15"/>
    </row>
    <row r="1373" spans="1:18" x14ac:dyDescent="0.25">
      <c r="A1373" s="15"/>
      <c r="R1373" s="15"/>
    </row>
    <row r="1374" spans="1:18" x14ac:dyDescent="0.25">
      <c r="A1374" s="15"/>
      <c r="R1374" s="15"/>
    </row>
    <row r="1375" spans="1:18" x14ac:dyDescent="0.25">
      <c r="A1375" s="15"/>
      <c r="R1375" s="15"/>
    </row>
    <row r="1376" spans="1:18" x14ac:dyDescent="0.25">
      <c r="A1376" s="15"/>
      <c r="R1376" s="15"/>
    </row>
    <row r="1377" spans="1:18" x14ac:dyDescent="0.25">
      <c r="A1377" s="15"/>
      <c r="R1377" s="15"/>
    </row>
    <row r="1378" spans="1:18" x14ac:dyDescent="0.25">
      <c r="A1378" s="15"/>
      <c r="R1378" s="15"/>
    </row>
    <row r="1379" spans="1:18" x14ac:dyDescent="0.25">
      <c r="A1379" s="15"/>
      <c r="R1379" s="15"/>
    </row>
    <row r="1380" spans="1:18" x14ac:dyDescent="0.25">
      <c r="A1380" s="15"/>
      <c r="R1380" s="15"/>
    </row>
    <row r="1381" spans="1:18" x14ac:dyDescent="0.25">
      <c r="A1381" s="15"/>
      <c r="R1381" s="15"/>
    </row>
    <row r="1382" spans="1:18" x14ac:dyDescent="0.25">
      <c r="A1382" s="15"/>
      <c r="R1382" s="15"/>
    </row>
    <row r="1383" spans="1:18" x14ac:dyDescent="0.25">
      <c r="A1383" s="15"/>
      <c r="R1383" s="15"/>
    </row>
    <row r="1384" spans="1:18" x14ac:dyDescent="0.25">
      <c r="A1384" s="15"/>
      <c r="R1384" s="15"/>
    </row>
    <row r="1385" spans="1:18" x14ac:dyDescent="0.25">
      <c r="A1385" s="15"/>
      <c r="R1385" s="15"/>
    </row>
    <row r="1386" spans="1:18" x14ac:dyDescent="0.25">
      <c r="A1386" s="15"/>
      <c r="R1386" s="15"/>
    </row>
    <row r="1387" spans="1:18" x14ac:dyDescent="0.25">
      <c r="A1387" s="15"/>
      <c r="R1387" s="15"/>
    </row>
    <row r="1388" spans="1:18" x14ac:dyDescent="0.25">
      <c r="A1388" s="15"/>
      <c r="R1388" s="15"/>
    </row>
    <row r="1389" spans="1:18" x14ac:dyDescent="0.25">
      <c r="A1389" s="15"/>
      <c r="R1389" s="15"/>
    </row>
    <row r="1390" spans="1:18" x14ac:dyDescent="0.25">
      <c r="A1390" s="15"/>
      <c r="R1390" s="15"/>
    </row>
    <row r="1391" spans="1:18" x14ac:dyDescent="0.25">
      <c r="A1391" s="15"/>
      <c r="R1391" s="15"/>
    </row>
    <row r="1392" spans="1:18" x14ac:dyDescent="0.25">
      <c r="A1392" s="15"/>
      <c r="R1392" s="15"/>
    </row>
    <row r="1393" spans="1:18" x14ac:dyDescent="0.25">
      <c r="A1393" s="15"/>
      <c r="R1393" s="15"/>
    </row>
    <row r="1394" spans="1:18" x14ac:dyDescent="0.25">
      <c r="A1394" s="15"/>
      <c r="R1394" s="15"/>
    </row>
    <row r="1395" spans="1:18" x14ac:dyDescent="0.25">
      <c r="A1395" s="15"/>
      <c r="R1395" s="15"/>
    </row>
    <row r="1396" spans="1:18" x14ac:dyDescent="0.25">
      <c r="A1396" s="15"/>
      <c r="R1396" s="15"/>
    </row>
    <row r="1397" spans="1:18" x14ac:dyDescent="0.25">
      <c r="A1397" s="15"/>
      <c r="R1397" s="15"/>
    </row>
    <row r="1398" spans="1:18" x14ac:dyDescent="0.25">
      <c r="A1398" s="15"/>
      <c r="R1398" s="15"/>
    </row>
    <row r="1399" spans="1:18" x14ac:dyDescent="0.25">
      <c r="A1399" s="15"/>
      <c r="R1399" s="15"/>
    </row>
    <row r="1400" spans="1:18" x14ac:dyDescent="0.25">
      <c r="A1400" s="15"/>
      <c r="R1400" s="15"/>
    </row>
    <row r="1401" spans="1:18" x14ac:dyDescent="0.25">
      <c r="A1401" s="15"/>
      <c r="R1401" s="15"/>
    </row>
    <row r="1402" spans="1:18" x14ac:dyDescent="0.25">
      <c r="A1402" s="15"/>
      <c r="R1402" s="15"/>
    </row>
    <row r="1403" spans="1:18" x14ac:dyDescent="0.25">
      <c r="A1403" s="15"/>
      <c r="R1403" s="15"/>
    </row>
    <row r="1404" spans="1:18" x14ac:dyDescent="0.25">
      <c r="A1404" s="15"/>
      <c r="R1404" s="15"/>
    </row>
    <row r="1405" spans="1:18" x14ac:dyDescent="0.25">
      <c r="A1405" s="15"/>
      <c r="R1405" s="15"/>
    </row>
    <row r="1406" spans="1:18" x14ac:dyDescent="0.25">
      <c r="A1406" s="15"/>
      <c r="R1406" s="15"/>
    </row>
    <row r="1407" spans="1:18" x14ac:dyDescent="0.25">
      <c r="A1407" s="15"/>
      <c r="R1407" s="15"/>
    </row>
    <row r="1408" spans="1:18" x14ac:dyDescent="0.25">
      <c r="A1408" s="15"/>
      <c r="R1408" s="15"/>
    </row>
    <row r="1409" spans="1:18" x14ac:dyDescent="0.25">
      <c r="A1409" s="15"/>
      <c r="R1409" s="15"/>
    </row>
    <row r="1410" spans="1:18" x14ac:dyDescent="0.25">
      <c r="A1410" s="15"/>
      <c r="R1410" s="15"/>
    </row>
    <row r="1411" spans="1:18" x14ac:dyDescent="0.25">
      <c r="A1411" s="15"/>
      <c r="R1411" s="15"/>
    </row>
    <row r="1412" spans="1:18" x14ac:dyDescent="0.25">
      <c r="A1412" s="15"/>
      <c r="R1412" s="15"/>
    </row>
    <row r="1413" spans="1:18" x14ac:dyDescent="0.25">
      <c r="A1413" s="15"/>
      <c r="R1413" s="15"/>
    </row>
    <row r="1414" spans="1:18" x14ac:dyDescent="0.25">
      <c r="A1414" s="15"/>
      <c r="R1414" s="15"/>
    </row>
    <row r="1415" spans="1:18" x14ac:dyDescent="0.25">
      <c r="A1415" s="15"/>
      <c r="R1415" s="15"/>
    </row>
    <row r="1416" spans="1:18" x14ac:dyDescent="0.25">
      <c r="A1416" s="15"/>
      <c r="R1416" s="15"/>
    </row>
    <row r="1417" spans="1:18" x14ac:dyDescent="0.25">
      <c r="A1417" s="15"/>
      <c r="R1417" s="15"/>
    </row>
    <row r="1418" spans="1:18" x14ac:dyDescent="0.25">
      <c r="A1418" s="15"/>
      <c r="R1418" s="15"/>
    </row>
    <row r="1419" spans="1:18" x14ac:dyDescent="0.25">
      <c r="A1419" s="15"/>
      <c r="R1419" s="15"/>
    </row>
    <row r="1420" spans="1:18" x14ac:dyDescent="0.25">
      <c r="A1420" s="15"/>
      <c r="R1420" s="15"/>
    </row>
    <row r="1421" spans="1:18" x14ac:dyDescent="0.25">
      <c r="A1421" s="15"/>
      <c r="R1421" s="15"/>
    </row>
    <row r="1422" spans="1:18" x14ac:dyDescent="0.25">
      <c r="A1422" s="15"/>
      <c r="R1422" s="15"/>
    </row>
    <row r="1423" spans="1:18" x14ac:dyDescent="0.25">
      <c r="A1423" s="15"/>
      <c r="R1423" s="15"/>
    </row>
    <row r="1424" spans="1:18" x14ac:dyDescent="0.25">
      <c r="A1424" s="15"/>
      <c r="R1424" s="15"/>
    </row>
    <row r="1425" spans="1:18" x14ac:dyDescent="0.25">
      <c r="A1425" s="15"/>
      <c r="R1425" s="15"/>
    </row>
    <row r="1426" spans="1:18" x14ac:dyDescent="0.25">
      <c r="A1426" s="15"/>
      <c r="R1426" s="15"/>
    </row>
    <row r="1427" spans="1:18" x14ac:dyDescent="0.25">
      <c r="A1427" s="15"/>
      <c r="R1427" s="15"/>
    </row>
    <row r="1428" spans="1:18" x14ac:dyDescent="0.25">
      <c r="A1428" s="15"/>
      <c r="R1428" s="15"/>
    </row>
    <row r="1429" spans="1:18" x14ac:dyDescent="0.25">
      <c r="A1429" s="15"/>
      <c r="R1429" s="15"/>
    </row>
    <row r="1430" spans="1:18" x14ac:dyDescent="0.25">
      <c r="A1430" s="15"/>
      <c r="R1430" s="15"/>
    </row>
    <row r="1431" spans="1:18" x14ac:dyDescent="0.25">
      <c r="A1431" s="15"/>
      <c r="R1431" s="15"/>
    </row>
    <row r="1432" spans="1:18" x14ac:dyDescent="0.25">
      <c r="A1432" s="15"/>
      <c r="R1432" s="15"/>
    </row>
    <row r="1433" spans="1:18" x14ac:dyDescent="0.25">
      <c r="A1433" s="15"/>
      <c r="R1433" s="15"/>
    </row>
    <row r="1434" spans="1:18" x14ac:dyDescent="0.25">
      <c r="A1434" s="15"/>
      <c r="R1434" s="15"/>
    </row>
    <row r="1435" spans="1:18" x14ac:dyDescent="0.25">
      <c r="A1435" s="15"/>
      <c r="R1435" s="15"/>
    </row>
    <row r="1436" spans="1:18" x14ac:dyDescent="0.25">
      <c r="A1436" s="15"/>
      <c r="R1436" s="15"/>
    </row>
    <row r="1437" spans="1:18" x14ac:dyDescent="0.25">
      <c r="A1437" s="15"/>
      <c r="R1437" s="15"/>
    </row>
    <row r="1438" spans="1:18" x14ac:dyDescent="0.25">
      <c r="A1438" s="15"/>
      <c r="R1438" s="15"/>
    </row>
    <row r="1439" spans="1:18" x14ac:dyDescent="0.25">
      <c r="A1439" s="15"/>
      <c r="R1439" s="15"/>
    </row>
    <row r="1440" spans="1:18" x14ac:dyDescent="0.25">
      <c r="A1440" s="15"/>
      <c r="R1440" s="15"/>
    </row>
    <row r="1441" spans="1:18" x14ac:dyDescent="0.25">
      <c r="A1441" s="15"/>
      <c r="R1441" s="15"/>
    </row>
    <row r="1442" spans="1:18" x14ac:dyDescent="0.25">
      <c r="A1442" s="15"/>
      <c r="R1442" s="15"/>
    </row>
    <row r="1443" spans="1:18" x14ac:dyDescent="0.25">
      <c r="A1443" s="15"/>
      <c r="R1443" s="15"/>
    </row>
    <row r="1444" spans="1:18" x14ac:dyDescent="0.25">
      <c r="A1444" s="15"/>
      <c r="R1444" s="15"/>
    </row>
    <row r="1445" spans="1:18" x14ac:dyDescent="0.25">
      <c r="A1445" s="15"/>
      <c r="R1445" s="15"/>
    </row>
    <row r="1446" spans="1:18" x14ac:dyDescent="0.25">
      <c r="A1446" s="15"/>
      <c r="R1446" s="15"/>
    </row>
    <row r="1447" spans="1:18" x14ac:dyDescent="0.25">
      <c r="A1447" s="15"/>
      <c r="R1447" s="15"/>
    </row>
    <row r="1448" spans="1:18" x14ac:dyDescent="0.25">
      <c r="A1448" s="15"/>
      <c r="R1448" s="15"/>
    </row>
    <row r="1449" spans="1:18" x14ac:dyDescent="0.25">
      <c r="A1449" s="15"/>
      <c r="R1449" s="15"/>
    </row>
    <row r="1450" spans="1:18" x14ac:dyDescent="0.25">
      <c r="A1450" s="15"/>
      <c r="R1450" s="15"/>
    </row>
    <row r="1451" spans="1:18" x14ac:dyDescent="0.25">
      <c r="A1451" s="15"/>
      <c r="R1451" s="15"/>
    </row>
    <row r="1452" spans="1:18" x14ac:dyDescent="0.25">
      <c r="A1452" s="15"/>
      <c r="R1452" s="15"/>
    </row>
    <row r="1453" spans="1:18" x14ac:dyDescent="0.25">
      <c r="A1453" s="15"/>
      <c r="R1453" s="15"/>
    </row>
    <row r="1454" spans="1:18" x14ac:dyDescent="0.25">
      <c r="A1454" s="15"/>
      <c r="R1454" s="15"/>
    </row>
    <row r="1455" spans="1:18" x14ac:dyDescent="0.25">
      <c r="A1455" s="15"/>
      <c r="R1455" s="15"/>
    </row>
    <row r="1456" spans="1:18" x14ac:dyDescent="0.25">
      <c r="A1456" s="15"/>
      <c r="R1456" s="15"/>
    </row>
    <row r="1457" spans="1:18" x14ac:dyDescent="0.25">
      <c r="A1457" s="15"/>
      <c r="R1457" s="15"/>
    </row>
    <row r="1458" spans="1:18" x14ac:dyDescent="0.25">
      <c r="A1458" s="15"/>
      <c r="R1458" s="15"/>
    </row>
    <row r="1459" spans="1:18" x14ac:dyDescent="0.25">
      <c r="A1459" s="15"/>
      <c r="R1459" s="15"/>
    </row>
    <row r="1460" spans="1:18" x14ac:dyDescent="0.25">
      <c r="A1460" s="15"/>
      <c r="R1460" s="15"/>
    </row>
    <row r="1461" spans="1:18" x14ac:dyDescent="0.25">
      <c r="A1461" s="15"/>
      <c r="R1461" s="15"/>
    </row>
    <row r="1462" spans="1:18" x14ac:dyDescent="0.25">
      <c r="A1462" s="15"/>
      <c r="R1462" s="15"/>
    </row>
    <row r="1463" spans="1:18" x14ac:dyDescent="0.25">
      <c r="A1463" s="15"/>
      <c r="R1463" s="15"/>
    </row>
    <row r="1464" spans="1:18" x14ac:dyDescent="0.25">
      <c r="A1464" s="15"/>
      <c r="R1464" s="15"/>
    </row>
    <row r="1465" spans="1:18" x14ac:dyDescent="0.25">
      <c r="A1465" s="15"/>
      <c r="R1465" s="15"/>
    </row>
    <row r="1466" spans="1:18" x14ac:dyDescent="0.25">
      <c r="A1466" s="15"/>
      <c r="R1466" s="15"/>
    </row>
    <row r="1467" spans="1:18" x14ac:dyDescent="0.25">
      <c r="A1467" s="15"/>
      <c r="R1467" s="15"/>
    </row>
    <row r="1468" spans="1:18" x14ac:dyDescent="0.25">
      <c r="A1468" s="15"/>
      <c r="R1468" s="15"/>
    </row>
    <row r="1469" spans="1:18" x14ac:dyDescent="0.25">
      <c r="A1469" s="15"/>
      <c r="R1469" s="15"/>
    </row>
    <row r="1470" spans="1:18" x14ac:dyDescent="0.25">
      <c r="A1470" s="15"/>
      <c r="R1470" s="15"/>
    </row>
    <row r="1471" spans="1:18" x14ac:dyDescent="0.25">
      <c r="A1471" s="15"/>
      <c r="R1471" s="15"/>
    </row>
    <row r="1472" spans="1:18" x14ac:dyDescent="0.25">
      <c r="A1472" s="15"/>
      <c r="R1472" s="15"/>
    </row>
    <row r="1473" spans="1:18" x14ac:dyDescent="0.25">
      <c r="A1473" s="15"/>
      <c r="R1473" s="15"/>
    </row>
    <row r="1474" spans="1:18" x14ac:dyDescent="0.25">
      <c r="A1474" s="15"/>
      <c r="R1474" s="15"/>
    </row>
    <row r="1475" spans="1:18" x14ac:dyDescent="0.25">
      <c r="A1475" s="15"/>
      <c r="R1475" s="15"/>
    </row>
    <row r="1476" spans="1:18" x14ac:dyDescent="0.25">
      <c r="A1476" s="15"/>
      <c r="R1476" s="15"/>
    </row>
    <row r="1477" spans="1:18" x14ac:dyDescent="0.25">
      <c r="A1477" s="15"/>
      <c r="R1477" s="15"/>
    </row>
    <row r="1478" spans="1:18" x14ac:dyDescent="0.25">
      <c r="A1478" s="15"/>
      <c r="R1478" s="15"/>
    </row>
    <row r="1479" spans="1:18" x14ac:dyDescent="0.25">
      <c r="A1479" s="15"/>
      <c r="R1479" s="15"/>
    </row>
    <row r="1480" spans="1:18" x14ac:dyDescent="0.25">
      <c r="A1480" s="15"/>
      <c r="R1480" s="15"/>
    </row>
    <row r="1481" spans="1:18" x14ac:dyDescent="0.25">
      <c r="A1481" s="15"/>
      <c r="R1481" s="15"/>
    </row>
    <row r="1482" spans="1:18" x14ac:dyDescent="0.25">
      <c r="A1482" s="15"/>
      <c r="R1482" s="15"/>
    </row>
    <row r="1483" spans="1:18" x14ac:dyDescent="0.25">
      <c r="A1483" s="15"/>
      <c r="R1483" s="15"/>
    </row>
    <row r="1484" spans="1:18" x14ac:dyDescent="0.25">
      <c r="A1484" s="15"/>
      <c r="R1484" s="15"/>
    </row>
    <row r="1485" spans="1:18" x14ac:dyDescent="0.25">
      <c r="A1485" s="15"/>
      <c r="R1485" s="15"/>
    </row>
    <row r="1486" spans="1:18" x14ac:dyDescent="0.25">
      <c r="A1486" s="15"/>
      <c r="R1486" s="15"/>
    </row>
    <row r="1487" spans="1:18" x14ac:dyDescent="0.25">
      <c r="A1487" s="15"/>
      <c r="R1487" s="15"/>
    </row>
    <row r="1488" spans="1:18" x14ac:dyDescent="0.25">
      <c r="A1488" s="15"/>
      <c r="R1488" s="15"/>
    </row>
    <row r="1489" spans="1:18" x14ac:dyDescent="0.25">
      <c r="A1489" s="15"/>
      <c r="R1489" s="15"/>
    </row>
    <row r="1490" spans="1:18" x14ac:dyDescent="0.25">
      <c r="A1490" s="15"/>
      <c r="R1490" s="15"/>
    </row>
    <row r="1491" spans="1:18" x14ac:dyDescent="0.25">
      <c r="A1491" s="15"/>
      <c r="R1491" s="15"/>
    </row>
    <row r="1492" spans="1:18" x14ac:dyDescent="0.25">
      <c r="A1492" s="15"/>
      <c r="R1492" s="15"/>
    </row>
    <row r="1493" spans="1:18" x14ac:dyDescent="0.25">
      <c r="A1493" s="15"/>
      <c r="R1493" s="15"/>
    </row>
    <row r="1494" spans="1:18" x14ac:dyDescent="0.25">
      <c r="A1494" s="15"/>
      <c r="R1494" s="15"/>
    </row>
    <row r="1495" spans="1:18" x14ac:dyDescent="0.25">
      <c r="A1495" s="15"/>
      <c r="R1495" s="15"/>
    </row>
    <row r="1496" spans="1:18" x14ac:dyDescent="0.25">
      <c r="A1496" s="15"/>
      <c r="R1496" s="15"/>
    </row>
    <row r="1497" spans="1:18" x14ac:dyDescent="0.25">
      <c r="A1497" s="15"/>
      <c r="R1497" s="15"/>
    </row>
    <row r="1498" spans="1:18" x14ac:dyDescent="0.25">
      <c r="A1498" s="15"/>
      <c r="R1498" s="15"/>
    </row>
    <row r="1499" spans="1:18" x14ac:dyDescent="0.25">
      <c r="A1499" s="15"/>
      <c r="R1499" s="15"/>
    </row>
    <row r="1500" spans="1:18" x14ac:dyDescent="0.25">
      <c r="A1500" s="15"/>
      <c r="R1500" s="15"/>
    </row>
    <row r="1501" spans="1:18" x14ac:dyDescent="0.25">
      <c r="A1501" s="15"/>
      <c r="R1501" s="15"/>
    </row>
    <row r="1502" spans="1:18" x14ac:dyDescent="0.25">
      <c r="A1502" s="15"/>
      <c r="R1502" s="15"/>
    </row>
    <row r="1503" spans="1:18" x14ac:dyDescent="0.25">
      <c r="A1503" s="15"/>
      <c r="R1503" s="15"/>
    </row>
    <row r="1504" spans="1:18" x14ac:dyDescent="0.25">
      <c r="A1504" s="15"/>
      <c r="R1504" s="15"/>
    </row>
    <row r="1505" spans="1:18" x14ac:dyDescent="0.25">
      <c r="A1505" s="15"/>
      <c r="R1505" s="15"/>
    </row>
    <row r="1506" spans="1:18" x14ac:dyDescent="0.25">
      <c r="A1506" s="15"/>
      <c r="R1506" s="15"/>
    </row>
    <row r="1507" spans="1:18" x14ac:dyDescent="0.25">
      <c r="A1507" s="15"/>
      <c r="R1507" s="15"/>
    </row>
    <row r="1508" spans="1:18" x14ac:dyDescent="0.25">
      <c r="A1508" s="15"/>
      <c r="R1508" s="15"/>
    </row>
    <row r="1509" spans="1:18" x14ac:dyDescent="0.25">
      <c r="A1509" s="15"/>
      <c r="R1509" s="15"/>
    </row>
    <row r="1510" spans="1:18" x14ac:dyDescent="0.25">
      <c r="A1510" s="15"/>
      <c r="R1510" s="15"/>
    </row>
    <row r="1511" spans="1:18" x14ac:dyDescent="0.25">
      <c r="A1511" s="15"/>
      <c r="R1511" s="15"/>
    </row>
    <row r="1512" spans="1:18" x14ac:dyDescent="0.25">
      <c r="A1512" s="15"/>
      <c r="R1512" s="15"/>
    </row>
    <row r="1513" spans="1:18" x14ac:dyDescent="0.25">
      <c r="A1513" s="15"/>
      <c r="R1513" s="15"/>
    </row>
    <row r="1514" spans="1:18" x14ac:dyDescent="0.25">
      <c r="A1514" s="15"/>
      <c r="R1514" s="15"/>
    </row>
    <row r="1515" spans="1:18" x14ac:dyDescent="0.25">
      <c r="A1515" s="15"/>
      <c r="R1515" s="15"/>
    </row>
    <row r="1516" spans="1:18" x14ac:dyDescent="0.25">
      <c r="A1516" s="15"/>
      <c r="R1516" s="15"/>
    </row>
    <row r="1517" spans="1:18" x14ac:dyDescent="0.25">
      <c r="A1517" s="15"/>
      <c r="R1517" s="15"/>
    </row>
    <row r="1518" spans="1:18" x14ac:dyDescent="0.25">
      <c r="A1518" s="15"/>
      <c r="R1518" s="15"/>
    </row>
    <row r="1519" spans="1:18" x14ac:dyDescent="0.25">
      <c r="A1519" s="15"/>
      <c r="R1519" s="15"/>
    </row>
    <row r="1520" spans="1:18" x14ac:dyDescent="0.25">
      <c r="A1520" s="15"/>
      <c r="R1520" s="15"/>
    </row>
    <row r="1521" spans="1:18" x14ac:dyDescent="0.25">
      <c r="A1521" s="15"/>
      <c r="R1521" s="15"/>
    </row>
    <row r="1522" spans="1:18" x14ac:dyDescent="0.25">
      <c r="A1522" s="15"/>
      <c r="R1522" s="15"/>
    </row>
    <row r="1523" spans="1:18" x14ac:dyDescent="0.25">
      <c r="A1523" s="15"/>
      <c r="R1523" s="15"/>
    </row>
    <row r="1524" spans="1:18" x14ac:dyDescent="0.25">
      <c r="A1524" s="15"/>
      <c r="R1524" s="15"/>
    </row>
    <row r="1525" spans="1:18" x14ac:dyDescent="0.25">
      <c r="A1525" s="15"/>
      <c r="R1525" s="15"/>
    </row>
    <row r="1526" spans="1:18" x14ac:dyDescent="0.25">
      <c r="A1526" s="15"/>
      <c r="R1526" s="15"/>
    </row>
    <row r="1527" spans="1:18" x14ac:dyDescent="0.25">
      <c r="A1527" s="15"/>
      <c r="R1527" s="15"/>
    </row>
    <row r="1528" spans="1:18" x14ac:dyDescent="0.25">
      <c r="A1528" s="15"/>
      <c r="R1528" s="15"/>
    </row>
    <row r="1529" spans="1:18" x14ac:dyDescent="0.25">
      <c r="A1529" s="15"/>
      <c r="R1529" s="15"/>
    </row>
    <row r="1530" spans="1:18" x14ac:dyDescent="0.25">
      <c r="A1530" s="15"/>
      <c r="R1530" s="15"/>
    </row>
    <row r="1531" spans="1:18" x14ac:dyDescent="0.25">
      <c r="A1531" s="15"/>
      <c r="R1531" s="15"/>
    </row>
    <row r="1532" spans="1:18" x14ac:dyDescent="0.25">
      <c r="A1532" s="15"/>
      <c r="R1532" s="15"/>
    </row>
    <row r="1533" spans="1:18" x14ac:dyDescent="0.25">
      <c r="A1533" s="15"/>
      <c r="R1533" s="15"/>
    </row>
    <row r="1534" spans="1:18" x14ac:dyDescent="0.25">
      <c r="A1534" s="15"/>
      <c r="R1534" s="15"/>
    </row>
    <row r="1535" spans="1:18" x14ac:dyDescent="0.25">
      <c r="A1535" s="15"/>
      <c r="R1535" s="15"/>
    </row>
    <row r="1536" spans="1:18" x14ac:dyDescent="0.25">
      <c r="A1536" s="15"/>
      <c r="R1536" s="15"/>
    </row>
    <row r="1537" spans="1:18" x14ac:dyDescent="0.25">
      <c r="A1537" s="15"/>
      <c r="R1537" s="15"/>
    </row>
    <row r="1538" spans="1:18" x14ac:dyDescent="0.25">
      <c r="A1538" s="15"/>
      <c r="R1538" s="15"/>
    </row>
    <row r="1539" spans="1:18" x14ac:dyDescent="0.25">
      <c r="A1539" s="15"/>
      <c r="R1539" s="15"/>
    </row>
    <row r="1540" spans="1:18" x14ac:dyDescent="0.25">
      <c r="A1540" s="15"/>
      <c r="R1540" s="15"/>
    </row>
    <row r="1541" spans="1:18" x14ac:dyDescent="0.25">
      <c r="A1541" s="15"/>
      <c r="R1541" s="15"/>
    </row>
    <row r="1542" spans="1:18" x14ac:dyDescent="0.25">
      <c r="A1542" s="15"/>
      <c r="R1542" s="15"/>
    </row>
    <row r="1543" spans="1:18" x14ac:dyDescent="0.25">
      <c r="A1543" s="15"/>
      <c r="R1543" s="15"/>
    </row>
    <row r="1544" spans="1:18" x14ac:dyDescent="0.25">
      <c r="A1544" s="15"/>
      <c r="R1544" s="15"/>
    </row>
    <row r="1545" spans="1:18" x14ac:dyDescent="0.25">
      <c r="A1545" s="15"/>
      <c r="R1545" s="15"/>
    </row>
    <row r="1546" spans="1:18" x14ac:dyDescent="0.25">
      <c r="A1546" s="15"/>
      <c r="R1546" s="15"/>
    </row>
    <row r="1547" spans="1:18" x14ac:dyDescent="0.25">
      <c r="A1547" s="15"/>
      <c r="R1547" s="15"/>
    </row>
    <row r="1548" spans="1:18" x14ac:dyDescent="0.25">
      <c r="A1548" s="15"/>
      <c r="R1548" s="15"/>
    </row>
    <row r="1549" spans="1:18" x14ac:dyDescent="0.25">
      <c r="A1549" s="15"/>
      <c r="R1549" s="15"/>
    </row>
    <row r="1550" spans="1:18" x14ac:dyDescent="0.25">
      <c r="A1550" s="15"/>
      <c r="R1550" s="15"/>
    </row>
    <row r="1551" spans="1:18" x14ac:dyDescent="0.25">
      <c r="A1551" s="15"/>
      <c r="R1551" s="15"/>
    </row>
    <row r="1552" spans="1:18" x14ac:dyDescent="0.25">
      <c r="A1552" s="15"/>
      <c r="R1552" s="15"/>
    </row>
    <row r="1553" spans="1:18" x14ac:dyDescent="0.25">
      <c r="A1553" s="15"/>
      <c r="R1553" s="15"/>
    </row>
    <row r="1554" spans="1:18" x14ac:dyDescent="0.25">
      <c r="A1554" s="15"/>
      <c r="R1554" s="15"/>
    </row>
    <row r="1555" spans="1:18" x14ac:dyDescent="0.25">
      <c r="A1555" s="15"/>
      <c r="R1555" s="15"/>
    </row>
    <row r="1556" spans="1:18" x14ac:dyDescent="0.25">
      <c r="A1556" s="15"/>
      <c r="R1556" s="15"/>
    </row>
    <row r="1557" spans="1:18" x14ac:dyDescent="0.25">
      <c r="A1557" s="15"/>
      <c r="R1557" s="15"/>
    </row>
    <row r="1558" spans="1:18" x14ac:dyDescent="0.25">
      <c r="A1558" s="15"/>
      <c r="R1558" s="15"/>
    </row>
    <row r="1559" spans="1:18" x14ac:dyDescent="0.25">
      <c r="A1559" s="15"/>
      <c r="R1559" s="15"/>
    </row>
    <row r="1560" spans="1:18" x14ac:dyDescent="0.25">
      <c r="A1560" s="15"/>
      <c r="R1560" s="15"/>
    </row>
    <row r="1561" spans="1:18" x14ac:dyDescent="0.25">
      <c r="A1561" s="15"/>
      <c r="R1561" s="15"/>
    </row>
    <row r="1562" spans="1:18" x14ac:dyDescent="0.25">
      <c r="A1562" s="15"/>
      <c r="R1562" s="15"/>
    </row>
    <row r="1563" spans="1:18" x14ac:dyDescent="0.25">
      <c r="A1563" s="15"/>
      <c r="R1563" s="15"/>
    </row>
    <row r="1564" spans="1:18" x14ac:dyDescent="0.25">
      <c r="A1564" s="15"/>
      <c r="R1564" s="15"/>
    </row>
    <row r="1565" spans="1:18" x14ac:dyDescent="0.25">
      <c r="A1565" s="15"/>
      <c r="R1565" s="15"/>
    </row>
    <row r="1566" spans="1:18" x14ac:dyDescent="0.25">
      <c r="A1566" s="15"/>
      <c r="R1566" s="15"/>
    </row>
    <row r="1567" spans="1:18" x14ac:dyDescent="0.25">
      <c r="A1567" s="15"/>
      <c r="R1567" s="15"/>
    </row>
    <row r="1568" spans="1:18" x14ac:dyDescent="0.25">
      <c r="A1568" s="15"/>
      <c r="R1568" s="15"/>
    </row>
    <row r="1569" spans="1:18" x14ac:dyDescent="0.25">
      <c r="A1569" s="15"/>
      <c r="R1569" s="15"/>
    </row>
    <row r="1570" spans="1:18" x14ac:dyDescent="0.25">
      <c r="A1570" s="15"/>
      <c r="R1570" s="15"/>
    </row>
    <row r="1571" spans="1:18" x14ac:dyDescent="0.25">
      <c r="A1571" s="15"/>
      <c r="R1571" s="15"/>
    </row>
    <row r="1572" spans="1:18" x14ac:dyDescent="0.25">
      <c r="A1572" s="15"/>
      <c r="R1572" s="15"/>
    </row>
    <row r="1573" spans="1:18" x14ac:dyDescent="0.25">
      <c r="A1573" s="15"/>
      <c r="R1573" s="15"/>
    </row>
    <row r="1574" spans="1:18" x14ac:dyDescent="0.25">
      <c r="A1574" s="15"/>
      <c r="R1574" s="15"/>
    </row>
    <row r="1575" spans="1:18" x14ac:dyDescent="0.25">
      <c r="A1575" s="15"/>
      <c r="R1575" s="15"/>
    </row>
    <row r="1576" spans="1:18" x14ac:dyDescent="0.25">
      <c r="A1576" s="15"/>
      <c r="R1576" s="15"/>
    </row>
    <row r="1577" spans="1:18" x14ac:dyDescent="0.25">
      <c r="A1577" s="15"/>
      <c r="R1577" s="15"/>
    </row>
    <row r="1578" spans="1:18" x14ac:dyDescent="0.25">
      <c r="A1578" s="15"/>
      <c r="R1578" s="15"/>
    </row>
    <row r="1579" spans="1:18" x14ac:dyDescent="0.25">
      <c r="A1579" s="15"/>
      <c r="R1579" s="15"/>
    </row>
    <row r="1580" spans="1:18" x14ac:dyDescent="0.25">
      <c r="A1580" s="15"/>
      <c r="R1580" s="15"/>
    </row>
    <row r="1581" spans="1:18" x14ac:dyDescent="0.25">
      <c r="A1581" s="15"/>
      <c r="R1581" s="15"/>
    </row>
    <row r="1582" spans="1:18" x14ac:dyDescent="0.25">
      <c r="A1582" s="15"/>
      <c r="R1582" s="15"/>
    </row>
    <row r="1583" spans="1:18" x14ac:dyDescent="0.25">
      <c r="A1583" s="15"/>
      <c r="R1583" s="15"/>
    </row>
    <row r="1584" spans="1:18" x14ac:dyDescent="0.25">
      <c r="A1584" s="15"/>
      <c r="R1584" s="15"/>
    </row>
    <row r="1585" spans="1:18" x14ac:dyDescent="0.25">
      <c r="A1585" s="15"/>
      <c r="R1585" s="15"/>
    </row>
    <row r="1586" spans="1:18" x14ac:dyDescent="0.25">
      <c r="A1586" s="15"/>
      <c r="R1586" s="15"/>
    </row>
    <row r="1587" spans="1:18" x14ac:dyDescent="0.25">
      <c r="A1587" s="15"/>
      <c r="R1587" s="15"/>
    </row>
    <row r="1588" spans="1:18" x14ac:dyDescent="0.25">
      <c r="A1588" s="15"/>
      <c r="R1588" s="15"/>
    </row>
    <row r="1589" spans="1:18" x14ac:dyDescent="0.25">
      <c r="A1589" s="15"/>
      <c r="R1589" s="15"/>
    </row>
    <row r="1590" spans="1:18" x14ac:dyDescent="0.25">
      <c r="A1590" s="15"/>
      <c r="R1590" s="15"/>
    </row>
    <row r="1591" spans="1:18" x14ac:dyDescent="0.25">
      <c r="A1591" s="15"/>
      <c r="R1591" s="15"/>
    </row>
    <row r="1592" spans="1:18" x14ac:dyDescent="0.25">
      <c r="A1592" s="15"/>
      <c r="R1592" s="15"/>
    </row>
    <row r="1593" spans="1:18" x14ac:dyDescent="0.25">
      <c r="A1593" s="15"/>
      <c r="R1593" s="15"/>
    </row>
    <row r="1594" spans="1:18" x14ac:dyDescent="0.25">
      <c r="A1594" s="15"/>
      <c r="R1594" s="15"/>
    </row>
    <row r="1595" spans="1:18" x14ac:dyDescent="0.25">
      <c r="A1595" s="15"/>
      <c r="R1595" s="15"/>
    </row>
    <row r="1596" spans="1:18" x14ac:dyDescent="0.25">
      <c r="A1596" s="15"/>
      <c r="R1596" s="15"/>
    </row>
    <row r="1597" spans="1:18" x14ac:dyDescent="0.25">
      <c r="A1597" s="15"/>
      <c r="R1597" s="15"/>
    </row>
    <row r="1598" spans="1:18" x14ac:dyDescent="0.25">
      <c r="A1598" s="15"/>
      <c r="R1598" s="15"/>
    </row>
    <row r="1599" spans="1:18" x14ac:dyDescent="0.25">
      <c r="A1599" s="15"/>
      <c r="R1599" s="15"/>
    </row>
    <row r="1600" spans="1:18" x14ac:dyDescent="0.25">
      <c r="A1600" s="15"/>
      <c r="R1600" s="15"/>
    </row>
    <row r="1601" spans="1:18" x14ac:dyDescent="0.25">
      <c r="A1601" s="15"/>
      <c r="R1601" s="15"/>
    </row>
    <row r="1602" spans="1:18" x14ac:dyDescent="0.25">
      <c r="A1602" s="15"/>
      <c r="R1602" s="15"/>
    </row>
    <row r="1603" spans="1:18" x14ac:dyDescent="0.25">
      <c r="A1603" s="15"/>
      <c r="R1603" s="15"/>
    </row>
    <row r="1604" spans="1:18" x14ac:dyDescent="0.25">
      <c r="A1604" s="15"/>
      <c r="R1604" s="15"/>
    </row>
    <row r="1605" spans="1:18" x14ac:dyDescent="0.25">
      <c r="A1605" s="15"/>
      <c r="R1605" s="15"/>
    </row>
    <row r="1606" spans="1:18" x14ac:dyDescent="0.25">
      <c r="A1606" s="15"/>
      <c r="R1606" s="15"/>
    </row>
    <row r="1607" spans="1:18" x14ac:dyDescent="0.25">
      <c r="A1607" s="15"/>
      <c r="R1607" s="15"/>
    </row>
    <row r="1608" spans="1:18" x14ac:dyDescent="0.25">
      <c r="A1608" s="15"/>
      <c r="R1608" s="15"/>
    </row>
    <row r="1609" spans="1:18" x14ac:dyDescent="0.25">
      <c r="A1609" s="15"/>
      <c r="R1609" s="15"/>
    </row>
    <row r="1610" spans="1:18" x14ac:dyDescent="0.25">
      <c r="A1610" s="15"/>
      <c r="R1610" s="15"/>
    </row>
    <row r="1611" spans="1:18" x14ac:dyDescent="0.25">
      <c r="A1611" s="15"/>
      <c r="R1611" s="15"/>
    </row>
    <row r="1612" spans="1:18" x14ac:dyDescent="0.25">
      <c r="A1612" s="15"/>
      <c r="R1612" s="15"/>
    </row>
    <row r="1613" spans="1:18" x14ac:dyDescent="0.25">
      <c r="A1613" s="15"/>
      <c r="R1613" s="15"/>
    </row>
    <row r="1614" spans="1:18" x14ac:dyDescent="0.25">
      <c r="A1614" s="15"/>
      <c r="R1614" s="15"/>
    </row>
    <row r="1615" spans="1:18" x14ac:dyDescent="0.25">
      <c r="A1615" s="15"/>
      <c r="R1615" s="15"/>
    </row>
    <row r="1616" spans="1:18" x14ac:dyDescent="0.25">
      <c r="A1616" s="15"/>
      <c r="R1616" s="15"/>
    </row>
    <row r="1617" spans="1:18" x14ac:dyDescent="0.25">
      <c r="A1617" s="15"/>
      <c r="R1617" s="15"/>
    </row>
    <row r="1618" spans="1:18" x14ac:dyDescent="0.25">
      <c r="A1618" s="15"/>
      <c r="R1618" s="15"/>
    </row>
    <row r="1619" spans="1:18" x14ac:dyDescent="0.25">
      <c r="A1619" s="15"/>
      <c r="R1619" s="15"/>
    </row>
    <row r="1620" spans="1:18" x14ac:dyDescent="0.25">
      <c r="A1620" s="15"/>
      <c r="R1620" s="15"/>
    </row>
    <row r="1621" spans="1:18" x14ac:dyDescent="0.25">
      <c r="A1621" s="15"/>
      <c r="R1621" s="15"/>
    </row>
    <row r="1622" spans="1:18" x14ac:dyDescent="0.25">
      <c r="A1622" s="15"/>
      <c r="R1622" s="15"/>
    </row>
    <row r="1623" spans="1:18" x14ac:dyDescent="0.25">
      <c r="A1623" s="15"/>
      <c r="R1623" s="15"/>
    </row>
    <row r="1624" spans="1:18" x14ac:dyDescent="0.25">
      <c r="A1624" s="15"/>
      <c r="R1624" s="15"/>
    </row>
    <row r="1625" spans="1:18" x14ac:dyDescent="0.25">
      <c r="A1625" s="15"/>
      <c r="R1625" s="15"/>
    </row>
    <row r="1626" spans="1:18" x14ac:dyDescent="0.25">
      <c r="A1626" s="15"/>
      <c r="R1626" s="15"/>
    </row>
    <row r="1627" spans="1:18" x14ac:dyDescent="0.25">
      <c r="A1627" s="15"/>
      <c r="R1627" s="15"/>
    </row>
    <row r="1628" spans="1:18" x14ac:dyDescent="0.25">
      <c r="A1628" s="15"/>
      <c r="R1628" s="15"/>
    </row>
    <row r="1629" spans="1:18" x14ac:dyDescent="0.25">
      <c r="A1629" s="15"/>
      <c r="R1629" s="15"/>
    </row>
    <row r="1630" spans="1:18" x14ac:dyDescent="0.25">
      <c r="A1630" s="15"/>
      <c r="R1630" s="15"/>
    </row>
    <row r="1631" spans="1:18" x14ac:dyDescent="0.25">
      <c r="A1631" s="15"/>
      <c r="R1631" s="15"/>
    </row>
    <row r="1632" spans="1:18" x14ac:dyDescent="0.25">
      <c r="A1632" s="15"/>
      <c r="R1632" s="15"/>
    </row>
    <row r="1633" spans="1:18" x14ac:dyDescent="0.25">
      <c r="A1633" s="15"/>
      <c r="R1633" s="15"/>
    </row>
    <row r="1634" spans="1:18" x14ac:dyDescent="0.25">
      <c r="A1634" s="15"/>
      <c r="R1634" s="15"/>
    </row>
    <row r="1635" spans="1:18" x14ac:dyDescent="0.25">
      <c r="A1635" s="15"/>
      <c r="R1635" s="15"/>
    </row>
    <row r="1636" spans="1:18" x14ac:dyDescent="0.25">
      <c r="A1636" s="15"/>
      <c r="R1636" s="15"/>
    </row>
    <row r="1637" spans="1:18" x14ac:dyDescent="0.25">
      <c r="A1637" s="15"/>
      <c r="R1637" s="15"/>
    </row>
    <row r="1638" spans="1:18" x14ac:dyDescent="0.25">
      <c r="A1638" s="15"/>
      <c r="R1638" s="15"/>
    </row>
    <row r="1639" spans="1:18" x14ac:dyDescent="0.25">
      <c r="A1639" s="15"/>
      <c r="R1639" s="15"/>
    </row>
    <row r="1640" spans="1:18" x14ac:dyDescent="0.25">
      <c r="A1640" s="15"/>
      <c r="R1640" s="15"/>
    </row>
    <row r="1641" spans="1:18" x14ac:dyDescent="0.25">
      <c r="A1641" s="15"/>
      <c r="R1641" s="15"/>
    </row>
    <row r="1642" spans="1:18" x14ac:dyDescent="0.25">
      <c r="A1642" s="15"/>
      <c r="R1642" s="15"/>
    </row>
    <row r="1643" spans="1:18" x14ac:dyDescent="0.25">
      <c r="A1643" s="15"/>
      <c r="R1643" s="15"/>
    </row>
    <row r="1644" spans="1:18" x14ac:dyDescent="0.25">
      <c r="A1644" s="15"/>
      <c r="R1644" s="15"/>
    </row>
    <row r="1645" spans="1:18" x14ac:dyDescent="0.25">
      <c r="A1645" s="15"/>
      <c r="R1645" s="15"/>
    </row>
    <row r="1646" spans="1:18" x14ac:dyDescent="0.25">
      <c r="A1646" s="15"/>
      <c r="R1646" s="15"/>
    </row>
    <row r="1647" spans="1:18" x14ac:dyDescent="0.25">
      <c r="A1647" s="15"/>
      <c r="R1647" s="15"/>
    </row>
    <row r="1648" spans="1:18" x14ac:dyDescent="0.25">
      <c r="A1648" s="15"/>
      <c r="R1648" s="15"/>
    </row>
    <row r="1649" spans="1:18" x14ac:dyDescent="0.25">
      <c r="A1649" s="15"/>
      <c r="R1649" s="15"/>
    </row>
    <row r="1650" spans="1:18" x14ac:dyDescent="0.25">
      <c r="A1650" s="15"/>
      <c r="R1650" s="15"/>
    </row>
    <row r="1651" spans="1:18" x14ac:dyDescent="0.25">
      <c r="A1651" s="15"/>
      <c r="R1651" s="15"/>
    </row>
    <row r="1652" spans="1:18" x14ac:dyDescent="0.25">
      <c r="A1652" s="15"/>
      <c r="R1652" s="15"/>
    </row>
    <row r="1653" spans="1:18" x14ac:dyDescent="0.25">
      <c r="A1653" s="15"/>
      <c r="R1653" s="15"/>
    </row>
    <row r="1654" spans="1:18" x14ac:dyDescent="0.25">
      <c r="A1654" s="15"/>
      <c r="R1654" s="15"/>
    </row>
    <row r="1655" spans="1:18" x14ac:dyDescent="0.25">
      <c r="A1655" s="15"/>
      <c r="R1655" s="15"/>
    </row>
    <row r="1656" spans="1:18" x14ac:dyDescent="0.25">
      <c r="A1656" s="15"/>
      <c r="R1656" s="15"/>
    </row>
    <row r="1657" spans="1:18" x14ac:dyDescent="0.25">
      <c r="A1657" s="15"/>
      <c r="R1657" s="15"/>
    </row>
    <row r="1658" spans="1:18" x14ac:dyDescent="0.25">
      <c r="A1658" s="15"/>
      <c r="R1658" s="15"/>
    </row>
    <row r="1659" spans="1:18" x14ac:dyDescent="0.25">
      <c r="A1659" s="15"/>
      <c r="R1659" s="15"/>
    </row>
    <row r="1660" spans="1:18" x14ac:dyDescent="0.25">
      <c r="A1660" s="15"/>
      <c r="R1660" s="15"/>
    </row>
    <row r="1661" spans="1:18" x14ac:dyDescent="0.25">
      <c r="A1661" s="15"/>
      <c r="R1661" s="15"/>
    </row>
    <row r="1662" spans="1:18" x14ac:dyDescent="0.25">
      <c r="A1662" s="15"/>
      <c r="R1662" s="15"/>
    </row>
    <row r="1663" spans="1:18" x14ac:dyDescent="0.25">
      <c r="A1663" s="15"/>
      <c r="R1663" s="15"/>
    </row>
    <row r="1664" spans="1:18" x14ac:dyDescent="0.25">
      <c r="A1664" s="15"/>
      <c r="R1664" s="15"/>
    </row>
    <row r="1665" spans="1:18" x14ac:dyDescent="0.25">
      <c r="A1665" s="15"/>
      <c r="R1665" s="15"/>
    </row>
    <row r="1666" spans="1:18" x14ac:dyDescent="0.25">
      <c r="A1666" s="15"/>
      <c r="R1666" s="15"/>
    </row>
    <row r="1667" spans="1:18" x14ac:dyDescent="0.25">
      <c r="A1667" s="15"/>
      <c r="R1667" s="15"/>
    </row>
    <row r="1668" spans="1:18" x14ac:dyDescent="0.25">
      <c r="A1668" s="15"/>
      <c r="R1668" s="15"/>
    </row>
    <row r="1669" spans="1:18" x14ac:dyDescent="0.25">
      <c r="A1669" s="15"/>
      <c r="R1669" s="15"/>
    </row>
    <row r="1670" spans="1:18" x14ac:dyDescent="0.25">
      <c r="A1670" s="15"/>
      <c r="R1670" s="15"/>
    </row>
    <row r="1671" spans="1:18" x14ac:dyDescent="0.25">
      <c r="A1671" s="15"/>
      <c r="R1671" s="15"/>
    </row>
    <row r="1672" spans="1:18" x14ac:dyDescent="0.25">
      <c r="A1672" s="15"/>
      <c r="R1672" s="15"/>
    </row>
    <row r="1673" spans="1:18" x14ac:dyDescent="0.25">
      <c r="A1673" s="15"/>
      <c r="R1673" s="15"/>
    </row>
    <row r="1674" spans="1:18" x14ac:dyDescent="0.25">
      <c r="A1674" s="15"/>
      <c r="R1674" s="15"/>
    </row>
    <row r="1675" spans="1:18" x14ac:dyDescent="0.25">
      <c r="A1675" s="15"/>
      <c r="R1675" s="15"/>
    </row>
    <row r="1676" spans="1:18" x14ac:dyDescent="0.25">
      <c r="A1676" s="15"/>
      <c r="R1676" s="15"/>
    </row>
    <row r="1677" spans="1:18" x14ac:dyDescent="0.25">
      <c r="A1677" s="15"/>
      <c r="R1677" s="15"/>
    </row>
    <row r="1678" spans="1:18" x14ac:dyDescent="0.25">
      <c r="A1678" s="15"/>
      <c r="R1678" s="15"/>
    </row>
    <row r="1679" spans="1:18" x14ac:dyDescent="0.25">
      <c r="A1679" s="15"/>
      <c r="R1679" s="15"/>
    </row>
    <row r="1680" spans="1:18" x14ac:dyDescent="0.25">
      <c r="A1680" s="15"/>
      <c r="R1680" s="15"/>
    </row>
    <row r="1681" spans="1:18" x14ac:dyDescent="0.25">
      <c r="A1681" s="15"/>
      <c r="R1681" s="15"/>
    </row>
    <row r="1682" spans="1:18" x14ac:dyDescent="0.25">
      <c r="A1682" s="15"/>
      <c r="R1682" s="15"/>
    </row>
    <row r="1683" spans="1:18" x14ac:dyDescent="0.25">
      <c r="A1683" s="15"/>
      <c r="R1683" s="15"/>
    </row>
    <row r="1684" spans="1:18" x14ac:dyDescent="0.25">
      <c r="A1684" s="15"/>
      <c r="R1684" s="15"/>
    </row>
    <row r="1685" spans="1:18" x14ac:dyDescent="0.25">
      <c r="A1685" s="15"/>
      <c r="R1685" s="15"/>
    </row>
    <row r="1686" spans="1:18" x14ac:dyDescent="0.25">
      <c r="A1686" s="15"/>
      <c r="R1686" s="15"/>
    </row>
    <row r="1687" spans="1:18" x14ac:dyDescent="0.25">
      <c r="A1687" s="15"/>
      <c r="R1687" s="15"/>
    </row>
    <row r="1688" spans="1:18" x14ac:dyDescent="0.25">
      <c r="A1688" s="15"/>
      <c r="R1688" s="15"/>
    </row>
    <row r="1689" spans="1:18" x14ac:dyDescent="0.25">
      <c r="A1689" s="15"/>
      <c r="R1689" s="15"/>
    </row>
    <row r="1690" spans="1:18" x14ac:dyDescent="0.25">
      <c r="A1690" s="15"/>
      <c r="R1690" s="15"/>
    </row>
    <row r="1691" spans="1:18" x14ac:dyDescent="0.25">
      <c r="A1691" s="15"/>
      <c r="R1691" s="15"/>
    </row>
    <row r="1692" spans="1:18" x14ac:dyDescent="0.25">
      <c r="A1692" s="15"/>
      <c r="R1692" s="15"/>
    </row>
    <row r="1693" spans="1:18" x14ac:dyDescent="0.25">
      <c r="A1693" s="15"/>
      <c r="R1693" s="15"/>
    </row>
    <row r="1694" spans="1:18" x14ac:dyDescent="0.25">
      <c r="A1694" s="15"/>
      <c r="R1694" s="15"/>
    </row>
    <row r="1695" spans="1:18" x14ac:dyDescent="0.25">
      <c r="A1695" s="15"/>
      <c r="R1695" s="15"/>
    </row>
    <row r="1696" spans="1:18" x14ac:dyDescent="0.25">
      <c r="A1696" s="15"/>
      <c r="R1696" s="15"/>
    </row>
    <row r="1697" spans="1:18" x14ac:dyDescent="0.25">
      <c r="A1697" s="15"/>
      <c r="R1697" s="15"/>
    </row>
    <row r="1698" spans="1:18" x14ac:dyDescent="0.25">
      <c r="A1698" s="15"/>
      <c r="R1698" s="15"/>
    </row>
    <row r="1699" spans="1:18" x14ac:dyDescent="0.25">
      <c r="A1699" s="15"/>
      <c r="R1699" s="15"/>
    </row>
    <row r="1700" spans="1:18" x14ac:dyDescent="0.25">
      <c r="A1700" s="15"/>
      <c r="R1700" s="15"/>
    </row>
    <row r="1701" spans="1:18" x14ac:dyDescent="0.25">
      <c r="A1701" s="15"/>
      <c r="R1701" s="15"/>
    </row>
    <row r="1702" spans="1:18" x14ac:dyDescent="0.25">
      <c r="A1702" s="15"/>
      <c r="R1702" s="15"/>
    </row>
    <row r="1703" spans="1:18" x14ac:dyDescent="0.25">
      <c r="A1703" s="15"/>
      <c r="R1703" s="15"/>
    </row>
    <row r="1704" spans="1:18" x14ac:dyDescent="0.25">
      <c r="A1704" s="15"/>
      <c r="R1704" s="15"/>
    </row>
    <row r="1705" spans="1:18" x14ac:dyDescent="0.25">
      <c r="A1705" s="15"/>
      <c r="R1705" s="15"/>
    </row>
    <row r="1706" spans="1:18" x14ac:dyDescent="0.25">
      <c r="A1706" s="15"/>
      <c r="R1706" s="15"/>
    </row>
    <row r="1707" spans="1:18" x14ac:dyDescent="0.25">
      <c r="A1707" s="15"/>
      <c r="R1707" s="15"/>
    </row>
    <row r="1708" spans="1:18" x14ac:dyDescent="0.25">
      <c r="A1708" s="15"/>
      <c r="R1708" s="15"/>
    </row>
    <row r="1709" spans="1:18" x14ac:dyDescent="0.25">
      <c r="A1709" s="15"/>
      <c r="R1709" s="15"/>
    </row>
    <row r="1710" spans="1:18" x14ac:dyDescent="0.25">
      <c r="A1710" s="15"/>
      <c r="R1710" s="15"/>
    </row>
    <row r="1711" spans="1:18" x14ac:dyDescent="0.25">
      <c r="A1711" s="15"/>
      <c r="R1711" s="15"/>
    </row>
    <row r="1712" spans="1:18" x14ac:dyDescent="0.25">
      <c r="A1712" s="15"/>
      <c r="R1712" s="15"/>
    </row>
    <row r="1713" spans="1:18" x14ac:dyDescent="0.25">
      <c r="A1713" s="15"/>
      <c r="R1713" s="15"/>
    </row>
    <row r="1714" spans="1:18" x14ac:dyDescent="0.25">
      <c r="A1714" s="15"/>
      <c r="R1714" s="15"/>
    </row>
    <row r="1715" spans="1:18" x14ac:dyDescent="0.25">
      <c r="A1715" s="15"/>
      <c r="R1715" s="15"/>
    </row>
    <row r="1716" spans="1:18" x14ac:dyDescent="0.25">
      <c r="A1716" s="15"/>
      <c r="R1716" s="15"/>
    </row>
    <row r="1717" spans="1:18" x14ac:dyDescent="0.25">
      <c r="A1717" s="15"/>
      <c r="R1717" s="15"/>
    </row>
    <row r="1718" spans="1:18" x14ac:dyDescent="0.25">
      <c r="A1718" s="15"/>
      <c r="R1718" s="15"/>
    </row>
    <row r="1719" spans="1:18" x14ac:dyDescent="0.25">
      <c r="A1719" s="15"/>
      <c r="R1719" s="15"/>
    </row>
    <row r="1720" spans="1:18" x14ac:dyDescent="0.25">
      <c r="A1720" s="15"/>
      <c r="R1720" s="15"/>
    </row>
    <row r="1721" spans="1:18" x14ac:dyDescent="0.25">
      <c r="A1721" s="15"/>
      <c r="R1721" s="15"/>
    </row>
    <row r="1722" spans="1:18" x14ac:dyDescent="0.25">
      <c r="A1722" s="15"/>
      <c r="R1722" s="15"/>
    </row>
    <row r="1723" spans="1:18" x14ac:dyDescent="0.25">
      <c r="A1723" s="15"/>
      <c r="R1723" s="15"/>
    </row>
    <row r="1724" spans="1:18" x14ac:dyDescent="0.25">
      <c r="A1724" s="15"/>
      <c r="R1724" s="15"/>
    </row>
    <row r="1725" spans="1:18" x14ac:dyDescent="0.25">
      <c r="A1725" s="15"/>
      <c r="R1725" s="15"/>
    </row>
    <row r="1726" spans="1:18" x14ac:dyDescent="0.25">
      <c r="A1726" s="15"/>
      <c r="R1726" s="15"/>
    </row>
    <row r="1727" spans="1:18" x14ac:dyDescent="0.25">
      <c r="A1727" s="15"/>
      <c r="R1727" s="15"/>
    </row>
    <row r="1728" spans="1:18" x14ac:dyDescent="0.25">
      <c r="A1728" s="15"/>
      <c r="R1728" s="15"/>
    </row>
    <row r="1729" spans="1:18" x14ac:dyDescent="0.25">
      <c r="A1729" s="15"/>
      <c r="R1729" s="15"/>
    </row>
    <row r="1730" spans="1:18" x14ac:dyDescent="0.25">
      <c r="A1730" s="15"/>
      <c r="R1730" s="15"/>
    </row>
    <row r="1731" spans="1:18" x14ac:dyDescent="0.25">
      <c r="A1731" s="15"/>
      <c r="R1731" s="15"/>
    </row>
    <row r="1732" spans="1:18" x14ac:dyDescent="0.25">
      <c r="A1732" s="15"/>
      <c r="R1732" s="15"/>
    </row>
    <row r="1733" spans="1:18" x14ac:dyDescent="0.25">
      <c r="A1733" s="15"/>
      <c r="R1733" s="15"/>
    </row>
    <row r="1734" spans="1:18" x14ac:dyDescent="0.25">
      <c r="A1734" s="15"/>
      <c r="R1734" s="15"/>
    </row>
    <row r="1735" spans="1:18" x14ac:dyDescent="0.25">
      <c r="A1735" s="15"/>
      <c r="R1735" s="15"/>
    </row>
    <row r="1736" spans="1:18" x14ac:dyDescent="0.25">
      <c r="A1736" s="15"/>
      <c r="R1736" s="15"/>
    </row>
    <row r="1737" spans="1:18" x14ac:dyDescent="0.25">
      <c r="A1737" s="15"/>
      <c r="R1737" s="15"/>
    </row>
    <row r="1738" spans="1:18" x14ac:dyDescent="0.25">
      <c r="A1738" s="15"/>
      <c r="R1738" s="15"/>
    </row>
    <row r="1739" spans="1:18" x14ac:dyDescent="0.25">
      <c r="A1739" s="15"/>
      <c r="R1739" s="15"/>
    </row>
    <row r="1740" spans="1:18" x14ac:dyDescent="0.25">
      <c r="A1740" s="15"/>
      <c r="R1740" s="15"/>
    </row>
    <row r="1741" spans="1:18" x14ac:dyDescent="0.25">
      <c r="A1741" s="15"/>
      <c r="R1741" s="15"/>
    </row>
    <row r="1742" spans="1:18" x14ac:dyDescent="0.25">
      <c r="A1742" s="15"/>
      <c r="R1742" s="15"/>
    </row>
    <row r="1743" spans="1:18" x14ac:dyDescent="0.25">
      <c r="A1743" s="15"/>
      <c r="R1743" s="15"/>
    </row>
    <row r="1744" spans="1:18" x14ac:dyDescent="0.25">
      <c r="A1744" s="15"/>
      <c r="R1744" s="15"/>
    </row>
    <row r="1745" spans="1:18" x14ac:dyDescent="0.25">
      <c r="A1745" s="15"/>
      <c r="R1745" s="15"/>
    </row>
    <row r="1746" spans="1:18" x14ac:dyDescent="0.25">
      <c r="A1746" s="15"/>
      <c r="R1746" s="15"/>
    </row>
    <row r="1747" spans="1:18" x14ac:dyDescent="0.25">
      <c r="A1747" s="15"/>
      <c r="R1747" s="15"/>
    </row>
    <row r="1748" spans="1:18" x14ac:dyDescent="0.25">
      <c r="A1748" s="15"/>
      <c r="R1748" s="15"/>
    </row>
    <row r="1749" spans="1:18" x14ac:dyDescent="0.25">
      <c r="A1749" s="15"/>
      <c r="R1749" s="15"/>
    </row>
    <row r="1750" spans="1:18" x14ac:dyDescent="0.25">
      <c r="A1750" s="15"/>
      <c r="R1750" s="15"/>
    </row>
    <row r="1751" spans="1:18" x14ac:dyDescent="0.25">
      <c r="A1751" s="15"/>
      <c r="R1751" s="15"/>
    </row>
    <row r="1752" spans="1:18" x14ac:dyDescent="0.25">
      <c r="A1752" s="15"/>
      <c r="R1752" s="15"/>
    </row>
    <row r="1753" spans="1:18" x14ac:dyDescent="0.25">
      <c r="A1753" s="15"/>
      <c r="R1753" s="15"/>
    </row>
    <row r="1754" spans="1:18" x14ac:dyDescent="0.25">
      <c r="A1754" s="15"/>
      <c r="R1754" s="15"/>
    </row>
    <row r="1755" spans="1:18" x14ac:dyDescent="0.25">
      <c r="A1755" s="15"/>
      <c r="R1755" s="15"/>
    </row>
    <row r="1756" spans="1:18" x14ac:dyDescent="0.25">
      <c r="A1756" s="15"/>
      <c r="R1756" s="15"/>
    </row>
    <row r="1757" spans="1:18" x14ac:dyDescent="0.25">
      <c r="A1757" s="15"/>
      <c r="R1757" s="15"/>
    </row>
    <row r="1758" spans="1:18" x14ac:dyDescent="0.25">
      <c r="A1758" s="15"/>
      <c r="R1758" s="15"/>
    </row>
    <row r="1759" spans="1:18" x14ac:dyDescent="0.25">
      <c r="A1759" s="15"/>
      <c r="R1759" s="15"/>
    </row>
    <row r="1760" spans="1:18" x14ac:dyDescent="0.25">
      <c r="A1760" s="15"/>
      <c r="R1760" s="15"/>
    </row>
    <row r="1761" spans="1:18" x14ac:dyDescent="0.25">
      <c r="A1761" s="15"/>
      <c r="R1761" s="15"/>
    </row>
    <row r="1762" spans="1:18" x14ac:dyDescent="0.25">
      <c r="A1762" s="15"/>
      <c r="R1762" s="15"/>
    </row>
    <row r="1763" spans="1:18" x14ac:dyDescent="0.25">
      <c r="A1763" s="15"/>
      <c r="R1763" s="15"/>
    </row>
    <row r="1764" spans="1:18" x14ac:dyDescent="0.25">
      <c r="A1764" s="15"/>
      <c r="R1764" s="15"/>
    </row>
    <row r="1765" spans="1:18" x14ac:dyDescent="0.25">
      <c r="A1765" s="15"/>
      <c r="R1765" s="15"/>
    </row>
    <row r="1766" spans="1:18" x14ac:dyDescent="0.25">
      <c r="A1766" s="15"/>
      <c r="R1766" s="15"/>
    </row>
    <row r="1767" spans="1:18" x14ac:dyDescent="0.25">
      <c r="A1767" s="15"/>
      <c r="R1767" s="15"/>
    </row>
    <row r="1768" spans="1:18" x14ac:dyDescent="0.25">
      <c r="A1768" s="15"/>
      <c r="R1768" s="15"/>
    </row>
    <row r="1769" spans="1:18" x14ac:dyDescent="0.25">
      <c r="A1769" s="15"/>
      <c r="R1769" s="15"/>
    </row>
    <row r="1770" spans="1:18" x14ac:dyDescent="0.25">
      <c r="A1770" s="15"/>
      <c r="R1770" s="15"/>
    </row>
    <row r="1771" spans="1:18" x14ac:dyDescent="0.25">
      <c r="A1771" s="15"/>
      <c r="R1771" s="15"/>
    </row>
    <row r="1772" spans="1:18" x14ac:dyDescent="0.25">
      <c r="A1772" s="15"/>
      <c r="R1772" s="15"/>
    </row>
    <row r="1773" spans="1:18" x14ac:dyDescent="0.25">
      <c r="A1773" s="15"/>
      <c r="R1773" s="15"/>
    </row>
    <row r="1774" spans="1:18" x14ac:dyDescent="0.25">
      <c r="A1774" s="15"/>
      <c r="R1774" s="15"/>
    </row>
    <row r="1775" spans="1:18" x14ac:dyDescent="0.25">
      <c r="A1775" s="15"/>
      <c r="R1775" s="15"/>
    </row>
    <row r="1776" spans="1:18" x14ac:dyDescent="0.25">
      <c r="A1776" s="15"/>
      <c r="R1776" s="15"/>
    </row>
    <row r="1777" spans="1:18" x14ac:dyDescent="0.25">
      <c r="A1777" s="15"/>
      <c r="R1777" s="15"/>
    </row>
    <row r="1778" spans="1:18" x14ac:dyDescent="0.25">
      <c r="A1778" s="15"/>
      <c r="R1778" s="15"/>
    </row>
    <row r="1779" spans="1:18" x14ac:dyDescent="0.25">
      <c r="A1779" s="15"/>
      <c r="R1779" s="15"/>
    </row>
    <row r="1780" spans="1:18" x14ac:dyDescent="0.25">
      <c r="A1780" s="15"/>
      <c r="R1780" s="15"/>
    </row>
    <row r="1781" spans="1:18" x14ac:dyDescent="0.25">
      <c r="A1781" s="15"/>
      <c r="R1781" s="15"/>
    </row>
    <row r="1782" spans="1:18" x14ac:dyDescent="0.25">
      <c r="A1782" s="15"/>
      <c r="R1782" s="15"/>
    </row>
    <row r="1783" spans="1:18" x14ac:dyDescent="0.25">
      <c r="A1783" s="15"/>
      <c r="R1783" s="15"/>
    </row>
    <row r="1784" spans="1:18" x14ac:dyDescent="0.25">
      <c r="A1784" s="15"/>
      <c r="R1784" s="15"/>
    </row>
    <row r="1785" spans="1:18" x14ac:dyDescent="0.25">
      <c r="A1785" s="15"/>
      <c r="R1785" s="15"/>
    </row>
    <row r="1786" spans="1:18" x14ac:dyDescent="0.25">
      <c r="A1786" s="15"/>
      <c r="R1786" s="15"/>
    </row>
    <row r="1787" spans="1:18" x14ac:dyDescent="0.25">
      <c r="A1787" s="15"/>
      <c r="R1787" s="15"/>
    </row>
    <row r="1788" spans="1:18" x14ac:dyDescent="0.25">
      <c r="A1788" s="15"/>
      <c r="R1788" s="15"/>
    </row>
    <row r="1789" spans="1:18" x14ac:dyDescent="0.25">
      <c r="A1789" s="15"/>
      <c r="R1789" s="15"/>
    </row>
    <row r="1790" spans="1:18" x14ac:dyDescent="0.25">
      <c r="A1790" s="15"/>
      <c r="R1790" s="15"/>
    </row>
    <row r="1791" spans="1:18" x14ac:dyDescent="0.25">
      <c r="A1791" s="15"/>
      <c r="R1791" s="15"/>
    </row>
    <row r="1792" spans="1:18" x14ac:dyDescent="0.25">
      <c r="A1792" s="15"/>
      <c r="R1792" s="15"/>
    </row>
    <row r="1793" spans="1:18" x14ac:dyDescent="0.25">
      <c r="A1793" s="15"/>
      <c r="R1793" s="15"/>
    </row>
    <row r="1794" spans="1:18" x14ac:dyDescent="0.25">
      <c r="A1794" s="15"/>
      <c r="R1794" s="15"/>
    </row>
    <row r="1795" spans="1:18" x14ac:dyDescent="0.25">
      <c r="A1795" s="15"/>
      <c r="R1795" s="15"/>
    </row>
    <row r="1796" spans="1:18" x14ac:dyDescent="0.25">
      <c r="A1796" s="15"/>
      <c r="R1796" s="15"/>
    </row>
    <row r="1797" spans="1:18" x14ac:dyDescent="0.25">
      <c r="A1797" s="15"/>
      <c r="R1797" s="15"/>
    </row>
    <row r="1798" spans="1:18" x14ac:dyDescent="0.25">
      <c r="A1798" s="15"/>
      <c r="R1798" s="15"/>
    </row>
    <row r="1799" spans="1:18" x14ac:dyDescent="0.25">
      <c r="A1799" s="15"/>
      <c r="R1799" s="15"/>
    </row>
    <row r="1800" spans="1:18" x14ac:dyDescent="0.25">
      <c r="A1800" s="15"/>
      <c r="R1800" s="15"/>
    </row>
    <row r="1801" spans="1:18" x14ac:dyDescent="0.25">
      <c r="A1801" s="15"/>
      <c r="R1801" s="15"/>
    </row>
    <row r="1802" spans="1:18" x14ac:dyDescent="0.25">
      <c r="A1802" s="15"/>
      <c r="R1802" s="15"/>
    </row>
    <row r="1803" spans="1:18" x14ac:dyDescent="0.25">
      <c r="A1803" s="15"/>
      <c r="R1803" s="15"/>
    </row>
    <row r="1804" spans="1:18" x14ac:dyDescent="0.25">
      <c r="A1804" s="15"/>
      <c r="R1804" s="15"/>
    </row>
    <row r="1805" spans="1:18" x14ac:dyDescent="0.25">
      <c r="A1805" s="15"/>
      <c r="R1805" s="15"/>
    </row>
    <row r="1806" spans="1:18" x14ac:dyDescent="0.25">
      <c r="A1806" s="15"/>
      <c r="R1806" s="15"/>
    </row>
    <row r="1807" spans="1:18" x14ac:dyDescent="0.25">
      <c r="A1807" s="15"/>
      <c r="R1807" s="15"/>
    </row>
    <row r="1808" spans="1:18" x14ac:dyDescent="0.25">
      <c r="A1808" s="15"/>
      <c r="R1808" s="15"/>
    </row>
    <row r="1809" spans="1:18" x14ac:dyDescent="0.25">
      <c r="A1809" s="15"/>
      <c r="R1809" s="15"/>
    </row>
    <row r="1810" spans="1:18" x14ac:dyDescent="0.25">
      <c r="A1810" s="15"/>
      <c r="R1810" s="15"/>
    </row>
    <row r="1811" spans="1:18" x14ac:dyDescent="0.25">
      <c r="A1811" s="15"/>
      <c r="R1811" s="15"/>
    </row>
    <row r="1812" spans="1:18" x14ac:dyDescent="0.25">
      <c r="A1812" s="15"/>
      <c r="R1812" s="15"/>
    </row>
    <row r="1813" spans="1:18" x14ac:dyDescent="0.25">
      <c r="A1813" s="15"/>
      <c r="R1813" s="15"/>
    </row>
    <row r="1814" spans="1:18" x14ac:dyDescent="0.25">
      <c r="A1814" s="15"/>
      <c r="R1814" s="15"/>
    </row>
    <row r="1815" spans="1:18" x14ac:dyDescent="0.25">
      <c r="A1815" s="15"/>
      <c r="R1815" s="15"/>
    </row>
    <row r="1816" spans="1:18" x14ac:dyDescent="0.25">
      <c r="A1816" s="15"/>
      <c r="R1816" s="15"/>
    </row>
    <row r="1817" spans="1:18" x14ac:dyDescent="0.25">
      <c r="A1817" s="15"/>
      <c r="R1817" s="15"/>
    </row>
    <row r="1818" spans="1:18" x14ac:dyDescent="0.25">
      <c r="A1818" s="15"/>
      <c r="R1818" s="15"/>
    </row>
    <row r="1819" spans="1:18" x14ac:dyDescent="0.25">
      <c r="A1819" s="15"/>
      <c r="R1819" s="15"/>
    </row>
    <row r="1820" spans="1:18" x14ac:dyDescent="0.25">
      <c r="A1820" s="15"/>
      <c r="R1820" s="15"/>
    </row>
    <row r="1821" spans="1:18" x14ac:dyDescent="0.25">
      <c r="A1821" s="15"/>
      <c r="R1821" s="15"/>
    </row>
    <row r="1822" spans="1:18" x14ac:dyDescent="0.25">
      <c r="A1822" s="15"/>
      <c r="R1822" s="15"/>
    </row>
    <row r="1823" spans="1:18" x14ac:dyDescent="0.25">
      <c r="A1823" s="15"/>
      <c r="R1823" s="15"/>
    </row>
    <row r="1824" spans="1:18" x14ac:dyDescent="0.25">
      <c r="A1824" s="15"/>
      <c r="R1824" s="15"/>
    </row>
    <row r="1825" spans="1:18" x14ac:dyDescent="0.25">
      <c r="A1825" s="15"/>
      <c r="R1825" s="15"/>
    </row>
    <row r="1826" spans="1:18" x14ac:dyDescent="0.25">
      <c r="A1826" s="15"/>
      <c r="R1826" s="15"/>
    </row>
    <row r="1827" spans="1:18" x14ac:dyDescent="0.25">
      <c r="A1827" s="15"/>
      <c r="R1827" s="15"/>
    </row>
    <row r="1828" spans="1:18" x14ac:dyDescent="0.25">
      <c r="A1828" s="15"/>
      <c r="R1828" s="15"/>
    </row>
    <row r="1829" spans="1:18" x14ac:dyDescent="0.25">
      <c r="A1829" s="15"/>
      <c r="R1829" s="15"/>
    </row>
    <row r="1830" spans="1:18" x14ac:dyDescent="0.25">
      <c r="A1830" s="15"/>
      <c r="R1830" s="15"/>
    </row>
    <row r="1831" spans="1:18" x14ac:dyDescent="0.25">
      <c r="A1831" s="15"/>
      <c r="R1831" s="15"/>
    </row>
    <row r="1832" spans="1:18" x14ac:dyDescent="0.25">
      <c r="A1832" s="15"/>
      <c r="R1832" s="15"/>
    </row>
    <row r="1833" spans="1:18" x14ac:dyDescent="0.25">
      <c r="A1833" s="15"/>
      <c r="R1833" s="15"/>
    </row>
    <row r="1834" spans="1:18" x14ac:dyDescent="0.25">
      <c r="A1834" s="15"/>
      <c r="R1834" s="15"/>
    </row>
    <row r="1835" spans="1:18" x14ac:dyDescent="0.25">
      <c r="A1835" s="15"/>
      <c r="R1835" s="15"/>
    </row>
    <row r="1836" spans="1:18" x14ac:dyDescent="0.25">
      <c r="A1836" s="15"/>
      <c r="R1836" s="15"/>
    </row>
    <row r="1837" spans="1:18" x14ac:dyDescent="0.25">
      <c r="A1837" s="15"/>
      <c r="R1837" s="15"/>
    </row>
    <row r="1838" spans="1:18" x14ac:dyDescent="0.25">
      <c r="A1838" s="15"/>
      <c r="R1838" s="15"/>
    </row>
    <row r="1839" spans="1:18" x14ac:dyDescent="0.25">
      <c r="A1839" s="15"/>
      <c r="R1839" s="15"/>
    </row>
    <row r="1840" spans="1:18" x14ac:dyDescent="0.25">
      <c r="A1840" s="15"/>
      <c r="R1840" s="15"/>
    </row>
    <row r="1841" spans="1:18" x14ac:dyDescent="0.25">
      <c r="A1841" s="15"/>
      <c r="R1841" s="15"/>
    </row>
    <row r="1842" spans="1:18" x14ac:dyDescent="0.25">
      <c r="A1842" s="15"/>
      <c r="R1842" s="15"/>
    </row>
    <row r="1843" spans="1:18" x14ac:dyDescent="0.25">
      <c r="A1843" s="15"/>
      <c r="R1843" s="15"/>
    </row>
    <row r="1844" spans="1:18" x14ac:dyDescent="0.25">
      <c r="A1844" s="15"/>
      <c r="R1844" s="15"/>
    </row>
    <row r="1845" spans="1:18" x14ac:dyDescent="0.25">
      <c r="A1845" s="15"/>
      <c r="R1845" s="15"/>
    </row>
    <row r="1846" spans="1:18" x14ac:dyDescent="0.25">
      <c r="A1846" s="15"/>
      <c r="R1846" s="15"/>
    </row>
    <row r="1847" spans="1:18" x14ac:dyDescent="0.25">
      <c r="A1847" s="15"/>
      <c r="R1847" s="15"/>
    </row>
    <row r="1848" spans="1:18" x14ac:dyDescent="0.25">
      <c r="A1848" s="15"/>
      <c r="R1848" s="15"/>
    </row>
    <row r="1849" spans="1:18" x14ac:dyDescent="0.25">
      <c r="A1849" s="15"/>
      <c r="R1849" s="15"/>
    </row>
    <row r="1850" spans="1:18" x14ac:dyDescent="0.25">
      <c r="A1850" s="15"/>
      <c r="R1850" s="15"/>
    </row>
    <row r="1851" spans="1:18" x14ac:dyDescent="0.25">
      <c r="A1851" s="15"/>
      <c r="R1851" s="15"/>
    </row>
    <row r="1852" spans="1:18" x14ac:dyDescent="0.25">
      <c r="A1852" s="15"/>
      <c r="R1852" s="15"/>
    </row>
    <row r="1853" spans="1:18" x14ac:dyDescent="0.25">
      <c r="A1853" s="15"/>
      <c r="R1853" s="15"/>
    </row>
    <row r="1854" spans="1:18" x14ac:dyDescent="0.25">
      <c r="A1854" s="15"/>
      <c r="R1854" s="15"/>
    </row>
    <row r="1855" spans="1:18" x14ac:dyDescent="0.25">
      <c r="A1855" s="15"/>
      <c r="R1855" s="15"/>
    </row>
    <row r="1856" spans="1:18" x14ac:dyDescent="0.25">
      <c r="A1856" s="15"/>
      <c r="R1856" s="15"/>
    </row>
    <row r="1857" spans="1:18" x14ac:dyDescent="0.25">
      <c r="A1857" s="15"/>
      <c r="R1857" s="15"/>
    </row>
    <row r="1858" spans="1:18" x14ac:dyDescent="0.25">
      <c r="A1858" s="15"/>
      <c r="R1858" s="15"/>
    </row>
    <row r="1859" spans="1:18" x14ac:dyDescent="0.25">
      <c r="A1859" s="15"/>
      <c r="R1859" s="15"/>
    </row>
    <row r="1860" spans="1:18" x14ac:dyDescent="0.25">
      <c r="A1860" s="15"/>
      <c r="R1860" s="15"/>
    </row>
    <row r="1861" spans="1:18" x14ac:dyDescent="0.25">
      <c r="A1861" s="15"/>
      <c r="R1861" s="15"/>
    </row>
    <row r="1862" spans="1:18" x14ac:dyDescent="0.25">
      <c r="A1862" s="15"/>
      <c r="R1862" s="15"/>
    </row>
    <row r="1863" spans="1:18" x14ac:dyDescent="0.25">
      <c r="A1863" s="15"/>
      <c r="R1863" s="15"/>
    </row>
    <row r="1864" spans="1:18" x14ac:dyDescent="0.25">
      <c r="A1864" s="15"/>
      <c r="R1864" s="15"/>
    </row>
    <row r="1865" spans="1:18" x14ac:dyDescent="0.25">
      <c r="A1865" s="15"/>
      <c r="R1865" s="15"/>
    </row>
    <row r="1866" spans="1:18" x14ac:dyDescent="0.25">
      <c r="A1866" s="15"/>
      <c r="R1866" s="15"/>
    </row>
    <row r="1867" spans="1:18" x14ac:dyDescent="0.25">
      <c r="A1867" s="15"/>
      <c r="R1867" s="15"/>
    </row>
    <row r="1868" spans="1:18" x14ac:dyDescent="0.25">
      <c r="A1868" s="15"/>
      <c r="R1868" s="15"/>
    </row>
    <row r="1869" spans="1:18" x14ac:dyDescent="0.25">
      <c r="A1869" s="15"/>
      <c r="R1869" s="15"/>
    </row>
    <row r="1870" spans="1:18" x14ac:dyDescent="0.25">
      <c r="A1870" s="15"/>
      <c r="R1870" s="15"/>
    </row>
    <row r="1871" spans="1:18" x14ac:dyDescent="0.25">
      <c r="A1871" s="15"/>
      <c r="R1871" s="15"/>
    </row>
    <row r="1872" spans="1:18" x14ac:dyDescent="0.25">
      <c r="A1872" s="15"/>
      <c r="R1872" s="15"/>
    </row>
    <row r="1873" spans="1:18" x14ac:dyDescent="0.25">
      <c r="A1873" s="15"/>
      <c r="R1873" s="15"/>
    </row>
    <row r="1874" spans="1:18" x14ac:dyDescent="0.25">
      <c r="A1874" s="15"/>
      <c r="R1874" s="15"/>
    </row>
    <row r="1875" spans="1:18" x14ac:dyDescent="0.25">
      <c r="A1875" s="15"/>
      <c r="R1875" s="15"/>
    </row>
    <row r="1876" spans="1:18" x14ac:dyDescent="0.25">
      <c r="A1876" s="15"/>
      <c r="R1876" s="15"/>
    </row>
    <row r="1877" spans="1:18" x14ac:dyDescent="0.25">
      <c r="A1877" s="15"/>
      <c r="R1877" s="15"/>
    </row>
    <row r="1878" spans="1:18" x14ac:dyDescent="0.25">
      <c r="A1878" s="15"/>
      <c r="R1878" s="15"/>
    </row>
    <row r="1879" spans="1:18" x14ac:dyDescent="0.25">
      <c r="A1879" s="15"/>
      <c r="R1879" s="15"/>
    </row>
    <row r="1880" spans="1:18" x14ac:dyDescent="0.25">
      <c r="A1880" s="15"/>
      <c r="R1880" s="15"/>
    </row>
    <row r="1881" spans="1:18" x14ac:dyDescent="0.25">
      <c r="A1881" s="15"/>
      <c r="R1881" s="15"/>
    </row>
    <row r="1882" spans="1:18" x14ac:dyDescent="0.25">
      <c r="A1882" s="15"/>
      <c r="R1882" s="15"/>
    </row>
    <row r="1883" spans="1:18" x14ac:dyDescent="0.25">
      <c r="A1883" s="15"/>
      <c r="R1883" s="15"/>
    </row>
    <row r="1884" spans="1:18" x14ac:dyDescent="0.25">
      <c r="A1884" s="15"/>
      <c r="R1884" s="15"/>
    </row>
    <row r="1885" spans="1:18" x14ac:dyDescent="0.25">
      <c r="A1885" s="15"/>
      <c r="R1885" s="15"/>
    </row>
    <row r="1886" spans="1:18" x14ac:dyDescent="0.25">
      <c r="A1886" s="15"/>
      <c r="R1886" s="15"/>
    </row>
    <row r="1887" spans="1:18" x14ac:dyDescent="0.25">
      <c r="A1887" s="15"/>
      <c r="R1887" s="15"/>
    </row>
    <row r="1888" spans="1:18" x14ac:dyDescent="0.25">
      <c r="A1888" s="15"/>
      <c r="R1888" s="15"/>
    </row>
    <row r="1889" spans="1:18" x14ac:dyDescent="0.25">
      <c r="A1889" s="15"/>
      <c r="R1889" s="15"/>
    </row>
    <row r="1890" spans="1:18" x14ac:dyDescent="0.25">
      <c r="A1890" s="15"/>
      <c r="R1890" s="15"/>
    </row>
    <row r="1891" spans="1:18" x14ac:dyDescent="0.25">
      <c r="A1891" s="15"/>
      <c r="R1891" s="15"/>
    </row>
    <row r="1892" spans="1:18" x14ac:dyDescent="0.25">
      <c r="A1892" s="15"/>
      <c r="R1892" s="15"/>
    </row>
    <row r="1893" spans="1:18" x14ac:dyDescent="0.25">
      <c r="A1893" s="15"/>
      <c r="R1893" s="15"/>
    </row>
    <row r="1894" spans="1:18" x14ac:dyDescent="0.25">
      <c r="A1894" s="15"/>
      <c r="R1894" s="15"/>
    </row>
    <row r="1895" spans="1:18" x14ac:dyDescent="0.25">
      <c r="A1895" s="15"/>
      <c r="R1895" s="15"/>
    </row>
    <row r="1896" spans="1:18" x14ac:dyDescent="0.25">
      <c r="A1896" s="15"/>
      <c r="R1896" s="15"/>
    </row>
    <row r="1897" spans="1:18" x14ac:dyDescent="0.25">
      <c r="A1897" s="15"/>
      <c r="R1897" s="15"/>
    </row>
    <row r="1898" spans="1:18" x14ac:dyDescent="0.25">
      <c r="A1898" s="15"/>
      <c r="R1898" s="15"/>
    </row>
    <row r="1899" spans="1:18" x14ac:dyDescent="0.25">
      <c r="A1899" s="15"/>
      <c r="R1899" s="15"/>
    </row>
    <row r="1900" spans="1:18" x14ac:dyDescent="0.25">
      <c r="A1900" s="15"/>
      <c r="R1900" s="15"/>
    </row>
    <row r="1901" spans="1:18" x14ac:dyDescent="0.25">
      <c r="A1901" s="15"/>
      <c r="R1901" s="15"/>
    </row>
    <row r="1902" spans="1:18" x14ac:dyDescent="0.25">
      <c r="A1902" s="15"/>
      <c r="R1902" s="15"/>
    </row>
    <row r="1903" spans="1:18" x14ac:dyDescent="0.25">
      <c r="A1903" s="15"/>
      <c r="R1903" s="15"/>
    </row>
    <row r="1904" spans="1:18" x14ac:dyDescent="0.25">
      <c r="A1904" s="15"/>
      <c r="R1904" s="15"/>
    </row>
    <row r="1905" spans="1:18" x14ac:dyDescent="0.25">
      <c r="A1905" s="15"/>
      <c r="R1905" s="15"/>
    </row>
    <row r="1906" spans="1:18" x14ac:dyDescent="0.25">
      <c r="A1906" s="15"/>
      <c r="R1906" s="15"/>
    </row>
    <row r="1907" spans="1:18" x14ac:dyDescent="0.25">
      <c r="A1907" s="15"/>
      <c r="R1907" s="15"/>
    </row>
    <row r="1908" spans="1:18" x14ac:dyDescent="0.25">
      <c r="A1908" s="15"/>
      <c r="R1908" s="15"/>
    </row>
    <row r="1909" spans="1:18" x14ac:dyDescent="0.25">
      <c r="A1909" s="15"/>
      <c r="R1909" s="15"/>
    </row>
    <row r="1910" spans="1:18" x14ac:dyDescent="0.25">
      <c r="A1910" s="15"/>
      <c r="R1910" s="15"/>
    </row>
    <row r="1911" spans="1:18" x14ac:dyDescent="0.25">
      <c r="A1911" s="15"/>
      <c r="R1911" s="15"/>
    </row>
    <row r="1912" spans="1:18" x14ac:dyDescent="0.25">
      <c r="A1912" s="15"/>
      <c r="R1912" s="15"/>
    </row>
    <row r="1913" spans="1:18" x14ac:dyDescent="0.25">
      <c r="A1913" s="15"/>
      <c r="R1913" s="15"/>
    </row>
    <row r="1914" spans="1:18" x14ac:dyDescent="0.25">
      <c r="A1914" s="15"/>
      <c r="R1914" s="15"/>
    </row>
    <row r="1915" spans="1:18" x14ac:dyDescent="0.25">
      <c r="A1915" s="15"/>
      <c r="R1915" s="15"/>
    </row>
    <row r="1916" spans="1:18" x14ac:dyDescent="0.25">
      <c r="A1916" s="15"/>
      <c r="R1916" s="15"/>
    </row>
    <row r="1917" spans="1:18" x14ac:dyDescent="0.25">
      <c r="A1917" s="15"/>
      <c r="R1917" s="15"/>
    </row>
    <row r="1918" spans="1:18" x14ac:dyDescent="0.25">
      <c r="A1918" s="15"/>
      <c r="R1918" s="15"/>
    </row>
    <row r="1919" spans="1:18" x14ac:dyDescent="0.25">
      <c r="A1919" s="15"/>
      <c r="R1919" s="15"/>
    </row>
    <row r="1920" spans="1:18" x14ac:dyDescent="0.25">
      <c r="A1920" s="15"/>
      <c r="R1920" s="15"/>
    </row>
    <row r="1921" spans="1:18" x14ac:dyDescent="0.25">
      <c r="A1921" s="15"/>
      <c r="R1921" s="15"/>
    </row>
    <row r="1922" spans="1:18" x14ac:dyDescent="0.25">
      <c r="A1922" s="15"/>
      <c r="R1922" s="15"/>
    </row>
    <row r="1923" spans="1:18" x14ac:dyDescent="0.25">
      <c r="A1923" s="15"/>
      <c r="R1923" s="15"/>
    </row>
    <row r="1924" spans="1:18" x14ac:dyDescent="0.25">
      <c r="A1924" s="15"/>
      <c r="R1924" s="15"/>
    </row>
    <row r="1925" spans="1:18" x14ac:dyDescent="0.25">
      <c r="A1925" s="15"/>
      <c r="R1925" s="15"/>
    </row>
    <row r="1926" spans="1:18" x14ac:dyDescent="0.25">
      <c r="A1926" s="15"/>
      <c r="R1926" s="15"/>
    </row>
    <row r="1927" spans="1:18" x14ac:dyDescent="0.25">
      <c r="A1927" s="15"/>
      <c r="R1927" s="15"/>
    </row>
    <row r="1928" spans="1:18" x14ac:dyDescent="0.25">
      <c r="A1928" s="15"/>
      <c r="R1928" s="15"/>
    </row>
    <row r="1929" spans="1:18" x14ac:dyDescent="0.25">
      <c r="A1929" s="15"/>
      <c r="R1929" s="15"/>
    </row>
    <row r="1930" spans="1:18" x14ac:dyDescent="0.25">
      <c r="A1930" s="15"/>
      <c r="R1930" s="15"/>
    </row>
    <row r="1931" spans="1:18" x14ac:dyDescent="0.25">
      <c r="A1931" s="15"/>
      <c r="R1931" s="15"/>
    </row>
    <row r="1932" spans="1:18" x14ac:dyDescent="0.25">
      <c r="A1932" s="15"/>
      <c r="R1932" s="15"/>
    </row>
    <row r="1933" spans="1:18" x14ac:dyDescent="0.25">
      <c r="A1933" s="15"/>
      <c r="R1933" s="15"/>
    </row>
    <row r="1934" spans="1:18" x14ac:dyDescent="0.25">
      <c r="A1934" s="15"/>
      <c r="R1934" s="15"/>
    </row>
    <row r="1935" spans="1:18" x14ac:dyDescent="0.25">
      <c r="A1935" s="15"/>
      <c r="R1935" s="15"/>
    </row>
    <row r="1936" spans="1:18" x14ac:dyDescent="0.25">
      <c r="A1936" s="15"/>
      <c r="R1936" s="15"/>
    </row>
    <row r="1937" spans="1:18" x14ac:dyDescent="0.25">
      <c r="A1937" s="15"/>
      <c r="R1937" s="15"/>
    </row>
    <row r="1938" spans="1:18" x14ac:dyDescent="0.25">
      <c r="A1938" s="15"/>
      <c r="R1938" s="15"/>
    </row>
    <row r="1939" spans="1:18" x14ac:dyDescent="0.25">
      <c r="A1939" s="15"/>
      <c r="R1939" s="15"/>
    </row>
    <row r="1940" spans="1:18" x14ac:dyDescent="0.25">
      <c r="A1940" s="15"/>
      <c r="R1940" s="15"/>
    </row>
    <row r="1941" spans="1:18" x14ac:dyDescent="0.25">
      <c r="A1941" s="15"/>
      <c r="R1941" s="15"/>
    </row>
    <row r="1942" spans="1:18" x14ac:dyDescent="0.25">
      <c r="A1942" s="15"/>
      <c r="R1942" s="15"/>
    </row>
    <row r="1943" spans="1:18" x14ac:dyDescent="0.25">
      <c r="A1943" s="15"/>
      <c r="R1943" s="15"/>
    </row>
    <row r="1944" spans="1:18" x14ac:dyDescent="0.25">
      <c r="A1944" s="15"/>
      <c r="R1944" s="15"/>
    </row>
    <row r="1945" spans="1:18" x14ac:dyDescent="0.25">
      <c r="A1945" s="15"/>
      <c r="R1945" s="15"/>
    </row>
    <row r="1946" spans="1:18" x14ac:dyDescent="0.25">
      <c r="A1946" s="15"/>
      <c r="R1946" s="15"/>
    </row>
    <row r="1947" spans="1:18" x14ac:dyDescent="0.25">
      <c r="A1947" s="15"/>
      <c r="R1947" s="15"/>
    </row>
    <row r="1948" spans="1:18" x14ac:dyDescent="0.25">
      <c r="A1948" s="15"/>
      <c r="R1948" s="15"/>
    </row>
    <row r="1949" spans="1:18" x14ac:dyDescent="0.25">
      <c r="A1949" s="15"/>
      <c r="R1949" s="15"/>
    </row>
    <row r="1950" spans="1:18" x14ac:dyDescent="0.25">
      <c r="A1950" s="15"/>
      <c r="R1950" s="15"/>
    </row>
    <row r="1951" spans="1:18" x14ac:dyDescent="0.25">
      <c r="A1951" s="15"/>
      <c r="R1951" s="15"/>
    </row>
    <row r="1952" spans="1:18" x14ac:dyDescent="0.25">
      <c r="A1952" s="15"/>
      <c r="R1952" s="15"/>
    </row>
    <row r="1953" spans="1:18" x14ac:dyDescent="0.25">
      <c r="A1953" s="15"/>
      <c r="R1953" s="15"/>
    </row>
    <row r="1954" spans="1:18" x14ac:dyDescent="0.25">
      <c r="A1954" s="15"/>
      <c r="R1954" s="15"/>
    </row>
    <row r="1955" spans="1:18" x14ac:dyDescent="0.25">
      <c r="A1955" s="15"/>
      <c r="R1955" s="15"/>
    </row>
    <row r="1956" spans="1:18" x14ac:dyDescent="0.25">
      <c r="A1956" s="15"/>
      <c r="R1956" s="15"/>
    </row>
    <row r="1957" spans="1:18" x14ac:dyDescent="0.25">
      <c r="A1957" s="15"/>
      <c r="R1957" s="15"/>
    </row>
    <row r="1958" spans="1:18" x14ac:dyDescent="0.25">
      <c r="A1958" s="15"/>
      <c r="R1958" s="15"/>
    </row>
    <row r="1959" spans="1:18" x14ac:dyDescent="0.25">
      <c r="A1959" s="15"/>
      <c r="R1959" s="15"/>
    </row>
    <row r="1960" spans="1:18" x14ac:dyDescent="0.25">
      <c r="A1960" s="15"/>
      <c r="R1960" s="15"/>
    </row>
    <row r="1961" spans="1:18" x14ac:dyDescent="0.25">
      <c r="A1961" s="15"/>
      <c r="R1961" s="15"/>
    </row>
    <row r="1962" spans="1:18" x14ac:dyDescent="0.25">
      <c r="A1962" s="15"/>
      <c r="R1962" s="15"/>
    </row>
    <row r="1963" spans="1:18" x14ac:dyDescent="0.25">
      <c r="A1963" s="15"/>
      <c r="R1963" s="15"/>
    </row>
    <row r="1964" spans="1:18" x14ac:dyDescent="0.25">
      <c r="A1964" s="15"/>
      <c r="R1964" s="15"/>
    </row>
    <row r="1965" spans="1:18" x14ac:dyDescent="0.25">
      <c r="A1965" s="15"/>
      <c r="R1965" s="15"/>
    </row>
    <row r="1966" spans="1:18" x14ac:dyDescent="0.25">
      <c r="A1966" s="15"/>
      <c r="R1966" s="15"/>
    </row>
    <row r="1967" spans="1:18" x14ac:dyDescent="0.25">
      <c r="A1967" s="15"/>
      <c r="R1967" s="15"/>
    </row>
    <row r="1968" spans="1:18" x14ac:dyDescent="0.25">
      <c r="A1968" s="15"/>
      <c r="R1968" s="15"/>
    </row>
    <row r="1969" spans="1:18" x14ac:dyDescent="0.25">
      <c r="A1969" s="15"/>
      <c r="R1969" s="15"/>
    </row>
    <row r="1970" spans="1:18" x14ac:dyDescent="0.25">
      <c r="A1970" s="15"/>
      <c r="R1970" s="15"/>
    </row>
    <row r="1971" spans="1:18" x14ac:dyDescent="0.25">
      <c r="A1971" s="15"/>
      <c r="R1971" s="15"/>
    </row>
    <row r="1972" spans="1:18" x14ac:dyDescent="0.25">
      <c r="A1972" s="15"/>
      <c r="R1972" s="15"/>
    </row>
    <row r="1973" spans="1:18" x14ac:dyDescent="0.25">
      <c r="A1973" s="15"/>
      <c r="R1973" s="15"/>
    </row>
    <row r="1974" spans="1:18" x14ac:dyDescent="0.25">
      <c r="A1974" s="15"/>
      <c r="R1974" s="15"/>
    </row>
    <row r="1975" spans="1:18" x14ac:dyDescent="0.25">
      <c r="A1975" s="15"/>
      <c r="R1975" s="15"/>
    </row>
    <row r="1976" spans="1:18" x14ac:dyDescent="0.25">
      <c r="A1976" s="15"/>
      <c r="R1976" s="15"/>
    </row>
    <row r="1977" spans="1:18" x14ac:dyDescent="0.25">
      <c r="A1977" s="15"/>
      <c r="R1977" s="15"/>
    </row>
    <row r="1978" spans="1:18" x14ac:dyDescent="0.25">
      <c r="A1978" s="15"/>
      <c r="R1978" s="15"/>
    </row>
    <row r="1979" spans="1:18" x14ac:dyDescent="0.25">
      <c r="A1979" s="15"/>
      <c r="R1979" s="15"/>
    </row>
    <row r="1980" spans="1:18" x14ac:dyDescent="0.25">
      <c r="A1980" s="15"/>
      <c r="R1980" s="15"/>
    </row>
    <row r="1981" spans="1:18" x14ac:dyDescent="0.25">
      <c r="A1981" s="15"/>
      <c r="R1981" s="15"/>
    </row>
    <row r="1982" spans="1:18" x14ac:dyDescent="0.25">
      <c r="A1982" s="15"/>
      <c r="R1982" s="15"/>
    </row>
    <row r="1983" spans="1:18" x14ac:dyDescent="0.25">
      <c r="A1983" s="15"/>
      <c r="R1983" s="15"/>
    </row>
    <row r="1984" spans="1:18" x14ac:dyDescent="0.25">
      <c r="A1984" s="15"/>
      <c r="R1984" s="15"/>
    </row>
    <row r="1985" spans="1:18" x14ac:dyDescent="0.25">
      <c r="A1985" s="15"/>
      <c r="R1985" s="15"/>
    </row>
    <row r="1986" spans="1:18" x14ac:dyDescent="0.25">
      <c r="A1986" s="15"/>
      <c r="R1986" s="15"/>
    </row>
    <row r="1987" spans="1:18" x14ac:dyDescent="0.25">
      <c r="A1987" s="15"/>
      <c r="R1987" s="15"/>
    </row>
    <row r="1988" spans="1:18" x14ac:dyDescent="0.25">
      <c r="A1988" s="15"/>
      <c r="R1988" s="15"/>
    </row>
    <row r="1989" spans="1:18" x14ac:dyDescent="0.25">
      <c r="A1989" s="15"/>
      <c r="R1989" s="15"/>
    </row>
    <row r="1990" spans="1:18" x14ac:dyDescent="0.25">
      <c r="A1990" s="15"/>
      <c r="R1990" s="15"/>
    </row>
    <row r="1991" spans="1:18" x14ac:dyDescent="0.25">
      <c r="A1991" s="15"/>
      <c r="R1991" s="15"/>
    </row>
    <row r="1992" spans="1:18" x14ac:dyDescent="0.25">
      <c r="A1992" s="15"/>
      <c r="R1992" s="15"/>
    </row>
    <row r="1993" spans="1:18" x14ac:dyDescent="0.25">
      <c r="A1993" s="15"/>
      <c r="R1993" s="15"/>
    </row>
    <row r="1994" spans="1:18" x14ac:dyDescent="0.25">
      <c r="A1994" s="15"/>
      <c r="R1994" s="15"/>
    </row>
    <row r="1995" spans="1:18" x14ac:dyDescent="0.25">
      <c r="A1995" s="15"/>
      <c r="R1995" s="15"/>
    </row>
    <row r="1996" spans="1:18" x14ac:dyDescent="0.25">
      <c r="A1996" s="15"/>
      <c r="R1996" s="15"/>
    </row>
    <row r="1997" spans="1:18" x14ac:dyDescent="0.25">
      <c r="A1997" s="15"/>
      <c r="R1997" s="15"/>
    </row>
    <row r="1998" spans="1:18" x14ac:dyDescent="0.25">
      <c r="A1998" s="15"/>
      <c r="R1998" s="15"/>
    </row>
    <row r="1999" spans="1:18" x14ac:dyDescent="0.25">
      <c r="A1999" s="15"/>
      <c r="R1999" s="15"/>
    </row>
    <row r="2000" spans="1:18" x14ac:dyDescent="0.25">
      <c r="A2000" s="15"/>
      <c r="R2000" s="15"/>
    </row>
    <row r="2001" spans="1:18" x14ac:dyDescent="0.25">
      <c r="A2001" s="15"/>
      <c r="R2001" s="15"/>
    </row>
    <row r="2002" spans="1:18" x14ac:dyDescent="0.25">
      <c r="A2002" s="15"/>
      <c r="R2002" s="15"/>
    </row>
    <row r="2003" spans="1:18" x14ac:dyDescent="0.25">
      <c r="A2003" s="15"/>
      <c r="R2003" s="15"/>
    </row>
    <row r="2004" spans="1:18" x14ac:dyDescent="0.25">
      <c r="A2004" s="15"/>
      <c r="R2004" s="15"/>
    </row>
    <row r="2005" spans="1:18" x14ac:dyDescent="0.25">
      <c r="A2005" s="15"/>
      <c r="R2005" s="15"/>
    </row>
    <row r="2006" spans="1:18" x14ac:dyDescent="0.25">
      <c r="A2006" s="15"/>
      <c r="R2006" s="15"/>
    </row>
    <row r="2007" spans="1:18" x14ac:dyDescent="0.25">
      <c r="A2007" s="15"/>
      <c r="R2007" s="15"/>
    </row>
    <row r="2008" spans="1:18" x14ac:dyDescent="0.25">
      <c r="A2008" s="15"/>
      <c r="R2008" s="15"/>
    </row>
    <row r="2009" spans="1:18" x14ac:dyDescent="0.25">
      <c r="A2009" s="15"/>
      <c r="R2009" s="15"/>
    </row>
    <row r="2010" spans="1:18" x14ac:dyDescent="0.25">
      <c r="A2010" s="15"/>
      <c r="R2010" s="15"/>
    </row>
    <row r="2011" spans="1:18" x14ac:dyDescent="0.25">
      <c r="A2011" s="15"/>
      <c r="R2011" s="15"/>
    </row>
    <row r="2012" spans="1:18" x14ac:dyDescent="0.25">
      <c r="A2012" s="15"/>
      <c r="R2012" s="15"/>
    </row>
    <row r="2013" spans="1:18" x14ac:dyDescent="0.25">
      <c r="A2013" s="15"/>
      <c r="R2013" s="15"/>
    </row>
    <row r="2014" spans="1:18" x14ac:dyDescent="0.25">
      <c r="A2014" s="15"/>
      <c r="R2014" s="15"/>
    </row>
    <row r="2015" spans="1:18" x14ac:dyDescent="0.25">
      <c r="A2015" s="15"/>
      <c r="R2015" s="15"/>
    </row>
    <row r="2016" spans="1:18" x14ac:dyDescent="0.25">
      <c r="A2016" s="15"/>
      <c r="R2016" s="15"/>
    </row>
    <row r="2017" spans="1:18" x14ac:dyDescent="0.25">
      <c r="A2017" s="15"/>
      <c r="R2017" s="15"/>
    </row>
    <row r="2018" spans="1:18" x14ac:dyDescent="0.25">
      <c r="A2018" s="15"/>
      <c r="R2018" s="15"/>
    </row>
    <row r="2019" spans="1:18" x14ac:dyDescent="0.25">
      <c r="A2019" s="15"/>
      <c r="R2019" s="15"/>
    </row>
    <row r="2020" spans="1:18" x14ac:dyDescent="0.25">
      <c r="A2020" s="15"/>
      <c r="R2020" s="15"/>
    </row>
    <row r="2021" spans="1:18" x14ac:dyDescent="0.25">
      <c r="A2021" s="15"/>
      <c r="R2021" s="15"/>
    </row>
    <row r="2022" spans="1:18" x14ac:dyDescent="0.25">
      <c r="A2022" s="15"/>
      <c r="R2022" s="15"/>
    </row>
    <row r="2023" spans="1:18" x14ac:dyDescent="0.25">
      <c r="A2023" s="15"/>
      <c r="R2023" s="15"/>
    </row>
    <row r="2024" spans="1:18" x14ac:dyDescent="0.25">
      <c r="A2024" s="15"/>
      <c r="R2024" s="15"/>
    </row>
    <row r="2025" spans="1:18" x14ac:dyDescent="0.25">
      <c r="A2025" s="15"/>
      <c r="R2025" s="15"/>
    </row>
    <row r="2026" spans="1:18" x14ac:dyDescent="0.25">
      <c r="A2026" s="15"/>
      <c r="R2026" s="15"/>
    </row>
    <row r="2027" spans="1:18" x14ac:dyDescent="0.25">
      <c r="A2027" s="15"/>
      <c r="R2027" s="15"/>
    </row>
    <row r="2028" spans="1:18" x14ac:dyDescent="0.25">
      <c r="A2028" s="15"/>
      <c r="R2028" s="15"/>
    </row>
    <row r="2029" spans="1:18" x14ac:dyDescent="0.25">
      <c r="A2029" s="15"/>
      <c r="R2029" s="15"/>
    </row>
    <row r="2030" spans="1:18" x14ac:dyDescent="0.25">
      <c r="A2030" s="15"/>
      <c r="R2030" s="15"/>
    </row>
    <row r="2031" spans="1:18" x14ac:dyDescent="0.25">
      <c r="A2031" s="15"/>
      <c r="R2031" s="15"/>
    </row>
    <row r="2032" spans="1:18" x14ac:dyDescent="0.25">
      <c r="A2032" s="15"/>
      <c r="R2032" s="15"/>
    </row>
    <row r="2033" spans="1:18" x14ac:dyDescent="0.25">
      <c r="A2033" s="15"/>
      <c r="R2033" s="15"/>
    </row>
    <row r="2034" spans="1:18" x14ac:dyDescent="0.25">
      <c r="A2034" s="15"/>
      <c r="R2034" s="15"/>
    </row>
    <row r="2035" spans="1:18" x14ac:dyDescent="0.25">
      <c r="A2035" s="15"/>
      <c r="R2035" s="15"/>
    </row>
    <row r="2036" spans="1:18" x14ac:dyDescent="0.25">
      <c r="A2036" s="15"/>
      <c r="R2036" s="15"/>
    </row>
    <row r="2037" spans="1:18" x14ac:dyDescent="0.25">
      <c r="A2037" s="15"/>
      <c r="R2037" s="15"/>
    </row>
    <row r="2038" spans="1:18" x14ac:dyDescent="0.25">
      <c r="A2038" s="15"/>
      <c r="R2038" s="15"/>
    </row>
    <row r="2039" spans="1:18" x14ac:dyDescent="0.25">
      <c r="A2039" s="15"/>
      <c r="R2039" s="15"/>
    </row>
    <row r="2040" spans="1:18" x14ac:dyDescent="0.25">
      <c r="A2040" s="15"/>
      <c r="R2040" s="15"/>
    </row>
    <row r="2041" spans="1:18" x14ac:dyDescent="0.25">
      <c r="A2041" s="15"/>
      <c r="R2041" s="15"/>
    </row>
    <row r="2042" spans="1:18" x14ac:dyDescent="0.25">
      <c r="A2042" s="15"/>
      <c r="R2042" s="15"/>
    </row>
    <row r="2043" spans="1:18" x14ac:dyDescent="0.25">
      <c r="A2043" s="15"/>
      <c r="R2043" s="15"/>
    </row>
    <row r="2044" spans="1:18" x14ac:dyDescent="0.25">
      <c r="A2044" s="15"/>
      <c r="R2044" s="15"/>
    </row>
    <row r="2045" spans="1:18" x14ac:dyDescent="0.25">
      <c r="A2045" s="15"/>
      <c r="R2045" s="15"/>
    </row>
    <row r="2046" spans="1:18" x14ac:dyDescent="0.25">
      <c r="A2046" s="15"/>
      <c r="R2046" s="15"/>
    </row>
    <row r="2047" spans="1:18" x14ac:dyDescent="0.25">
      <c r="A2047" s="15"/>
      <c r="R2047" s="15"/>
    </row>
    <row r="2048" spans="1:18" x14ac:dyDescent="0.25">
      <c r="A2048" s="15"/>
      <c r="R2048" s="15"/>
    </row>
    <row r="2049" spans="1:18" x14ac:dyDescent="0.25">
      <c r="A2049" s="15"/>
      <c r="R2049" s="15"/>
    </row>
    <row r="2050" spans="1:18" x14ac:dyDescent="0.25">
      <c r="A2050" s="15"/>
      <c r="R2050" s="15"/>
    </row>
    <row r="2051" spans="1:18" x14ac:dyDescent="0.25">
      <c r="A2051" s="15"/>
      <c r="R2051" s="15"/>
    </row>
    <row r="2052" spans="1:18" x14ac:dyDescent="0.25">
      <c r="A2052" s="15"/>
      <c r="R2052" s="15"/>
    </row>
    <row r="2053" spans="1:18" x14ac:dyDescent="0.25">
      <c r="A2053" s="15"/>
      <c r="R2053" s="15"/>
    </row>
    <row r="2054" spans="1:18" x14ac:dyDescent="0.25">
      <c r="A2054" s="15"/>
      <c r="R2054" s="15"/>
    </row>
    <row r="2055" spans="1:18" x14ac:dyDescent="0.25">
      <c r="A2055" s="15"/>
      <c r="R2055" s="15"/>
    </row>
    <row r="2056" spans="1:18" x14ac:dyDescent="0.25">
      <c r="A2056" s="15"/>
      <c r="R2056" s="15"/>
    </row>
    <row r="2057" spans="1:18" x14ac:dyDescent="0.25">
      <c r="A2057" s="15"/>
      <c r="R2057" s="15"/>
    </row>
    <row r="2058" spans="1:18" x14ac:dyDescent="0.25">
      <c r="A2058" s="15"/>
      <c r="R2058" s="15"/>
    </row>
    <row r="2059" spans="1:18" x14ac:dyDescent="0.25">
      <c r="A2059" s="15"/>
      <c r="R2059" s="15"/>
    </row>
    <row r="2060" spans="1:18" x14ac:dyDescent="0.25">
      <c r="A2060" s="15"/>
      <c r="R2060" s="15"/>
    </row>
    <row r="2061" spans="1:18" x14ac:dyDescent="0.25">
      <c r="A2061" s="15"/>
      <c r="R2061" s="15"/>
    </row>
    <row r="2062" spans="1:18" x14ac:dyDescent="0.25">
      <c r="A2062" s="15"/>
      <c r="R2062" s="15"/>
    </row>
    <row r="2063" spans="1:18" x14ac:dyDescent="0.25">
      <c r="A2063" s="15"/>
      <c r="R2063" s="15"/>
    </row>
    <row r="2064" spans="1:18" x14ac:dyDescent="0.25">
      <c r="A2064" s="15"/>
      <c r="R2064" s="15"/>
    </row>
    <row r="2065" spans="1:18" x14ac:dyDescent="0.25">
      <c r="A2065" s="15"/>
      <c r="R2065" s="15"/>
    </row>
    <row r="2066" spans="1:18" x14ac:dyDescent="0.25">
      <c r="A2066" s="15"/>
      <c r="R2066" s="15"/>
    </row>
    <row r="2067" spans="1:18" x14ac:dyDescent="0.25">
      <c r="A2067" s="15"/>
      <c r="R2067" s="15"/>
    </row>
    <row r="2068" spans="1:18" x14ac:dyDescent="0.25">
      <c r="A2068" s="15"/>
      <c r="R2068" s="15"/>
    </row>
    <row r="2069" spans="1:18" x14ac:dyDescent="0.25">
      <c r="A2069" s="15"/>
      <c r="R2069" s="15"/>
    </row>
    <row r="2070" spans="1:18" x14ac:dyDescent="0.25">
      <c r="A2070" s="15"/>
      <c r="R2070" s="15"/>
    </row>
    <row r="2071" spans="1:18" x14ac:dyDescent="0.25">
      <c r="A2071" s="15"/>
      <c r="R2071" s="15"/>
    </row>
    <row r="2072" spans="1:18" x14ac:dyDescent="0.25">
      <c r="A2072" s="15"/>
      <c r="R2072" s="15"/>
    </row>
    <row r="2073" spans="1:18" x14ac:dyDescent="0.25">
      <c r="A2073" s="15"/>
      <c r="R2073" s="15"/>
    </row>
    <row r="2074" spans="1:18" x14ac:dyDescent="0.25">
      <c r="A2074" s="15"/>
      <c r="R2074" s="15"/>
    </row>
    <row r="2075" spans="1:18" x14ac:dyDescent="0.25">
      <c r="A2075" s="15"/>
      <c r="R2075" s="15"/>
    </row>
    <row r="2076" spans="1:18" x14ac:dyDescent="0.25">
      <c r="A2076" s="15"/>
      <c r="R2076" s="15"/>
    </row>
    <row r="2077" spans="1:18" x14ac:dyDescent="0.25">
      <c r="A2077" s="15"/>
      <c r="R2077" s="15"/>
    </row>
    <row r="2078" spans="1:18" x14ac:dyDescent="0.25">
      <c r="A2078" s="15"/>
      <c r="R2078" s="15"/>
    </row>
    <row r="2079" spans="1:18" x14ac:dyDescent="0.25">
      <c r="A2079" s="15"/>
      <c r="R2079" s="15"/>
    </row>
    <row r="2080" spans="1:18" x14ac:dyDescent="0.25">
      <c r="A2080" s="15"/>
      <c r="R2080" s="15"/>
    </row>
    <row r="2081" spans="1:18" x14ac:dyDescent="0.25">
      <c r="A2081" s="15"/>
      <c r="R2081" s="15"/>
    </row>
    <row r="2082" spans="1:18" x14ac:dyDescent="0.25">
      <c r="A2082" s="15"/>
      <c r="R2082" s="15"/>
    </row>
    <row r="2083" spans="1:18" x14ac:dyDescent="0.25">
      <c r="A2083" s="15"/>
      <c r="R2083" s="15"/>
    </row>
    <row r="2084" spans="1:18" x14ac:dyDescent="0.25">
      <c r="A2084" s="15"/>
      <c r="R2084" s="15"/>
    </row>
    <row r="2085" spans="1:18" x14ac:dyDescent="0.25">
      <c r="A2085" s="15"/>
      <c r="R2085" s="15"/>
    </row>
    <row r="2086" spans="1:18" x14ac:dyDescent="0.25">
      <c r="A2086" s="15"/>
      <c r="R2086" s="15"/>
    </row>
    <row r="2087" spans="1:18" x14ac:dyDescent="0.25">
      <c r="A2087" s="15"/>
      <c r="R2087" s="15"/>
    </row>
    <row r="2088" spans="1:18" x14ac:dyDescent="0.25">
      <c r="A2088" s="15"/>
      <c r="R2088" s="15"/>
    </row>
    <row r="2089" spans="1:18" x14ac:dyDescent="0.25">
      <c r="A2089" s="15"/>
      <c r="R2089" s="15"/>
    </row>
    <row r="2090" spans="1:18" x14ac:dyDescent="0.25">
      <c r="A2090" s="15"/>
      <c r="R2090" s="15"/>
    </row>
    <row r="2091" spans="1:18" x14ac:dyDescent="0.25">
      <c r="A2091" s="15"/>
      <c r="R2091" s="15"/>
    </row>
    <row r="2092" spans="1:18" x14ac:dyDescent="0.25">
      <c r="A2092" s="15"/>
      <c r="R2092" s="15"/>
    </row>
    <row r="2093" spans="1:18" x14ac:dyDescent="0.25">
      <c r="A2093" s="15"/>
      <c r="R2093" s="15"/>
    </row>
    <row r="2094" spans="1:18" x14ac:dyDescent="0.25">
      <c r="A2094" s="15"/>
      <c r="R2094" s="15"/>
    </row>
    <row r="2095" spans="1:18" x14ac:dyDescent="0.25">
      <c r="A2095" s="15"/>
      <c r="R2095" s="15"/>
    </row>
    <row r="2096" spans="1:18" x14ac:dyDescent="0.25">
      <c r="A2096" s="15"/>
      <c r="R2096" s="15"/>
    </row>
    <row r="2097" spans="1:18" x14ac:dyDescent="0.25">
      <c r="A2097" s="15"/>
      <c r="R2097" s="15"/>
    </row>
    <row r="2098" spans="1:18" x14ac:dyDescent="0.25">
      <c r="A2098" s="15"/>
      <c r="R2098" s="15"/>
    </row>
    <row r="2099" spans="1:18" x14ac:dyDescent="0.25">
      <c r="A2099" s="15"/>
      <c r="R2099" s="15"/>
    </row>
    <row r="2100" spans="1:18" x14ac:dyDescent="0.25">
      <c r="A2100" s="15"/>
      <c r="R2100" s="15"/>
    </row>
    <row r="2101" spans="1:18" x14ac:dyDescent="0.25">
      <c r="A2101" s="15"/>
      <c r="R2101" s="15"/>
    </row>
    <row r="2102" spans="1:18" x14ac:dyDescent="0.25">
      <c r="A2102" s="15"/>
      <c r="R2102" s="15"/>
    </row>
    <row r="2103" spans="1:18" x14ac:dyDescent="0.25">
      <c r="A2103" s="15"/>
      <c r="R2103" s="15"/>
    </row>
    <row r="2104" spans="1:18" x14ac:dyDescent="0.25">
      <c r="A2104" s="15"/>
      <c r="R2104" s="15"/>
    </row>
    <row r="2105" spans="1:18" x14ac:dyDescent="0.25">
      <c r="A2105" s="15"/>
      <c r="R2105" s="15"/>
    </row>
    <row r="2106" spans="1:18" x14ac:dyDescent="0.25">
      <c r="A2106" s="15"/>
      <c r="R2106" s="15"/>
    </row>
    <row r="2107" spans="1:18" x14ac:dyDescent="0.25">
      <c r="A2107" s="15"/>
      <c r="R2107" s="15"/>
    </row>
    <row r="2108" spans="1:18" x14ac:dyDescent="0.25">
      <c r="A2108" s="15"/>
      <c r="R2108" s="15"/>
    </row>
    <row r="2109" spans="1:18" x14ac:dyDescent="0.25">
      <c r="A2109" s="15"/>
      <c r="R2109" s="15"/>
    </row>
    <row r="2110" spans="1:18" x14ac:dyDescent="0.25">
      <c r="A2110" s="15"/>
      <c r="R2110" s="15"/>
    </row>
    <row r="2111" spans="1:18" x14ac:dyDescent="0.25">
      <c r="A2111" s="15"/>
      <c r="R2111" s="15"/>
    </row>
    <row r="2112" spans="1:18" x14ac:dyDescent="0.25">
      <c r="A2112" s="15"/>
      <c r="R2112" s="15"/>
    </row>
    <row r="2113" spans="1:18" x14ac:dyDescent="0.25">
      <c r="A2113" s="15"/>
      <c r="R2113" s="15"/>
    </row>
    <row r="2114" spans="1:18" x14ac:dyDescent="0.25">
      <c r="A2114" s="15"/>
      <c r="R2114" s="15"/>
    </row>
    <row r="2115" spans="1:18" x14ac:dyDescent="0.25">
      <c r="A2115" s="15"/>
      <c r="R2115" s="15"/>
    </row>
    <row r="2116" spans="1:18" x14ac:dyDescent="0.25">
      <c r="A2116" s="15"/>
      <c r="R2116" s="15"/>
    </row>
    <row r="2117" spans="1:18" x14ac:dyDescent="0.25">
      <c r="A2117" s="15"/>
      <c r="R2117" s="15"/>
    </row>
    <row r="2118" spans="1:18" x14ac:dyDescent="0.25">
      <c r="A2118" s="15"/>
      <c r="R2118" s="15"/>
    </row>
    <row r="2119" spans="1:18" x14ac:dyDescent="0.25">
      <c r="A2119" s="15"/>
      <c r="R2119" s="15"/>
    </row>
    <row r="2120" spans="1:18" x14ac:dyDescent="0.25">
      <c r="A2120" s="15"/>
      <c r="R2120" s="15"/>
    </row>
    <row r="2121" spans="1:18" x14ac:dyDescent="0.25">
      <c r="A2121" s="15"/>
      <c r="R2121" s="15"/>
    </row>
    <row r="2122" spans="1:18" x14ac:dyDescent="0.25">
      <c r="A2122" s="15"/>
      <c r="R2122" s="15"/>
    </row>
    <row r="2123" spans="1:18" x14ac:dyDescent="0.25">
      <c r="A2123" s="15"/>
      <c r="R2123" s="15"/>
    </row>
    <row r="2124" spans="1:18" x14ac:dyDescent="0.25">
      <c r="A2124" s="15"/>
      <c r="R2124" s="15"/>
    </row>
    <row r="2125" spans="1:18" x14ac:dyDescent="0.25">
      <c r="A2125" s="15"/>
      <c r="R2125" s="15"/>
    </row>
    <row r="2126" spans="1:18" x14ac:dyDescent="0.25">
      <c r="A2126" s="15"/>
      <c r="R2126" s="15"/>
    </row>
    <row r="2127" spans="1:18" x14ac:dyDescent="0.25">
      <c r="A2127" s="15"/>
      <c r="R2127" s="15"/>
    </row>
    <row r="2128" spans="1:18" x14ac:dyDescent="0.25">
      <c r="A2128" s="15"/>
      <c r="R2128" s="15"/>
    </row>
    <row r="2129" spans="1:18" x14ac:dyDescent="0.25">
      <c r="A2129" s="15"/>
      <c r="R2129" s="15"/>
    </row>
    <row r="2130" spans="1:18" x14ac:dyDescent="0.25">
      <c r="A2130" s="15"/>
      <c r="R2130" s="15"/>
    </row>
    <row r="2131" spans="1:18" x14ac:dyDescent="0.25">
      <c r="A2131" s="15"/>
      <c r="R2131" s="15"/>
    </row>
    <row r="2132" spans="1:18" x14ac:dyDescent="0.25">
      <c r="A2132" s="15"/>
      <c r="R2132" s="15"/>
    </row>
    <row r="2133" spans="1:18" x14ac:dyDescent="0.25">
      <c r="A2133" s="15"/>
      <c r="R2133" s="15"/>
    </row>
    <row r="2134" spans="1:18" x14ac:dyDescent="0.25">
      <c r="A2134" s="15"/>
      <c r="R2134" s="15"/>
    </row>
    <row r="2135" spans="1:18" x14ac:dyDescent="0.25">
      <c r="A2135" s="15"/>
      <c r="R2135" s="15"/>
    </row>
    <row r="2136" spans="1:18" x14ac:dyDescent="0.25">
      <c r="A2136" s="15"/>
      <c r="R2136" s="15"/>
    </row>
    <row r="2137" spans="1:18" x14ac:dyDescent="0.25">
      <c r="A2137" s="15"/>
      <c r="R2137" s="15"/>
    </row>
    <row r="2138" spans="1:18" x14ac:dyDescent="0.25">
      <c r="A2138" s="15"/>
      <c r="R2138" s="15"/>
    </row>
    <row r="2139" spans="1:18" x14ac:dyDescent="0.25">
      <c r="A2139" s="15"/>
      <c r="R2139" s="15"/>
    </row>
    <row r="2140" spans="1:18" x14ac:dyDescent="0.25">
      <c r="A2140" s="15"/>
      <c r="R2140" s="15"/>
    </row>
    <row r="2141" spans="1:18" x14ac:dyDescent="0.25">
      <c r="A2141" s="15"/>
      <c r="R2141" s="15"/>
    </row>
    <row r="2142" spans="1:18" x14ac:dyDescent="0.25">
      <c r="A2142" s="15"/>
      <c r="R2142" s="15"/>
    </row>
    <row r="2143" spans="1:18" x14ac:dyDescent="0.25">
      <c r="A2143" s="15"/>
      <c r="R2143" s="15"/>
    </row>
    <row r="2144" spans="1:18" x14ac:dyDescent="0.25">
      <c r="A2144" s="15"/>
      <c r="R2144" s="15"/>
    </row>
    <row r="2145" spans="1:18" x14ac:dyDescent="0.25">
      <c r="A2145" s="15"/>
      <c r="R2145" s="15"/>
    </row>
    <row r="2146" spans="1:18" x14ac:dyDescent="0.25">
      <c r="A2146" s="15"/>
      <c r="R2146" s="15"/>
    </row>
    <row r="2147" spans="1:18" x14ac:dyDescent="0.25">
      <c r="A2147" s="15"/>
      <c r="R2147" s="15"/>
    </row>
    <row r="2148" spans="1:18" x14ac:dyDescent="0.25">
      <c r="A2148" s="15"/>
      <c r="R2148" s="15"/>
    </row>
    <row r="2149" spans="1:18" x14ac:dyDescent="0.25">
      <c r="A2149" s="15"/>
      <c r="R2149" s="15"/>
    </row>
    <row r="2150" spans="1:18" x14ac:dyDescent="0.25">
      <c r="A2150" s="15"/>
      <c r="R2150" s="15"/>
    </row>
    <row r="2151" spans="1:18" x14ac:dyDescent="0.25">
      <c r="A2151" s="15"/>
      <c r="R2151" s="15"/>
    </row>
    <row r="2152" spans="1:18" x14ac:dyDescent="0.25">
      <c r="A2152" s="15"/>
      <c r="R2152" s="15"/>
    </row>
    <row r="2153" spans="1:18" x14ac:dyDescent="0.25">
      <c r="A2153" s="15"/>
      <c r="R2153" s="15"/>
    </row>
    <row r="2154" spans="1:18" x14ac:dyDescent="0.25">
      <c r="A2154" s="15"/>
      <c r="R2154" s="15"/>
    </row>
    <row r="2155" spans="1:18" x14ac:dyDescent="0.25">
      <c r="A2155" s="15"/>
      <c r="R2155" s="15"/>
    </row>
    <row r="2156" spans="1:18" x14ac:dyDescent="0.25">
      <c r="A2156" s="15"/>
      <c r="R2156" s="15"/>
    </row>
    <row r="2157" spans="1:18" x14ac:dyDescent="0.25">
      <c r="A2157" s="15"/>
      <c r="R2157" s="15"/>
    </row>
    <row r="2158" spans="1:18" x14ac:dyDescent="0.25">
      <c r="A2158" s="15"/>
      <c r="R2158" s="15"/>
    </row>
    <row r="2159" spans="1:18" x14ac:dyDescent="0.25">
      <c r="A2159" s="15"/>
      <c r="R2159" s="15"/>
    </row>
    <row r="2160" spans="1:18" x14ac:dyDescent="0.25">
      <c r="A2160" s="15"/>
      <c r="R2160" s="15"/>
    </row>
    <row r="2161" spans="1:18" x14ac:dyDescent="0.25">
      <c r="A2161" s="15"/>
      <c r="R2161" s="15"/>
    </row>
    <row r="2162" spans="1:18" x14ac:dyDescent="0.25">
      <c r="A2162" s="15"/>
      <c r="R2162" s="15"/>
    </row>
    <row r="2163" spans="1:18" x14ac:dyDescent="0.25">
      <c r="A2163" s="15"/>
      <c r="R2163" s="15"/>
    </row>
    <row r="2164" spans="1:18" x14ac:dyDescent="0.25">
      <c r="A2164" s="15"/>
      <c r="R2164" s="15"/>
    </row>
    <row r="2165" spans="1:18" x14ac:dyDescent="0.25">
      <c r="A2165" s="15"/>
      <c r="R2165" s="15"/>
    </row>
    <row r="2166" spans="1:18" x14ac:dyDescent="0.25">
      <c r="A2166" s="15"/>
      <c r="R2166" s="15"/>
    </row>
    <row r="2167" spans="1:18" x14ac:dyDescent="0.25">
      <c r="A2167" s="15"/>
      <c r="R2167" s="15"/>
    </row>
    <row r="2168" spans="1:18" x14ac:dyDescent="0.25">
      <c r="A2168" s="15"/>
      <c r="R2168" s="15"/>
    </row>
    <row r="2169" spans="1:18" x14ac:dyDescent="0.25">
      <c r="A2169" s="15"/>
      <c r="R2169" s="15"/>
    </row>
    <row r="2170" spans="1:18" x14ac:dyDescent="0.25">
      <c r="A2170" s="15"/>
      <c r="R2170" s="15"/>
    </row>
    <row r="2171" spans="1:18" x14ac:dyDescent="0.25">
      <c r="A2171" s="15"/>
      <c r="R2171" s="15"/>
    </row>
    <row r="2172" spans="1:18" x14ac:dyDescent="0.25">
      <c r="A2172" s="15"/>
      <c r="R2172" s="15"/>
    </row>
    <row r="2173" spans="1:18" x14ac:dyDescent="0.25">
      <c r="A2173" s="15"/>
      <c r="R2173" s="15"/>
    </row>
    <row r="2174" spans="1:18" x14ac:dyDescent="0.25">
      <c r="A2174" s="15"/>
      <c r="R2174" s="15"/>
    </row>
    <row r="2175" spans="1:18" x14ac:dyDescent="0.25">
      <c r="A2175" s="15"/>
      <c r="R2175" s="15"/>
    </row>
    <row r="2176" spans="1:18" x14ac:dyDescent="0.25">
      <c r="A2176" s="15"/>
      <c r="R2176" s="15"/>
    </row>
    <row r="2177" spans="1:18" x14ac:dyDescent="0.25">
      <c r="A2177" s="15"/>
      <c r="R2177" s="15"/>
    </row>
    <row r="2178" spans="1:18" x14ac:dyDescent="0.25">
      <c r="A2178" s="15"/>
      <c r="R2178" s="15"/>
    </row>
    <row r="2179" spans="1:18" x14ac:dyDescent="0.25">
      <c r="A2179" s="15"/>
      <c r="R2179" s="15"/>
    </row>
    <row r="2180" spans="1:18" x14ac:dyDescent="0.25">
      <c r="A2180" s="15"/>
      <c r="R2180" s="15"/>
    </row>
    <row r="2181" spans="1:18" x14ac:dyDescent="0.25">
      <c r="A2181" s="15"/>
      <c r="R2181" s="15"/>
    </row>
    <row r="2182" spans="1:18" x14ac:dyDescent="0.25">
      <c r="A2182" s="15"/>
      <c r="R2182" s="15"/>
    </row>
    <row r="2183" spans="1:18" x14ac:dyDescent="0.25">
      <c r="A2183" s="15"/>
      <c r="R2183" s="15"/>
    </row>
    <row r="2184" spans="1:18" x14ac:dyDescent="0.25">
      <c r="A2184" s="15"/>
      <c r="R2184" s="15"/>
    </row>
    <row r="2185" spans="1:18" x14ac:dyDescent="0.25">
      <c r="A2185" s="15"/>
      <c r="R2185" s="15"/>
    </row>
    <row r="2186" spans="1:18" x14ac:dyDescent="0.25">
      <c r="A2186" s="15"/>
      <c r="R2186" s="15"/>
    </row>
    <row r="2187" spans="1:18" x14ac:dyDescent="0.25">
      <c r="A2187" s="15"/>
      <c r="R2187" s="15"/>
    </row>
    <row r="2188" spans="1:18" x14ac:dyDescent="0.25">
      <c r="A2188" s="15"/>
      <c r="R2188" s="15"/>
    </row>
    <row r="2189" spans="1:18" x14ac:dyDescent="0.25">
      <c r="A2189" s="15"/>
      <c r="R2189" s="15"/>
    </row>
    <row r="2190" spans="1:18" x14ac:dyDescent="0.25">
      <c r="A2190" s="15"/>
      <c r="R2190" s="15"/>
    </row>
    <row r="2191" spans="1:18" x14ac:dyDescent="0.25">
      <c r="A2191" s="15"/>
      <c r="R2191" s="15"/>
    </row>
    <row r="2192" spans="1:18" x14ac:dyDescent="0.25">
      <c r="A2192" s="15"/>
      <c r="R2192" s="15"/>
    </row>
    <row r="2193" spans="1:18" x14ac:dyDescent="0.25">
      <c r="A2193" s="15"/>
      <c r="R2193" s="15"/>
    </row>
    <row r="2194" spans="1:18" x14ac:dyDescent="0.25">
      <c r="A2194" s="15"/>
      <c r="R2194" s="15"/>
    </row>
    <row r="2195" spans="1:18" x14ac:dyDescent="0.25">
      <c r="A2195" s="15"/>
      <c r="R2195" s="15"/>
    </row>
    <row r="2196" spans="1:18" x14ac:dyDescent="0.25">
      <c r="A2196" s="15"/>
      <c r="R2196" s="15"/>
    </row>
    <row r="2197" spans="1:18" x14ac:dyDescent="0.25">
      <c r="A2197" s="15"/>
      <c r="R2197" s="15"/>
    </row>
    <row r="2198" spans="1:18" x14ac:dyDescent="0.25">
      <c r="A2198" s="15"/>
      <c r="R2198" s="15"/>
    </row>
    <row r="2199" spans="1:18" x14ac:dyDescent="0.25">
      <c r="A2199" s="15"/>
      <c r="R2199" s="15"/>
    </row>
    <row r="2200" spans="1:18" x14ac:dyDescent="0.25">
      <c r="A2200" s="15"/>
      <c r="R2200" s="15"/>
    </row>
    <row r="2201" spans="1:18" x14ac:dyDescent="0.25">
      <c r="A2201" s="15"/>
      <c r="R2201" s="15"/>
    </row>
    <row r="2202" spans="1:18" x14ac:dyDescent="0.25">
      <c r="A2202" s="15"/>
      <c r="R2202" s="15"/>
    </row>
    <row r="2203" spans="1:18" x14ac:dyDescent="0.25">
      <c r="A2203" s="15"/>
      <c r="R2203" s="15"/>
    </row>
    <row r="2204" spans="1:18" x14ac:dyDescent="0.25">
      <c r="A2204" s="15"/>
      <c r="R2204" s="15"/>
    </row>
    <row r="2205" spans="1:18" x14ac:dyDescent="0.25">
      <c r="A2205" s="15"/>
      <c r="R2205" s="15"/>
    </row>
    <row r="2206" spans="1:18" x14ac:dyDescent="0.25">
      <c r="A2206" s="15"/>
      <c r="R2206" s="15"/>
    </row>
    <row r="2207" spans="1:18" x14ac:dyDescent="0.25">
      <c r="A2207" s="15"/>
      <c r="R2207" s="15"/>
    </row>
    <row r="2208" spans="1:18" x14ac:dyDescent="0.25">
      <c r="A2208" s="15"/>
      <c r="R2208" s="15"/>
    </row>
    <row r="2209" spans="1:18" x14ac:dyDescent="0.25">
      <c r="A2209" s="15"/>
      <c r="R2209" s="15"/>
    </row>
    <row r="2210" spans="1:18" x14ac:dyDescent="0.25">
      <c r="A2210" s="15"/>
      <c r="R2210" s="15"/>
    </row>
    <row r="2211" spans="1:18" x14ac:dyDescent="0.25">
      <c r="A2211" s="15"/>
      <c r="R2211" s="15"/>
    </row>
    <row r="2212" spans="1:18" x14ac:dyDescent="0.25">
      <c r="A2212" s="15"/>
      <c r="R2212" s="15"/>
    </row>
    <row r="2213" spans="1:18" x14ac:dyDescent="0.25">
      <c r="A2213" s="15"/>
      <c r="R2213" s="15"/>
    </row>
    <row r="2214" spans="1:18" x14ac:dyDescent="0.25">
      <c r="A2214" s="15"/>
      <c r="R2214" s="15"/>
    </row>
    <row r="2215" spans="1:18" x14ac:dyDescent="0.25">
      <c r="A2215" s="15"/>
      <c r="R2215" s="15"/>
    </row>
    <row r="2216" spans="1:18" x14ac:dyDescent="0.25">
      <c r="A2216" s="15"/>
      <c r="R2216" s="15"/>
    </row>
    <row r="2217" spans="1:18" x14ac:dyDescent="0.25">
      <c r="A2217" s="15"/>
      <c r="R2217" s="15"/>
    </row>
    <row r="2218" spans="1:18" x14ac:dyDescent="0.25">
      <c r="A2218" s="15"/>
      <c r="R2218" s="15"/>
    </row>
    <row r="2219" spans="1:18" x14ac:dyDescent="0.25">
      <c r="A2219" s="15"/>
      <c r="R2219" s="15"/>
    </row>
    <row r="2220" spans="1:18" x14ac:dyDescent="0.25">
      <c r="A2220" s="15"/>
      <c r="R2220" s="15"/>
    </row>
    <row r="2221" spans="1:18" x14ac:dyDescent="0.25">
      <c r="A2221" s="15"/>
      <c r="R2221" s="15"/>
    </row>
    <row r="2222" spans="1:18" x14ac:dyDescent="0.25">
      <c r="A2222" s="15"/>
      <c r="R2222" s="15"/>
    </row>
    <row r="2223" spans="1:18" x14ac:dyDescent="0.25">
      <c r="A2223" s="15"/>
      <c r="R2223" s="15"/>
    </row>
    <row r="2224" spans="1:18" x14ac:dyDescent="0.25">
      <c r="A2224" s="15"/>
      <c r="R2224" s="15"/>
    </row>
    <row r="2225" spans="1:18" x14ac:dyDescent="0.25">
      <c r="A2225" s="15"/>
      <c r="R2225" s="15"/>
    </row>
    <row r="2226" spans="1:18" x14ac:dyDescent="0.25">
      <c r="A2226" s="15"/>
      <c r="R2226" s="15"/>
    </row>
    <row r="2227" spans="1:18" x14ac:dyDescent="0.25">
      <c r="A2227" s="15"/>
      <c r="R2227" s="15"/>
    </row>
    <row r="2228" spans="1:18" x14ac:dyDescent="0.25">
      <c r="A2228" s="15"/>
      <c r="R2228" s="15"/>
    </row>
    <row r="2229" spans="1:18" x14ac:dyDescent="0.25">
      <c r="A2229" s="15"/>
      <c r="R2229" s="15"/>
    </row>
    <row r="2230" spans="1:18" x14ac:dyDescent="0.25">
      <c r="A2230" s="15"/>
      <c r="R2230" s="15"/>
    </row>
    <row r="2231" spans="1:18" x14ac:dyDescent="0.25">
      <c r="A2231" s="15"/>
      <c r="R2231" s="15"/>
    </row>
    <row r="2232" spans="1:18" x14ac:dyDescent="0.25">
      <c r="A2232" s="15"/>
      <c r="R2232" s="15"/>
    </row>
    <row r="2233" spans="1:18" x14ac:dyDescent="0.25">
      <c r="A2233" s="15"/>
      <c r="R2233" s="15"/>
    </row>
    <row r="2234" spans="1:18" x14ac:dyDescent="0.25">
      <c r="A2234" s="15"/>
      <c r="R2234" s="15"/>
    </row>
    <row r="2235" spans="1:18" x14ac:dyDescent="0.25">
      <c r="A2235" s="15"/>
      <c r="R2235" s="15"/>
    </row>
    <row r="2236" spans="1:18" x14ac:dyDescent="0.25">
      <c r="A2236" s="15"/>
      <c r="R2236" s="15"/>
    </row>
    <row r="2237" spans="1:18" x14ac:dyDescent="0.25">
      <c r="A2237" s="15"/>
      <c r="R2237" s="15"/>
    </row>
    <row r="2238" spans="1:18" x14ac:dyDescent="0.25">
      <c r="A2238" s="15"/>
      <c r="R2238" s="15"/>
    </row>
    <row r="2239" spans="1:18" x14ac:dyDescent="0.25">
      <c r="A2239" s="15"/>
      <c r="R2239" s="15"/>
    </row>
    <row r="2240" spans="1:18" x14ac:dyDescent="0.25">
      <c r="A2240" s="15"/>
      <c r="R2240" s="15"/>
    </row>
    <row r="2241" spans="1:18" x14ac:dyDescent="0.25">
      <c r="A2241" s="15"/>
      <c r="R2241" s="15"/>
    </row>
    <row r="2242" spans="1:18" x14ac:dyDescent="0.25">
      <c r="A2242" s="15"/>
      <c r="R2242" s="15"/>
    </row>
    <row r="2243" spans="1:18" x14ac:dyDescent="0.25">
      <c r="A2243" s="15"/>
      <c r="R2243" s="15"/>
    </row>
    <row r="2244" spans="1:18" x14ac:dyDescent="0.25">
      <c r="A2244" s="15"/>
      <c r="R2244" s="15"/>
    </row>
    <row r="2245" spans="1:18" x14ac:dyDescent="0.25">
      <c r="A2245" s="15"/>
      <c r="R2245" s="15"/>
    </row>
    <row r="2246" spans="1:18" x14ac:dyDescent="0.25">
      <c r="A2246" s="15"/>
      <c r="R2246" s="15"/>
    </row>
    <row r="2247" spans="1:18" x14ac:dyDescent="0.25">
      <c r="A2247" s="15"/>
      <c r="R2247" s="15"/>
    </row>
    <row r="2248" spans="1:18" x14ac:dyDescent="0.25">
      <c r="A2248" s="15"/>
      <c r="R2248" s="15"/>
    </row>
    <row r="2249" spans="1:18" x14ac:dyDescent="0.25">
      <c r="A2249" s="15"/>
      <c r="R2249" s="15"/>
    </row>
    <row r="2250" spans="1:18" x14ac:dyDescent="0.25">
      <c r="A2250" s="15"/>
      <c r="R2250" s="15"/>
    </row>
    <row r="2251" spans="1:18" x14ac:dyDescent="0.25">
      <c r="A2251" s="15"/>
      <c r="R2251" s="15"/>
    </row>
    <row r="2252" spans="1:18" x14ac:dyDescent="0.25">
      <c r="A2252" s="15"/>
      <c r="R2252" s="15"/>
    </row>
    <row r="2253" spans="1:18" x14ac:dyDescent="0.25">
      <c r="A2253" s="15"/>
      <c r="R2253" s="15"/>
    </row>
    <row r="2254" spans="1:18" x14ac:dyDescent="0.25">
      <c r="A2254" s="15"/>
      <c r="R2254" s="15"/>
    </row>
    <row r="2255" spans="1:18" x14ac:dyDescent="0.25">
      <c r="A2255" s="15"/>
      <c r="R2255" s="15"/>
    </row>
    <row r="2256" spans="1:18" x14ac:dyDescent="0.25">
      <c r="A2256" s="15"/>
      <c r="R2256" s="15"/>
    </row>
    <row r="2257" spans="1:18" x14ac:dyDescent="0.25">
      <c r="A2257" s="15"/>
      <c r="R2257" s="15"/>
    </row>
    <row r="2258" spans="1:18" x14ac:dyDescent="0.25">
      <c r="A2258" s="15"/>
      <c r="R2258" s="15"/>
    </row>
    <row r="2259" spans="1:18" x14ac:dyDescent="0.25">
      <c r="A2259" s="15"/>
      <c r="R2259" s="15"/>
    </row>
    <row r="2260" spans="1:18" x14ac:dyDescent="0.25">
      <c r="A2260" s="15"/>
      <c r="R2260" s="15"/>
    </row>
    <row r="2261" spans="1:18" x14ac:dyDescent="0.25">
      <c r="A2261" s="15"/>
      <c r="R2261" s="15"/>
    </row>
    <row r="2262" spans="1:18" x14ac:dyDescent="0.25">
      <c r="A2262" s="15"/>
      <c r="R2262" s="15"/>
    </row>
    <row r="2263" spans="1:18" x14ac:dyDescent="0.25">
      <c r="A2263" s="15"/>
      <c r="R2263" s="15"/>
    </row>
    <row r="2264" spans="1:18" x14ac:dyDescent="0.25">
      <c r="A2264" s="15"/>
      <c r="R2264" s="15"/>
    </row>
    <row r="2265" spans="1:18" x14ac:dyDescent="0.25">
      <c r="A2265" s="15"/>
      <c r="R2265" s="15"/>
    </row>
    <row r="2266" spans="1:18" x14ac:dyDescent="0.25">
      <c r="A2266" s="15"/>
      <c r="R2266" s="15"/>
    </row>
    <row r="2267" spans="1:18" x14ac:dyDescent="0.25">
      <c r="A2267" s="15"/>
      <c r="R2267" s="15"/>
    </row>
    <row r="2268" spans="1:18" x14ac:dyDescent="0.25">
      <c r="A2268" s="15"/>
      <c r="R2268" s="15"/>
    </row>
    <row r="2269" spans="1:18" x14ac:dyDescent="0.25">
      <c r="A2269" s="15"/>
      <c r="R2269" s="15"/>
    </row>
    <row r="2270" spans="1:18" x14ac:dyDescent="0.25">
      <c r="A2270" s="15"/>
      <c r="R2270" s="15"/>
    </row>
    <row r="2271" spans="1:18" x14ac:dyDescent="0.25">
      <c r="A2271" s="15"/>
      <c r="R2271" s="15"/>
    </row>
    <row r="2272" spans="1:18" x14ac:dyDescent="0.25">
      <c r="A2272" s="15"/>
      <c r="R2272" s="15"/>
    </row>
    <row r="2273" spans="1:18" x14ac:dyDescent="0.25">
      <c r="A2273" s="15"/>
      <c r="R2273" s="15"/>
    </row>
    <row r="2274" spans="1:18" x14ac:dyDescent="0.25">
      <c r="A2274" s="15"/>
      <c r="R2274" s="15"/>
    </row>
    <row r="2275" spans="1:18" x14ac:dyDescent="0.25">
      <c r="A2275" s="15"/>
      <c r="R2275" s="15"/>
    </row>
    <row r="2276" spans="1:18" x14ac:dyDescent="0.25">
      <c r="A2276" s="15"/>
      <c r="R2276" s="15"/>
    </row>
    <row r="2277" spans="1:18" x14ac:dyDescent="0.25">
      <c r="A2277" s="15"/>
      <c r="R2277" s="15"/>
    </row>
    <row r="2278" spans="1:18" x14ac:dyDescent="0.25">
      <c r="A2278" s="15"/>
      <c r="R2278" s="15"/>
    </row>
    <row r="2279" spans="1:18" x14ac:dyDescent="0.25">
      <c r="A2279" s="15"/>
      <c r="R2279" s="15"/>
    </row>
    <row r="2280" spans="1:18" x14ac:dyDescent="0.25">
      <c r="A2280" s="15"/>
      <c r="R2280" s="15"/>
    </row>
    <row r="2281" spans="1:18" x14ac:dyDescent="0.25">
      <c r="A2281" s="15"/>
      <c r="R2281" s="15"/>
    </row>
    <row r="2282" spans="1:18" x14ac:dyDescent="0.25">
      <c r="A2282" s="15"/>
      <c r="R2282" s="15"/>
    </row>
    <row r="2283" spans="1:18" x14ac:dyDescent="0.25">
      <c r="A2283" s="15"/>
      <c r="R2283" s="15"/>
    </row>
    <row r="2284" spans="1:18" x14ac:dyDescent="0.25">
      <c r="A2284" s="15"/>
      <c r="R2284" s="15"/>
    </row>
    <row r="2285" spans="1:18" x14ac:dyDescent="0.25">
      <c r="A2285" s="15"/>
      <c r="R2285" s="15"/>
    </row>
    <row r="2286" spans="1:18" x14ac:dyDescent="0.25">
      <c r="A2286" s="15"/>
      <c r="R2286" s="15"/>
    </row>
    <row r="2287" spans="1:18" x14ac:dyDescent="0.25">
      <c r="A2287" s="15"/>
      <c r="R2287" s="15"/>
    </row>
    <row r="2288" spans="1:18" x14ac:dyDescent="0.25">
      <c r="A2288" s="15"/>
      <c r="R2288" s="15"/>
    </row>
    <row r="2289" spans="1:18" x14ac:dyDescent="0.25">
      <c r="A2289" s="15"/>
      <c r="R2289" s="15"/>
    </row>
    <row r="2290" spans="1:18" x14ac:dyDescent="0.25">
      <c r="A2290" s="15"/>
      <c r="R2290" s="15"/>
    </row>
    <row r="2291" spans="1:18" x14ac:dyDescent="0.25">
      <c r="A2291" s="15"/>
      <c r="R2291" s="15"/>
    </row>
    <row r="2292" spans="1:18" x14ac:dyDescent="0.25">
      <c r="A2292" s="15"/>
      <c r="R2292" s="15"/>
    </row>
    <row r="2293" spans="1:18" x14ac:dyDescent="0.25">
      <c r="A2293" s="15"/>
      <c r="R2293" s="15"/>
    </row>
    <row r="2294" spans="1:18" x14ac:dyDescent="0.25">
      <c r="A2294" s="15"/>
      <c r="R2294" s="15"/>
    </row>
    <row r="2295" spans="1:18" x14ac:dyDescent="0.25">
      <c r="A2295" s="15"/>
      <c r="R2295" s="15"/>
    </row>
    <row r="2296" spans="1:18" x14ac:dyDescent="0.25">
      <c r="A2296" s="15"/>
      <c r="R2296" s="15"/>
    </row>
    <row r="2297" spans="1:18" x14ac:dyDescent="0.25">
      <c r="A2297" s="15"/>
      <c r="R2297" s="15"/>
    </row>
    <row r="2298" spans="1:18" x14ac:dyDescent="0.25">
      <c r="A2298" s="15"/>
      <c r="R2298" s="15"/>
    </row>
    <row r="2299" spans="1:18" x14ac:dyDescent="0.25">
      <c r="A2299" s="15"/>
      <c r="R2299" s="15"/>
    </row>
    <row r="2300" spans="1:18" x14ac:dyDescent="0.25">
      <c r="A2300" s="15"/>
      <c r="R2300" s="15"/>
    </row>
    <row r="2301" spans="1:18" x14ac:dyDescent="0.25">
      <c r="A2301" s="15"/>
      <c r="R2301" s="15"/>
    </row>
    <row r="2302" spans="1:18" x14ac:dyDescent="0.25">
      <c r="A2302" s="15"/>
      <c r="R2302" s="15"/>
    </row>
    <row r="2303" spans="1:18" x14ac:dyDescent="0.25">
      <c r="A2303" s="15"/>
      <c r="R2303" s="15"/>
    </row>
    <row r="2304" spans="1:18" x14ac:dyDescent="0.25">
      <c r="A2304" s="15"/>
      <c r="R2304" s="15"/>
    </row>
    <row r="2305" spans="1:18" x14ac:dyDescent="0.25">
      <c r="A2305" s="15"/>
      <c r="R2305" s="15"/>
    </row>
    <row r="2306" spans="1:18" x14ac:dyDescent="0.25">
      <c r="A2306" s="15"/>
      <c r="R2306" s="15"/>
    </row>
    <row r="2307" spans="1:18" x14ac:dyDescent="0.25">
      <c r="A2307" s="15"/>
      <c r="R2307" s="15"/>
    </row>
    <row r="2308" spans="1:18" x14ac:dyDescent="0.25">
      <c r="A2308" s="15"/>
      <c r="R2308" s="15"/>
    </row>
    <row r="2309" spans="1:18" x14ac:dyDescent="0.25">
      <c r="A2309" s="15"/>
      <c r="R2309" s="15"/>
    </row>
    <row r="2310" spans="1:18" x14ac:dyDescent="0.25">
      <c r="A2310" s="15"/>
      <c r="R2310" s="15"/>
    </row>
    <row r="2311" spans="1:18" x14ac:dyDescent="0.25">
      <c r="A2311" s="15"/>
      <c r="R2311" s="15"/>
    </row>
    <row r="2312" spans="1:18" x14ac:dyDescent="0.25">
      <c r="A2312" s="15"/>
      <c r="R2312" s="15"/>
    </row>
    <row r="2313" spans="1:18" x14ac:dyDescent="0.25">
      <c r="A2313" s="15"/>
      <c r="R2313" s="15"/>
    </row>
    <row r="2314" spans="1:18" x14ac:dyDescent="0.25">
      <c r="A2314" s="15"/>
      <c r="R2314" s="15"/>
    </row>
    <row r="2315" spans="1:18" x14ac:dyDescent="0.25">
      <c r="A2315" s="15"/>
      <c r="R2315" s="15"/>
    </row>
    <row r="2316" spans="1:18" x14ac:dyDescent="0.25">
      <c r="A2316" s="15"/>
      <c r="R2316" s="15"/>
    </row>
    <row r="2317" spans="1:18" x14ac:dyDescent="0.25">
      <c r="A2317" s="15"/>
      <c r="R2317" s="15"/>
    </row>
    <row r="2318" spans="1:18" x14ac:dyDescent="0.25">
      <c r="A2318" s="15"/>
      <c r="R2318" s="15"/>
    </row>
    <row r="2319" spans="1:18" x14ac:dyDescent="0.25">
      <c r="A2319" s="15"/>
      <c r="R2319" s="15"/>
    </row>
    <row r="2320" spans="1:18" x14ac:dyDescent="0.25">
      <c r="A2320" s="15"/>
      <c r="R2320" s="15"/>
    </row>
    <row r="2321" spans="1:18" x14ac:dyDescent="0.25">
      <c r="A2321" s="15"/>
      <c r="R2321" s="15"/>
    </row>
    <row r="2322" spans="1:18" x14ac:dyDescent="0.25">
      <c r="A2322" s="15"/>
      <c r="R2322" s="15"/>
    </row>
    <row r="2323" spans="1:18" x14ac:dyDescent="0.25">
      <c r="A2323" s="15"/>
      <c r="R2323" s="15"/>
    </row>
    <row r="2324" spans="1:18" x14ac:dyDescent="0.25">
      <c r="A2324" s="15"/>
      <c r="R2324" s="15"/>
    </row>
    <row r="2325" spans="1:18" x14ac:dyDescent="0.25">
      <c r="A2325" s="15"/>
      <c r="R2325" s="15"/>
    </row>
    <row r="2326" spans="1:18" x14ac:dyDescent="0.25">
      <c r="A2326" s="15"/>
      <c r="R2326" s="15"/>
    </row>
    <row r="2327" spans="1:18" x14ac:dyDescent="0.25">
      <c r="A2327" s="15"/>
      <c r="R2327" s="15"/>
    </row>
    <row r="2328" spans="1:18" x14ac:dyDescent="0.25">
      <c r="A2328" s="15"/>
      <c r="R2328" s="15"/>
    </row>
    <row r="2329" spans="1:18" x14ac:dyDescent="0.25">
      <c r="A2329" s="15"/>
      <c r="R2329" s="15"/>
    </row>
    <row r="2330" spans="1:18" x14ac:dyDescent="0.25">
      <c r="A2330" s="15"/>
      <c r="R2330" s="15"/>
    </row>
    <row r="2331" spans="1:18" x14ac:dyDescent="0.25">
      <c r="A2331" s="15"/>
      <c r="R2331" s="15"/>
    </row>
    <row r="2332" spans="1:18" x14ac:dyDescent="0.25">
      <c r="A2332" s="15"/>
      <c r="R2332" s="15"/>
    </row>
    <row r="2333" spans="1:18" x14ac:dyDescent="0.25">
      <c r="A2333" s="15"/>
      <c r="R2333" s="15"/>
    </row>
    <row r="2334" spans="1:18" x14ac:dyDescent="0.25">
      <c r="A2334" s="15"/>
      <c r="R2334" s="15"/>
    </row>
    <row r="2335" spans="1:18" x14ac:dyDescent="0.25">
      <c r="A2335" s="15"/>
      <c r="R2335" s="15"/>
    </row>
    <row r="2336" spans="1:18" x14ac:dyDescent="0.25">
      <c r="A2336" s="15"/>
      <c r="R2336" s="15"/>
    </row>
    <row r="2337" spans="1:18" x14ac:dyDescent="0.25">
      <c r="A2337" s="15"/>
      <c r="R2337" s="15"/>
    </row>
    <row r="2338" spans="1:18" x14ac:dyDescent="0.25">
      <c r="A2338" s="15"/>
      <c r="R2338" s="15"/>
    </row>
    <row r="2339" spans="1:18" x14ac:dyDescent="0.25">
      <c r="A2339" s="15"/>
      <c r="R2339" s="15"/>
    </row>
    <row r="2340" spans="1:18" x14ac:dyDescent="0.25">
      <c r="A2340" s="15"/>
      <c r="R2340" s="15"/>
    </row>
    <row r="2341" spans="1:18" x14ac:dyDescent="0.25">
      <c r="A2341" s="15"/>
      <c r="R2341" s="15"/>
    </row>
    <row r="2342" spans="1:18" x14ac:dyDescent="0.25">
      <c r="A2342" s="15"/>
      <c r="R2342" s="15"/>
    </row>
    <row r="2343" spans="1:18" x14ac:dyDescent="0.25">
      <c r="A2343" s="15"/>
      <c r="R2343" s="15"/>
    </row>
    <row r="2344" spans="1:18" x14ac:dyDescent="0.25">
      <c r="A2344" s="15"/>
      <c r="R2344" s="15"/>
    </row>
    <row r="2345" spans="1:18" x14ac:dyDescent="0.25">
      <c r="A2345" s="15"/>
      <c r="R2345" s="15"/>
    </row>
    <row r="2346" spans="1:18" x14ac:dyDescent="0.25">
      <c r="A2346" s="15"/>
      <c r="R2346" s="15"/>
    </row>
    <row r="2347" spans="1:18" x14ac:dyDescent="0.25">
      <c r="A2347" s="15"/>
      <c r="R2347" s="15"/>
    </row>
    <row r="2348" spans="1:18" x14ac:dyDescent="0.25">
      <c r="A2348" s="15"/>
      <c r="R2348" s="15"/>
    </row>
    <row r="2349" spans="1:18" x14ac:dyDescent="0.25">
      <c r="A2349" s="15"/>
      <c r="R2349" s="15"/>
    </row>
    <row r="2350" spans="1:18" x14ac:dyDescent="0.25">
      <c r="A2350" s="15"/>
      <c r="R2350" s="15"/>
    </row>
    <row r="2351" spans="1:18" x14ac:dyDescent="0.25">
      <c r="A2351" s="15"/>
      <c r="R2351" s="15"/>
    </row>
    <row r="2352" spans="1:18" x14ac:dyDescent="0.25">
      <c r="A2352" s="15"/>
      <c r="R2352" s="15"/>
    </row>
    <row r="2353" spans="1:18" x14ac:dyDescent="0.25">
      <c r="A2353" s="15"/>
      <c r="R2353" s="15"/>
    </row>
    <row r="2354" spans="1:18" x14ac:dyDescent="0.25">
      <c r="A2354" s="15"/>
      <c r="R2354" s="15"/>
    </row>
    <row r="2355" spans="1:18" x14ac:dyDescent="0.25">
      <c r="A2355" s="15"/>
      <c r="R2355" s="15"/>
    </row>
    <row r="2356" spans="1:18" x14ac:dyDescent="0.25">
      <c r="A2356" s="15"/>
      <c r="R2356" s="15"/>
    </row>
    <row r="2357" spans="1:18" x14ac:dyDescent="0.25">
      <c r="A2357" s="15"/>
      <c r="R2357" s="15"/>
    </row>
    <row r="2358" spans="1:18" x14ac:dyDescent="0.25">
      <c r="A2358" s="15"/>
      <c r="R2358" s="15"/>
    </row>
    <row r="2359" spans="1:18" x14ac:dyDescent="0.25">
      <c r="A2359" s="15"/>
      <c r="R2359" s="15"/>
    </row>
    <row r="2360" spans="1:18" x14ac:dyDescent="0.25">
      <c r="A2360" s="15"/>
      <c r="R2360" s="15"/>
    </row>
    <row r="2361" spans="1:18" x14ac:dyDescent="0.25">
      <c r="A2361" s="15"/>
      <c r="R2361" s="15"/>
    </row>
    <row r="2362" spans="1:18" x14ac:dyDescent="0.25">
      <c r="A2362" s="15"/>
      <c r="R2362" s="15"/>
    </row>
    <row r="2363" spans="1:18" x14ac:dyDescent="0.25">
      <c r="A2363" s="15"/>
      <c r="R2363" s="15"/>
    </row>
    <row r="2364" spans="1:18" x14ac:dyDescent="0.25">
      <c r="A2364" s="15"/>
      <c r="R2364" s="15"/>
    </row>
    <row r="2365" spans="1:18" x14ac:dyDescent="0.25">
      <c r="A2365" s="15"/>
      <c r="R2365" s="15"/>
    </row>
    <row r="2366" spans="1:18" x14ac:dyDescent="0.25">
      <c r="A2366" s="15"/>
      <c r="R2366" s="15"/>
    </row>
    <row r="2367" spans="1:18" x14ac:dyDescent="0.25">
      <c r="A2367" s="15"/>
      <c r="R2367" s="15"/>
    </row>
    <row r="2368" spans="1:18" x14ac:dyDescent="0.25">
      <c r="A2368" s="15"/>
      <c r="R2368" s="15"/>
    </row>
    <row r="2369" spans="1:18" x14ac:dyDescent="0.25">
      <c r="A2369" s="15"/>
      <c r="R2369" s="15"/>
    </row>
    <row r="2370" spans="1:18" x14ac:dyDescent="0.25">
      <c r="A2370" s="15"/>
      <c r="R2370" s="15"/>
    </row>
    <row r="2371" spans="1:18" x14ac:dyDescent="0.25">
      <c r="A2371" s="15"/>
      <c r="R2371" s="15"/>
    </row>
    <row r="2372" spans="1:18" x14ac:dyDescent="0.25">
      <c r="A2372" s="15"/>
      <c r="R2372" s="15"/>
    </row>
    <row r="2373" spans="1:18" x14ac:dyDescent="0.25">
      <c r="A2373" s="15"/>
      <c r="R2373" s="15"/>
    </row>
    <row r="2374" spans="1:18" x14ac:dyDescent="0.25">
      <c r="A2374" s="15"/>
      <c r="R2374" s="15"/>
    </row>
    <row r="2375" spans="1:18" x14ac:dyDescent="0.25">
      <c r="A2375" s="15"/>
      <c r="R2375" s="15"/>
    </row>
    <row r="2376" spans="1:18" x14ac:dyDescent="0.25">
      <c r="A2376" s="15"/>
      <c r="R2376" s="15"/>
    </row>
    <row r="2377" spans="1:18" x14ac:dyDescent="0.25">
      <c r="A2377" s="15"/>
      <c r="R2377" s="15"/>
    </row>
    <row r="2378" spans="1:18" x14ac:dyDescent="0.25">
      <c r="A2378" s="15"/>
      <c r="R2378" s="15"/>
    </row>
    <row r="2379" spans="1:18" x14ac:dyDescent="0.25">
      <c r="A2379" s="15"/>
      <c r="R2379" s="15"/>
    </row>
    <row r="2380" spans="1:18" x14ac:dyDescent="0.25">
      <c r="A2380" s="15"/>
      <c r="R2380" s="15"/>
    </row>
    <row r="2381" spans="1:18" x14ac:dyDescent="0.25">
      <c r="A2381" s="15"/>
      <c r="R2381" s="15"/>
    </row>
    <row r="2382" spans="1:18" x14ac:dyDescent="0.25">
      <c r="A2382" s="15"/>
      <c r="R2382" s="15"/>
    </row>
    <row r="2383" spans="1:18" x14ac:dyDescent="0.25">
      <c r="A2383" s="15"/>
      <c r="R2383" s="15"/>
    </row>
    <row r="2384" spans="1:18" x14ac:dyDescent="0.25">
      <c r="A2384" s="15"/>
      <c r="R2384" s="15"/>
    </row>
    <row r="2385" spans="1:18" x14ac:dyDescent="0.25">
      <c r="A2385" s="15"/>
      <c r="R2385" s="15"/>
    </row>
    <row r="2386" spans="1:18" x14ac:dyDescent="0.25">
      <c r="A2386" s="15"/>
      <c r="R2386" s="15"/>
    </row>
    <row r="2387" spans="1:18" x14ac:dyDescent="0.25">
      <c r="A2387" s="15"/>
      <c r="R2387" s="15"/>
    </row>
    <row r="2388" spans="1:18" x14ac:dyDescent="0.25">
      <c r="A2388" s="15"/>
      <c r="R2388" s="15"/>
    </row>
    <row r="2389" spans="1:18" x14ac:dyDescent="0.25">
      <c r="A2389" s="15"/>
      <c r="R2389" s="15"/>
    </row>
    <row r="2390" spans="1:18" x14ac:dyDescent="0.25">
      <c r="A2390" s="15"/>
      <c r="R2390" s="15"/>
    </row>
    <row r="2391" spans="1:18" x14ac:dyDescent="0.25">
      <c r="A2391" s="15"/>
      <c r="R2391" s="15"/>
    </row>
    <row r="2392" spans="1:18" x14ac:dyDescent="0.25">
      <c r="A2392" s="15"/>
      <c r="R2392" s="15"/>
    </row>
    <row r="2393" spans="1:18" x14ac:dyDescent="0.25">
      <c r="A2393" s="15"/>
      <c r="R2393" s="15"/>
    </row>
    <row r="2394" spans="1:18" x14ac:dyDescent="0.25">
      <c r="A2394" s="15"/>
      <c r="R2394" s="15"/>
    </row>
    <row r="2395" spans="1:18" x14ac:dyDescent="0.25">
      <c r="A2395" s="15"/>
      <c r="R2395" s="15"/>
    </row>
    <row r="2396" spans="1:18" x14ac:dyDescent="0.25">
      <c r="A2396" s="15"/>
      <c r="R2396" s="15"/>
    </row>
    <row r="2397" spans="1:18" x14ac:dyDescent="0.25">
      <c r="A2397" s="15"/>
      <c r="R2397" s="15"/>
    </row>
    <row r="2398" spans="1:18" x14ac:dyDescent="0.25">
      <c r="A2398" s="15"/>
      <c r="R2398" s="15"/>
    </row>
    <row r="2399" spans="1:18" x14ac:dyDescent="0.25">
      <c r="A2399" s="15"/>
      <c r="R2399" s="15"/>
    </row>
    <row r="2400" spans="1:18" x14ac:dyDescent="0.25">
      <c r="A2400" s="15"/>
      <c r="R2400" s="15"/>
    </row>
    <row r="2401" spans="1:18" x14ac:dyDescent="0.25">
      <c r="A2401" s="15"/>
      <c r="R2401" s="15"/>
    </row>
    <row r="2402" spans="1:18" x14ac:dyDescent="0.25">
      <c r="A2402" s="15"/>
      <c r="R2402" s="15"/>
    </row>
    <row r="2403" spans="1:18" x14ac:dyDescent="0.25">
      <c r="A2403" s="15"/>
      <c r="R2403" s="15"/>
    </row>
    <row r="2404" spans="1:18" x14ac:dyDescent="0.25">
      <c r="A2404" s="15"/>
      <c r="R2404" s="15"/>
    </row>
    <row r="2405" spans="1:18" x14ac:dyDescent="0.25">
      <c r="A2405" s="15"/>
      <c r="R2405" s="15"/>
    </row>
    <row r="2406" spans="1:18" x14ac:dyDescent="0.25">
      <c r="A2406" s="15"/>
      <c r="R2406" s="15"/>
    </row>
    <row r="2407" spans="1:18" x14ac:dyDescent="0.25">
      <c r="A2407" s="15"/>
      <c r="R2407" s="15"/>
    </row>
    <row r="2408" spans="1:18" x14ac:dyDescent="0.25">
      <c r="A2408" s="15"/>
      <c r="R2408" s="15"/>
    </row>
    <row r="2409" spans="1:18" x14ac:dyDescent="0.25">
      <c r="A2409" s="15"/>
      <c r="R2409" s="15"/>
    </row>
    <row r="2410" spans="1:18" x14ac:dyDescent="0.25">
      <c r="A2410" s="15"/>
      <c r="R2410" s="15"/>
    </row>
    <row r="2411" spans="1:18" x14ac:dyDescent="0.25">
      <c r="A2411" s="15"/>
      <c r="R2411" s="15"/>
    </row>
    <row r="2412" spans="1:18" x14ac:dyDescent="0.25">
      <c r="A2412" s="15"/>
      <c r="R2412" s="15"/>
    </row>
    <row r="2413" spans="1:18" x14ac:dyDescent="0.25">
      <c r="A2413" s="15"/>
      <c r="R2413" s="15"/>
    </row>
    <row r="2414" spans="1:18" x14ac:dyDescent="0.25">
      <c r="A2414" s="15"/>
      <c r="R2414" s="15"/>
    </row>
    <row r="2415" spans="1:18" x14ac:dyDescent="0.25">
      <c r="A2415" s="15"/>
      <c r="R2415" s="15"/>
    </row>
    <row r="2416" spans="1:18" x14ac:dyDescent="0.25">
      <c r="A2416" s="15"/>
      <c r="R2416" s="15"/>
    </row>
    <row r="2417" spans="1:18" x14ac:dyDescent="0.25">
      <c r="A2417" s="15"/>
      <c r="R2417" s="15"/>
    </row>
    <row r="2418" spans="1:18" x14ac:dyDescent="0.25">
      <c r="A2418" s="15"/>
      <c r="R2418" s="15"/>
    </row>
    <row r="2419" spans="1:18" x14ac:dyDescent="0.25">
      <c r="A2419" s="15"/>
      <c r="R2419" s="15"/>
    </row>
    <row r="2420" spans="1:18" x14ac:dyDescent="0.25">
      <c r="A2420" s="15"/>
      <c r="R2420" s="15"/>
    </row>
    <row r="2421" spans="1:18" x14ac:dyDescent="0.25">
      <c r="A2421" s="15"/>
      <c r="R2421" s="15"/>
    </row>
    <row r="2422" spans="1:18" x14ac:dyDescent="0.25">
      <c r="A2422" s="15"/>
      <c r="R2422" s="15"/>
    </row>
    <row r="2423" spans="1:18" x14ac:dyDescent="0.25">
      <c r="A2423" s="15"/>
      <c r="R2423" s="15"/>
    </row>
    <row r="2424" spans="1:18" x14ac:dyDescent="0.25">
      <c r="A2424" s="15"/>
      <c r="R2424" s="15"/>
    </row>
    <row r="2425" spans="1:18" x14ac:dyDescent="0.25">
      <c r="A2425" s="15"/>
      <c r="R2425" s="15"/>
    </row>
    <row r="2426" spans="1:18" x14ac:dyDescent="0.25">
      <c r="A2426" s="15"/>
      <c r="R2426" s="15"/>
    </row>
    <row r="2427" spans="1:18" x14ac:dyDescent="0.25">
      <c r="A2427" s="15"/>
      <c r="R2427" s="15"/>
    </row>
    <row r="2428" spans="1:18" x14ac:dyDescent="0.25">
      <c r="A2428" s="15"/>
      <c r="R2428" s="15"/>
    </row>
    <row r="2429" spans="1:18" x14ac:dyDescent="0.25">
      <c r="A2429" s="15"/>
      <c r="R2429" s="15"/>
    </row>
    <row r="2430" spans="1:18" x14ac:dyDescent="0.25">
      <c r="A2430" s="15"/>
      <c r="R2430" s="15"/>
    </row>
    <row r="2431" spans="1:18" x14ac:dyDescent="0.25">
      <c r="A2431" s="15"/>
      <c r="R2431" s="15"/>
    </row>
    <row r="2432" spans="1:18" x14ac:dyDescent="0.25">
      <c r="A2432" s="15"/>
      <c r="R2432" s="15"/>
    </row>
    <row r="2433" spans="1:18" x14ac:dyDescent="0.25">
      <c r="A2433" s="15"/>
      <c r="R2433" s="15"/>
    </row>
    <row r="2434" spans="1:18" x14ac:dyDescent="0.25">
      <c r="A2434" s="15"/>
      <c r="R2434" s="15"/>
    </row>
    <row r="2435" spans="1:18" x14ac:dyDescent="0.25">
      <c r="A2435" s="15"/>
      <c r="R2435" s="15"/>
    </row>
    <row r="2436" spans="1:18" x14ac:dyDescent="0.25">
      <c r="A2436" s="15"/>
      <c r="R2436" s="15"/>
    </row>
    <row r="2437" spans="1:18" x14ac:dyDescent="0.25">
      <c r="A2437" s="15"/>
      <c r="R2437" s="15"/>
    </row>
    <row r="2438" spans="1:18" x14ac:dyDescent="0.25">
      <c r="A2438" s="15"/>
      <c r="R2438" s="15"/>
    </row>
    <row r="2439" spans="1:18" x14ac:dyDescent="0.25">
      <c r="A2439" s="15"/>
      <c r="R2439" s="15"/>
    </row>
    <row r="2440" spans="1:18" x14ac:dyDescent="0.25">
      <c r="A2440" s="15"/>
      <c r="R2440" s="15"/>
    </row>
    <row r="2441" spans="1:18" x14ac:dyDescent="0.25">
      <c r="A2441" s="15"/>
      <c r="R2441" s="15"/>
    </row>
    <row r="2442" spans="1:18" x14ac:dyDescent="0.25">
      <c r="A2442" s="15"/>
      <c r="R2442" s="15"/>
    </row>
    <row r="2443" spans="1:18" x14ac:dyDescent="0.25">
      <c r="A2443" s="15"/>
      <c r="R2443" s="15"/>
    </row>
    <row r="2444" spans="1:18" x14ac:dyDescent="0.25">
      <c r="A2444" s="15"/>
      <c r="R2444" s="15"/>
    </row>
    <row r="2445" spans="1:18" x14ac:dyDescent="0.25">
      <c r="A2445" s="15"/>
      <c r="R2445" s="15"/>
    </row>
    <row r="2446" spans="1:18" x14ac:dyDescent="0.25">
      <c r="A2446" s="15"/>
      <c r="R2446" s="15"/>
    </row>
    <row r="2447" spans="1:18" x14ac:dyDescent="0.25">
      <c r="A2447" s="15"/>
      <c r="R2447" s="15"/>
    </row>
    <row r="2448" spans="1:18" x14ac:dyDescent="0.25">
      <c r="A2448" s="15"/>
      <c r="R2448" s="15"/>
    </row>
    <row r="2449" spans="1:18" x14ac:dyDescent="0.25">
      <c r="A2449" s="15"/>
      <c r="R2449" s="15"/>
    </row>
    <row r="2450" spans="1:18" x14ac:dyDescent="0.25">
      <c r="A2450" s="15"/>
      <c r="R2450" s="15"/>
    </row>
    <row r="2451" spans="1:18" x14ac:dyDescent="0.25">
      <c r="A2451" s="15"/>
      <c r="R2451" s="15"/>
    </row>
    <row r="2452" spans="1:18" x14ac:dyDescent="0.25">
      <c r="A2452" s="15"/>
      <c r="R2452" s="15"/>
    </row>
    <row r="2453" spans="1:18" x14ac:dyDescent="0.25">
      <c r="A2453" s="15"/>
      <c r="R2453" s="15"/>
    </row>
    <row r="2454" spans="1:18" x14ac:dyDescent="0.25">
      <c r="A2454" s="15"/>
      <c r="R2454" s="15"/>
    </row>
    <row r="2455" spans="1:18" x14ac:dyDescent="0.25">
      <c r="A2455" s="15"/>
      <c r="R2455" s="15"/>
    </row>
    <row r="2456" spans="1:18" x14ac:dyDescent="0.25">
      <c r="A2456" s="15"/>
      <c r="R2456" s="15"/>
    </row>
    <row r="2457" spans="1:18" x14ac:dyDescent="0.25">
      <c r="A2457" s="15"/>
      <c r="R2457" s="15"/>
    </row>
    <row r="2458" spans="1:18" x14ac:dyDescent="0.25">
      <c r="A2458" s="15"/>
      <c r="R2458" s="15"/>
    </row>
    <row r="2459" spans="1:18" x14ac:dyDescent="0.25">
      <c r="A2459" s="15"/>
      <c r="R2459" s="15"/>
    </row>
    <row r="2460" spans="1:18" x14ac:dyDescent="0.25">
      <c r="A2460" s="15"/>
      <c r="R2460" s="15"/>
    </row>
    <row r="2461" spans="1:18" x14ac:dyDescent="0.25">
      <c r="A2461" s="15"/>
      <c r="R2461" s="15"/>
    </row>
    <row r="2462" spans="1:18" x14ac:dyDescent="0.25">
      <c r="A2462" s="15"/>
      <c r="R2462" s="15"/>
    </row>
    <row r="2463" spans="1:18" x14ac:dyDescent="0.25">
      <c r="A2463" s="15"/>
      <c r="R2463" s="15"/>
    </row>
    <row r="2464" spans="1:18" x14ac:dyDescent="0.25">
      <c r="A2464" s="15"/>
      <c r="R2464" s="15"/>
    </row>
    <row r="2465" spans="1:18" x14ac:dyDescent="0.25">
      <c r="A2465" s="15"/>
      <c r="R2465" s="15"/>
    </row>
    <row r="2466" spans="1:18" x14ac:dyDescent="0.25">
      <c r="A2466" s="15"/>
      <c r="R2466" s="15"/>
    </row>
    <row r="2467" spans="1:18" x14ac:dyDescent="0.25">
      <c r="A2467" s="15"/>
      <c r="R2467" s="15"/>
    </row>
    <row r="2468" spans="1:18" x14ac:dyDescent="0.25">
      <c r="A2468" s="15"/>
      <c r="R2468" s="15"/>
    </row>
    <row r="2469" spans="1:18" x14ac:dyDescent="0.25">
      <c r="A2469" s="15"/>
      <c r="R2469" s="15"/>
    </row>
    <row r="2470" spans="1:18" x14ac:dyDescent="0.25">
      <c r="A2470" s="15"/>
      <c r="R2470" s="15"/>
    </row>
    <row r="2471" spans="1:18" x14ac:dyDescent="0.25">
      <c r="A2471" s="15"/>
      <c r="R2471" s="15"/>
    </row>
    <row r="2472" spans="1:18" x14ac:dyDescent="0.25">
      <c r="A2472" s="15"/>
      <c r="R2472" s="15"/>
    </row>
    <row r="2473" spans="1:18" x14ac:dyDescent="0.25">
      <c r="A2473" s="15"/>
      <c r="R2473" s="15"/>
    </row>
    <row r="2474" spans="1:18" x14ac:dyDescent="0.25">
      <c r="A2474" s="15"/>
      <c r="R2474" s="15"/>
    </row>
    <row r="2475" spans="1:18" x14ac:dyDescent="0.25">
      <c r="A2475" s="15"/>
      <c r="R2475" s="15"/>
    </row>
    <row r="2476" spans="1:18" x14ac:dyDescent="0.25">
      <c r="A2476" s="15"/>
      <c r="R2476" s="15"/>
    </row>
    <row r="2477" spans="1:18" x14ac:dyDescent="0.25">
      <c r="A2477" s="15"/>
      <c r="R2477" s="15"/>
    </row>
    <row r="2478" spans="1:18" x14ac:dyDescent="0.25">
      <c r="A2478" s="15"/>
      <c r="R2478" s="15"/>
    </row>
    <row r="2479" spans="1:18" x14ac:dyDescent="0.25">
      <c r="A2479" s="15"/>
      <c r="R2479" s="15"/>
    </row>
    <row r="2480" spans="1:18" x14ac:dyDescent="0.25">
      <c r="A2480" s="15"/>
      <c r="R2480" s="15"/>
    </row>
    <row r="2481" spans="1:18" x14ac:dyDescent="0.25">
      <c r="A2481" s="15"/>
      <c r="R2481" s="15"/>
    </row>
    <row r="2482" spans="1:18" x14ac:dyDescent="0.25">
      <c r="A2482" s="15"/>
      <c r="R2482" s="15"/>
    </row>
    <row r="2483" spans="1:18" x14ac:dyDescent="0.25">
      <c r="A2483" s="15"/>
      <c r="R2483" s="15"/>
    </row>
    <row r="2484" spans="1:18" x14ac:dyDescent="0.25">
      <c r="A2484" s="15"/>
      <c r="R2484" s="15"/>
    </row>
    <row r="2485" spans="1:18" x14ac:dyDescent="0.25">
      <c r="A2485" s="15"/>
      <c r="R2485" s="15"/>
    </row>
    <row r="2486" spans="1:18" x14ac:dyDescent="0.25">
      <c r="A2486" s="15"/>
      <c r="R2486" s="15"/>
    </row>
    <row r="2487" spans="1:18" x14ac:dyDescent="0.25">
      <c r="A2487" s="15"/>
      <c r="R2487" s="15"/>
    </row>
    <row r="2488" spans="1:18" x14ac:dyDescent="0.25">
      <c r="A2488" s="15"/>
      <c r="R2488" s="15"/>
    </row>
    <row r="2489" spans="1:18" x14ac:dyDescent="0.25">
      <c r="A2489" s="15"/>
      <c r="R2489" s="15"/>
    </row>
    <row r="2490" spans="1:18" x14ac:dyDescent="0.25">
      <c r="A2490" s="15"/>
      <c r="R2490" s="15"/>
    </row>
    <row r="2491" spans="1:18" x14ac:dyDescent="0.25">
      <c r="A2491" s="15"/>
      <c r="R2491" s="15"/>
    </row>
    <row r="2492" spans="1:18" x14ac:dyDescent="0.25">
      <c r="A2492" s="15"/>
      <c r="R2492" s="15"/>
    </row>
    <row r="2493" spans="1:18" x14ac:dyDescent="0.25">
      <c r="A2493" s="15"/>
      <c r="R2493" s="15"/>
    </row>
    <row r="2494" spans="1:18" x14ac:dyDescent="0.25">
      <c r="A2494" s="15"/>
      <c r="R2494" s="15"/>
    </row>
    <row r="2495" spans="1:18" x14ac:dyDescent="0.25">
      <c r="A2495" s="15"/>
      <c r="R2495" s="15"/>
    </row>
    <row r="2496" spans="1:18" x14ac:dyDescent="0.25">
      <c r="A2496" s="15"/>
      <c r="R2496" s="15"/>
    </row>
    <row r="2497" spans="1:18" x14ac:dyDescent="0.25">
      <c r="A2497" s="15"/>
      <c r="R2497" s="15"/>
    </row>
    <row r="2498" spans="1:18" x14ac:dyDescent="0.25">
      <c r="A2498" s="15"/>
      <c r="R2498" s="15"/>
    </row>
    <row r="2499" spans="1:18" x14ac:dyDescent="0.25">
      <c r="A2499" s="15"/>
      <c r="R2499" s="15"/>
    </row>
    <row r="2500" spans="1:18" x14ac:dyDescent="0.25">
      <c r="A2500" s="15"/>
      <c r="R2500" s="15"/>
    </row>
    <row r="2501" spans="1:18" x14ac:dyDescent="0.25">
      <c r="A2501" s="15"/>
      <c r="R2501" s="15"/>
    </row>
    <row r="2502" spans="1:18" x14ac:dyDescent="0.25">
      <c r="A2502" s="15"/>
      <c r="R2502" s="15"/>
    </row>
    <row r="2503" spans="1:18" x14ac:dyDescent="0.25">
      <c r="A2503" s="15"/>
      <c r="R2503" s="15"/>
    </row>
    <row r="2504" spans="1:18" x14ac:dyDescent="0.25">
      <c r="A2504" s="15"/>
      <c r="R2504" s="15"/>
    </row>
    <row r="2505" spans="1:18" x14ac:dyDescent="0.25">
      <c r="A2505" s="15"/>
      <c r="R2505" s="15"/>
    </row>
    <row r="2506" spans="1:18" x14ac:dyDescent="0.25">
      <c r="A2506" s="15"/>
      <c r="R2506" s="15"/>
    </row>
    <row r="2507" spans="1:18" x14ac:dyDescent="0.25">
      <c r="A2507" s="15"/>
      <c r="R2507" s="15"/>
    </row>
    <row r="2508" spans="1:18" x14ac:dyDescent="0.25">
      <c r="A2508" s="15"/>
      <c r="R2508" s="15"/>
    </row>
    <row r="2509" spans="1:18" x14ac:dyDescent="0.25">
      <c r="A2509" s="15"/>
      <c r="R2509" s="15"/>
    </row>
    <row r="2510" spans="1:18" x14ac:dyDescent="0.25">
      <c r="A2510" s="15"/>
      <c r="R2510" s="15"/>
    </row>
    <row r="2511" spans="1:18" x14ac:dyDescent="0.25">
      <c r="A2511" s="15"/>
      <c r="R2511" s="15"/>
    </row>
    <row r="2512" spans="1:18" x14ac:dyDescent="0.25">
      <c r="A2512" s="15"/>
      <c r="R2512" s="15"/>
    </row>
    <row r="2513" spans="1:18" x14ac:dyDescent="0.25">
      <c r="A2513" s="15"/>
      <c r="R2513" s="15"/>
    </row>
    <row r="2514" spans="1:18" x14ac:dyDescent="0.25">
      <c r="A2514" s="15"/>
      <c r="R2514" s="15"/>
    </row>
    <row r="2515" spans="1:18" x14ac:dyDescent="0.25">
      <c r="A2515" s="15"/>
      <c r="R2515" s="15"/>
    </row>
    <row r="2516" spans="1:18" x14ac:dyDescent="0.25">
      <c r="A2516" s="15"/>
      <c r="R2516" s="15"/>
    </row>
    <row r="2517" spans="1:18" x14ac:dyDescent="0.25">
      <c r="A2517" s="15"/>
      <c r="R2517" s="15"/>
    </row>
    <row r="2518" spans="1:18" x14ac:dyDescent="0.25">
      <c r="A2518" s="15"/>
      <c r="R2518" s="15"/>
    </row>
    <row r="2519" spans="1:18" x14ac:dyDescent="0.25">
      <c r="A2519" s="15"/>
      <c r="R2519" s="15"/>
    </row>
    <row r="2520" spans="1:18" x14ac:dyDescent="0.25">
      <c r="A2520" s="15"/>
      <c r="R2520" s="15"/>
    </row>
    <row r="2521" spans="1:18" x14ac:dyDescent="0.25">
      <c r="A2521" s="15"/>
      <c r="R2521" s="15"/>
    </row>
    <row r="2522" spans="1:18" x14ac:dyDescent="0.25">
      <c r="A2522" s="15"/>
      <c r="R2522" s="15"/>
    </row>
    <row r="2523" spans="1:18" x14ac:dyDescent="0.25">
      <c r="A2523" s="15"/>
      <c r="R2523" s="15"/>
    </row>
    <row r="2524" spans="1:18" x14ac:dyDescent="0.25">
      <c r="A2524" s="15"/>
      <c r="R2524" s="15"/>
    </row>
    <row r="2525" spans="1:18" x14ac:dyDescent="0.25">
      <c r="A2525" s="15"/>
      <c r="R2525" s="15"/>
    </row>
    <row r="2526" spans="1:18" x14ac:dyDescent="0.25">
      <c r="A2526" s="15"/>
      <c r="R2526" s="15"/>
    </row>
    <row r="2527" spans="1:18" x14ac:dyDescent="0.25">
      <c r="A2527" s="15"/>
      <c r="R2527" s="15"/>
    </row>
    <row r="2528" spans="1:18" x14ac:dyDescent="0.25">
      <c r="A2528" s="15"/>
      <c r="R2528" s="15"/>
    </row>
    <row r="2529" spans="1:18" x14ac:dyDescent="0.25">
      <c r="A2529" s="15"/>
      <c r="R2529" s="15"/>
    </row>
    <row r="2530" spans="1:18" x14ac:dyDescent="0.25">
      <c r="A2530" s="15"/>
      <c r="R2530" s="15"/>
    </row>
    <row r="2531" spans="1:18" x14ac:dyDescent="0.25">
      <c r="A2531" s="15"/>
      <c r="R2531" s="15"/>
    </row>
    <row r="2532" spans="1:18" x14ac:dyDescent="0.25">
      <c r="A2532" s="15"/>
      <c r="R2532" s="15"/>
    </row>
    <row r="2533" spans="1:18" x14ac:dyDescent="0.25">
      <c r="A2533" s="15"/>
      <c r="R2533" s="15"/>
    </row>
    <row r="2534" spans="1:18" x14ac:dyDescent="0.25">
      <c r="A2534" s="15"/>
      <c r="R2534" s="15"/>
    </row>
    <row r="2535" spans="1:18" x14ac:dyDescent="0.25">
      <c r="A2535" s="15"/>
      <c r="R2535" s="15"/>
    </row>
    <row r="2536" spans="1:18" x14ac:dyDescent="0.25">
      <c r="A2536" s="15"/>
      <c r="R2536" s="15"/>
    </row>
    <row r="2537" spans="1:18" x14ac:dyDescent="0.25">
      <c r="A2537" s="15"/>
      <c r="R2537" s="15"/>
    </row>
    <row r="2538" spans="1:18" x14ac:dyDescent="0.25">
      <c r="A2538" s="15"/>
      <c r="R2538" s="15"/>
    </row>
    <row r="2539" spans="1:18" x14ac:dyDescent="0.25">
      <c r="A2539" s="15"/>
      <c r="R2539" s="15"/>
    </row>
    <row r="2540" spans="1:18" x14ac:dyDescent="0.25">
      <c r="A2540" s="15"/>
      <c r="R2540" s="15"/>
    </row>
    <row r="2541" spans="1:18" x14ac:dyDescent="0.25">
      <c r="A2541" s="15"/>
      <c r="R2541" s="15"/>
    </row>
    <row r="2542" spans="1:18" x14ac:dyDescent="0.25">
      <c r="A2542" s="15"/>
      <c r="R2542" s="15"/>
    </row>
    <row r="2543" spans="1:18" x14ac:dyDescent="0.25">
      <c r="A2543" s="15"/>
      <c r="R2543" s="15"/>
    </row>
    <row r="2544" spans="1:18" x14ac:dyDescent="0.25">
      <c r="A2544" s="15"/>
      <c r="R2544" s="15"/>
    </row>
    <row r="2545" spans="1:18" x14ac:dyDescent="0.25">
      <c r="A2545" s="15"/>
      <c r="R2545" s="15"/>
    </row>
    <row r="2546" spans="1:18" x14ac:dyDescent="0.25">
      <c r="A2546" s="15"/>
      <c r="R2546" s="15"/>
    </row>
    <row r="2547" spans="1:18" x14ac:dyDescent="0.25">
      <c r="A2547" s="15"/>
      <c r="R2547" s="15"/>
    </row>
    <row r="2548" spans="1:18" x14ac:dyDescent="0.25">
      <c r="A2548" s="15"/>
      <c r="R2548" s="15"/>
    </row>
    <row r="2549" spans="1:18" x14ac:dyDescent="0.25">
      <c r="A2549" s="15"/>
      <c r="R2549" s="15"/>
    </row>
    <row r="2550" spans="1:18" x14ac:dyDescent="0.25">
      <c r="A2550" s="15"/>
      <c r="R2550" s="15"/>
    </row>
    <row r="2551" spans="1:18" x14ac:dyDescent="0.25">
      <c r="A2551" s="15"/>
      <c r="R2551" s="15"/>
    </row>
    <row r="2552" spans="1:18" x14ac:dyDescent="0.25">
      <c r="A2552" s="15"/>
      <c r="R2552" s="15"/>
    </row>
    <row r="2553" spans="1:18" x14ac:dyDescent="0.25">
      <c r="A2553" s="15"/>
      <c r="R2553" s="15"/>
    </row>
    <row r="2554" spans="1:18" x14ac:dyDescent="0.25">
      <c r="A2554" s="15"/>
      <c r="R2554" s="15"/>
    </row>
    <row r="2555" spans="1:18" x14ac:dyDescent="0.25">
      <c r="A2555" s="15"/>
      <c r="R2555" s="15"/>
    </row>
    <row r="2556" spans="1:18" x14ac:dyDescent="0.25">
      <c r="A2556" s="15"/>
      <c r="R2556" s="15"/>
    </row>
    <row r="2557" spans="1:18" x14ac:dyDescent="0.25">
      <c r="A2557" s="15"/>
      <c r="R2557" s="15"/>
    </row>
    <row r="2558" spans="1:18" x14ac:dyDescent="0.25">
      <c r="A2558" s="15"/>
      <c r="R2558" s="15"/>
    </row>
    <row r="2559" spans="1:18" x14ac:dyDescent="0.25">
      <c r="A2559" s="15"/>
      <c r="R2559" s="15"/>
    </row>
    <row r="2560" spans="1:18" x14ac:dyDescent="0.25">
      <c r="A2560" s="15"/>
      <c r="R2560" s="15"/>
    </row>
    <row r="2561" spans="1:18" x14ac:dyDescent="0.25">
      <c r="A2561" s="15"/>
      <c r="R2561" s="15"/>
    </row>
    <row r="2562" spans="1:18" x14ac:dyDescent="0.25">
      <c r="A2562" s="15"/>
      <c r="R2562" s="15"/>
    </row>
    <row r="2563" spans="1:18" x14ac:dyDescent="0.25">
      <c r="A2563" s="15"/>
      <c r="R2563" s="15"/>
    </row>
    <row r="2564" spans="1:18" x14ac:dyDescent="0.25">
      <c r="A2564" s="15"/>
      <c r="R2564" s="15"/>
    </row>
    <row r="2565" spans="1:18" x14ac:dyDescent="0.25">
      <c r="A2565" s="15"/>
      <c r="R2565" s="15"/>
    </row>
    <row r="2566" spans="1:18" x14ac:dyDescent="0.25">
      <c r="A2566" s="15"/>
      <c r="R2566" s="15"/>
    </row>
    <row r="2567" spans="1:18" x14ac:dyDescent="0.25">
      <c r="A2567" s="15"/>
      <c r="R2567" s="15"/>
    </row>
    <row r="2568" spans="1:18" x14ac:dyDescent="0.25">
      <c r="A2568" s="15"/>
      <c r="R2568" s="15"/>
    </row>
    <row r="2569" spans="1:18" x14ac:dyDescent="0.25">
      <c r="A2569" s="15"/>
      <c r="R2569" s="15"/>
    </row>
    <row r="2570" spans="1:18" x14ac:dyDescent="0.25">
      <c r="A2570" s="15"/>
      <c r="R2570" s="15"/>
    </row>
    <row r="2571" spans="1:18" x14ac:dyDescent="0.25">
      <c r="A2571" s="15"/>
      <c r="R2571" s="15"/>
    </row>
    <row r="2572" spans="1:18" x14ac:dyDescent="0.25">
      <c r="A2572" s="15"/>
      <c r="R2572" s="15"/>
    </row>
    <row r="2573" spans="1:18" x14ac:dyDescent="0.25">
      <c r="A2573" s="15"/>
      <c r="R2573" s="15"/>
    </row>
    <row r="2574" spans="1:18" x14ac:dyDescent="0.25">
      <c r="A2574" s="15"/>
      <c r="R2574" s="15"/>
    </row>
    <row r="2575" spans="1:18" x14ac:dyDescent="0.25">
      <c r="A2575" s="15"/>
      <c r="R2575" s="15"/>
    </row>
    <row r="2576" spans="1:18" x14ac:dyDescent="0.25">
      <c r="A2576" s="15"/>
      <c r="R2576" s="15"/>
    </row>
    <row r="2577" spans="1:18" x14ac:dyDescent="0.25">
      <c r="A2577" s="15"/>
      <c r="R2577" s="15"/>
    </row>
    <row r="2578" spans="1:18" x14ac:dyDescent="0.25">
      <c r="A2578" s="15"/>
      <c r="R2578" s="15"/>
    </row>
    <row r="2579" spans="1:18" x14ac:dyDescent="0.25">
      <c r="A2579" s="15"/>
      <c r="R2579" s="15"/>
    </row>
    <row r="2580" spans="1:18" x14ac:dyDescent="0.25">
      <c r="A2580" s="15"/>
      <c r="R2580" s="15"/>
    </row>
    <row r="2581" spans="1:18" x14ac:dyDescent="0.25">
      <c r="A2581" s="15"/>
      <c r="R2581" s="15"/>
    </row>
    <row r="2582" spans="1:18" x14ac:dyDescent="0.25">
      <c r="A2582" s="15"/>
      <c r="R2582" s="15"/>
    </row>
    <row r="2583" spans="1:18" x14ac:dyDescent="0.25">
      <c r="A2583" s="15"/>
      <c r="R2583" s="15"/>
    </row>
    <row r="2584" spans="1:18" x14ac:dyDescent="0.25">
      <c r="A2584" s="15"/>
      <c r="R2584" s="15"/>
    </row>
    <row r="2585" spans="1:18" x14ac:dyDescent="0.25">
      <c r="A2585" s="15"/>
      <c r="R2585" s="15"/>
    </row>
    <row r="2586" spans="1:18" x14ac:dyDescent="0.25">
      <c r="A2586" s="15"/>
      <c r="R2586" s="15"/>
    </row>
    <row r="2587" spans="1:18" x14ac:dyDescent="0.25">
      <c r="A2587" s="15"/>
      <c r="R2587" s="15"/>
    </row>
    <row r="2588" spans="1:18" x14ac:dyDescent="0.25">
      <c r="A2588" s="15"/>
      <c r="R2588" s="15"/>
    </row>
    <row r="2589" spans="1:18" x14ac:dyDescent="0.25">
      <c r="A2589" s="15"/>
      <c r="R2589" s="15"/>
    </row>
    <row r="2590" spans="1:18" x14ac:dyDescent="0.25">
      <c r="A2590" s="15"/>
      <c r="R2590" s="15"/>
    </row>
    <row r="2591" spans="1:18" x14ac:dyDescent="0.25">
      <c r="A2591" s="15"/>
      <c r="R2591" s="15"/>
    </row>
    <row r="2592" spans="1:18" x14ac:dyDescent="0.25">
      <c r="A2592" s="15"/>
      <c r="R2592" s="15"/>
    </row>
    <row r="2593" spans="1:18" x14ac:dyDescent="0.25">
      <c r="A2593" s="15"/>
      <c r="R2593" s="15"/>
    </row>
    <row r="2594" spans="1:18" x14ac:dyDescent="0.25">
      <c r="A2594" s="15"/>
      <c r="R2594" s="15"/>
    </row>
    <row r="2595" spans="1:18" x14ac:dyDescent="0.25">
      <c r="A2595" s="15"/>
      <c r="R2595" s="15"/>
    </row>
    <row r="2596" spans="1:18" x14ac:dyDescent="0.25">
      <c r="A2596" s="15"/>
      <c r="R2596" s="15"/>
    </row>
    <row r="2597" spans="1:18" x14ac:dyDescent="0.25">
      <c r="A2597" s="15"/>
      <c r="R2597" s="15"/>
    </row>
    <row r="2598" spans="1:18" x14ac:dyDescent="0.25">
      <c r="A2598" s="15"/>
      <c r="R2598" s="15"/>
    </row>
    <row r="2599" spans="1:18" x14ac:dyDescent="0.25">
      <c r="A2599" s="15"/>
      <c r="R2599" s="15"/>
    </row>
    <row r="2600" spans="1:18" x14ac:dyDescent="0.25">
      <c r="A2600" s="15"/>
      <c r="R2600" s="15"/>
    </row>
    <row r="2601" spans="1:18" x14ac:dyDescent="0.25">
      <c r="A2601" s="15"/>
      <c r="R2601" s="15"/>
    </row>
    <row r="2602" spans="1:18" x14ac:dyDescent="0.25">
      <c r="A2602" s="15"/>
      <c r="R2602" s="15"/>
    </row>
    <row r="2603" spans="1:18" x14ac:dyDescent="0.25">
      <c r="A2603" s="15"/>
      <c r="R2603" s="15"/>
    </row>
    <row r="2604" spans="1:18" x14ac:dyDescent="0.25">
      <c r="A2604" s="15"/>
      <c r="R2604" s="15"/>
    </row>
    <row r="2605" spans="1:18" x14ac:dyDescent="0.25">
      <c r="A2605" s="15"/>
      <c r="R2605" s="15"/>
    </row>
    <row r="2606" spans="1:18" x14ac:dyDescent="0.25">
      <c r="A2606" s="15"/>
      <c r="R2606" s="15"/>
    </row>
    <row r="2607" spans="1:18" x14ac:dyDescent="0.25">
      <c r="A2607" s="15"/>
      <c r="R2607" s="15"/>
    </row>
    <row r="2608" spans="1:18" x14ac:dyDescent="0.25">
      <c r="A2608" s="15"/>
      <c r="R2608" s="15"/>
    </row>
    <row r="2609" spans="1:18" x14ac:dyDescent="0.25">
      <c r="A2609" s="15"/>
      <c r="R2609" s="15"/>
    </row>
    <row r="2610" spans="1:18" x14ac:dyDescent="0.25">
      <c r="A2610" s="15"/>
      <c r="R2610" s="15"/>
    </row>
    <row r="2611" spans="1:18" x14ac:dyDescent="0.25">
      <c r="A2611" s="15"/>
      <c r="R2611" s="15"/>
    </row>
    <row r="2612" spans="1:18" x14ac:dyDescent="0.25">
      <c r="A2612" s="15"/>
      <c r="R2612" s="15"/>
    </row>
    <row r="2613" spans="1:18" x14ac:dyDescent="0.25">
      <c r="A2613" s="15"/>
      <c r="R2613" s="15"/>
    </row>
    <row r="2614" spans="1:18" x14ac:dyDescent="0.25">
      <c r="A2614" s="15"/>
      <c r="R2614" s="15"/>
    </row>
    <row r="2615" spans="1:18" x14ac:dyDescent="0.25">
      <c r="A2615" s="15"/>
      <c r="R2615" s="15"/>
    </row>
    <row r="2616" spans="1:18" x14ac:dyDescent="0.25">
      <c r="A2616" s="15"/>
      <c r="R2616" s="15"/>
    </row>
    <row r="2617" spans="1:18" x14ac:dyDescent="0.25">
      <c r="A2617" s="15"/>
      <c r="R2617" s="15"/>
    </row>
    <row r="2618" spans="1:18" x14ac:dyDescent="0.25">
      <c r="A2618" s="15"/>
      <c r="R2618" s="15"/>
    </row>
    <row r="2619" spans="1:18" x14ac:dyDescent="0.25">
      <c r="A2619" s="15"/>
      <c r="R2619" s="15"/>
    </row>
    <row r="2620" spans="1:18" x14ac:dyDescent="0.25">
      <c r="A2620" s="15"/>
      <c r="R2620" s="15"/>
    </row>
    <row r="2621" spans="1:18" x14ac:dyDescent="0.25">
      <c r="A2621" s="15"/>
      <c r="R2621" s="15"/>
    </row>
    <row r="2622" spans="1:18" x14ac:dyDescent="0.25">
      <c r="A2622" s="15"/>
      <c r="R2622" s="15"/>
    </row>
    <row r="2623" spans="1:18" x14ac:dyDescent="0.25">
      <c r="A2623" s="15"/>
      <c r="R2623" s="15"/>
    </row>
    <row r="2624" spans="1:18" x14ac:dyDescent="0.25">
      <c r="A2624" s="15"/>
      <c r="R2624" s="15"/>
    </row>
    <row r="2625" spans="1:18" x14ac:dyDescent="0.25">
      <c r="A2625" s="15"/>
      <c r="R2625" s="15"/>
    </row>
    <row r="2626" spans="1:18" x14ac:dyDescent="0.25">
      <c r="A2626" s="15"/>
      <c r="R2626" s="15"/>
    </row>
    <row r="2627" spans="1:18" x14ac:dyDescent="0.25">
      <c r="A2627" s="15"/>
      <c r="R2627" s="15"/>
    </row>
    <row r="2628" spans="1:18" x14ac:dyDescent="0.25">
      <c r="A2628" s="15"/>
      <c r="R2628" s="15"/>
    </row>
    <row r="2629" spans="1:18" x14ac:dyDescent="0.25">
      <c r="A2629" s="15"/>
      <c r="R2629" s="15"/>
    </row>
    <row r="2630" spans="1:18" x14ac:dyDescent="0.25">
      <c r="A2630" s="15"/>
      <c r="R2630" s="15"/>
    </row>
    <row r="2631" spans="1:18" x14ac:dyDescent="0.25">
      <c r="A2631" s="15"/>
      <c r="R2631" s="15"/>
    </row>
    <row r="2632" spans="1:18" x14ac:dyDescent="0.25">
      <c r="A2632" s="15"/>
      <c r="R2632" s="15"/>
    </row>
    <row r="2633" spans="1:18" x14ac:dyDescent="0.25">
      <c r="A2633" s="15"/>
      <c r="R2633" s="15"/>
    </row>
    <row r="2634" spans="1:18" x14ac:dyDescent="0.25">
      <c r="A2634" s="15"/>
      <c r="R2634" s="15"/>
    </row>
    <row r="2635" spans="1:18" x14ac:dyDescent="0.25">
      <c r="A2635" s="15"/>
      <c r="R2635" s="15"/>
    </row>
    <row r="2636" spans="1:18" x14ac:dyDescent="0.25">
      <c r="A2636" s="15"/>
      <c r="R2636" s="15"/>
    </row>
    <row r="2637" spans="1:18" x14ac:dyDescent="0.25">
      <c r="A2637" s="15"/>
      <c r="R2637" s="15"/>
    </row>
    <row r="2638" spans="1:18" x14ac:dyDescent="0.25">
      <c r="A2638" s="15"/>
      <c r="R2638" s="15"/>
    </row>
    <row r="2639" spans="1:18" x14ac:dyDescent="0.25">
      <c r="A2639" s="15"/>
      <c r="R2639" s="15"/>
    </row>
    <row r="2640" spans="1:18" x14ac:dyDescent="0.25">
      <c r="A2640" s="15"/>
      <c r="R2640" s="15"/>
    </row>
    <row r="2641" spans="1:18" x14ac:dyDescent="0.25">
      <c r="A2641" s="15"/>
      <c r="R2641" s="15"/>
    </row>
    <row r="2642" spans="1:18" x14ac:dyDescent="0.25">
      <c r="A2642" s="15"/>
      <c r="R2642" s="15"/>
    </row>
    <row r="2643" spans="1:18" x14ac:dyDescent="0.25">
      <c r="A2643" s="15"/>
      <c r="R2643" s="15"/>
    </row>
    <row r="2644" spans="1:18" x14ac:dyDescent="0.25">
      <c r="A2644" s="15"/>
      <c r="R2644" s="15"/>
    </row>
    <row r="2645" spans="1:18" x14ac:dyDescent="0.25">
      <c r="A2645" s="15"/>
      <c r="R2645" s="15"/>
    </row>
    <row r="2646" spans="1:18" x14ac:dyDescent="0.25">
      <c r="A2646" s="15"/>
      <c r="R2646" s="15"/>
    </row>
    <row r="2647" spans="1:18" x14ac:dyDescent="0.25">
      <c r="A2647" s="15"/>
      <c r="R2647" s="15"/>
    </row>
    <row r="2648" spans="1:18" x14ac:dyDescent="0.25">
      <c r="A2648" s="15"/>
      <c r="R2648" s="15"/>
    </row>
    <row r="2649" spans="1:18" x14ac:dyDescent="0.25">
      <c r="A2649" s="15"/>
      <c r="R2649" s="15"/>
    </row>
    <row r="2650" spans="1:18" x14ac:dyDescent="0.25">
      <c r="A2650" s="15"/>
      <c r="R2650" s="15"/>
    </row>
    <row r="2651" spans="1:18" x14ac:dyDescent="0.25">
      <c r="A2651" s="15"/>
      <c r="R2651" s="15"/>
    </row>
    <row r="2652" spans="1:18" x14ac:dyDescent="0.25">
      <c r="A2652" s="15"/>
      <c r="R2652" s="15"/>
    </row>
    <row r="2653" spans="1:18" x14ac:dyDescent="0.25">
      <c r="A2653" s="15"/>
      <c r="R2653" s="15"/>
    </row>
    <row r="2654" spans="1:18" x14ac:dyDescent="0.25">
      <c r="A2654" s="15"/>
      <c r="R2654" s="15"/>
    </row>
    <row r="2655" spans="1:18" x14ac:dyDescent="0.25">
      <c r="A2655" s="15"/>
      <c r="R2655" s="15"/>
    </row>
    <row r="2656" spans="1:18" x14ac:dyDescent="0.25">
      <c r="A2656" s="15"/>
      <c r="R2656" s="15"/>
    </row>
    <row r="2657" spans="1:18" x14ac:dyDescent="0.25">
      <c r="A2657" s="15"/>
      <c r="R2657" s="15"/>
    </row>
    <row r="2658" spans="1:18" x14ac:dyDescent="0.25">
      <c r="A2658" s="15"/>
      <c r="R2658" s="15"/>
    </row>
    <row r="2659" spans="1:18" x14ac:dyDescent="0.25">
      <c r="A2659" s="15"/>
      <c r="R2659" s="15"/>
    </row>
    <row r="2660" spans="1:18" x14ac:dyDescent="0.25">
      <c r="A2660" s="15"/>
      <c r="R2660" s="15"/>
    </row>
    <row r="2661" spans="1:18" x14ac:dyDescent="0.25">
      <c r="A2661" s="15"/>
      <c r="R2661" s="15"/>
    </row>
    <row r="2662" spans="1:18" x14ac:dyDescent="0.25">
      <c r="A2662" s="15"/>
      <c r="R2662" s="15"/>
    </row>
    <row r="2663" spans="1:18" x14ac:dyDescent="0.25">
      <c r="A2663" s="15"/>
      <c r="R2663" s="15"/>
    </row>
    <row r="2664" spans="1:18" x14ac:dyDescent="0.25">
      <c r="A2664" s="15"/>
      <c r="R2664" s="15"/>
    </row>
    <row r="2665" spans="1:18" x14ac:dyDescent="0.25">
      <c r="A2665" s="15"/>
      <c r="R2665" s="15"/>
    </row>
    <row r="2666" spans="1:18" x14ac:dyDescent="0.25">
      <c r="A2666" s="15"/>
      <c r="R2666" s="15"/>
    </row>
    <row r="2667" spans="1:18" x14ac:dyDescent="0.25">
      <c r="A2667" s="15"/>
      <c r="R2667" s="15"/>
    </row>
    <row r="2668" spans="1:18" x14ac:dyDescent="0.25">
      <c r="A2668" s="15"/>
      <c r="R2668" s="15"/>
    </row>
    <row r="2669" spans="1:18" x14ac:dyDescent="0.25">
      <c r="A2669" s="15"/>
      <c r="R2669" s="15"/>
    </row>
    <row r="2670" spans="1:18" x14ac:dyDescent="0.25">
      <c r="A2670" s="15"/>
      <c r="R2670" s="15"/>
    </row>
    <row r="2671" spans="1:18" x14ac:dyDescent="0.25">
      <c r="A2671" s="15"/>
      <c r="R2671" s="15"/>
    </row>
    <row r="2672" spans="1:18" x14ac:dyDescent="0.25">
      <c r="A2672" s="15"/>
      <c r="R2672" s="15"/>
    </row>
    <row r="2673" spans="1:18" x14ac:dyDescent="0.25">
      <c r="A2673" s="15"/>
      <c r="R2673" s="15"/>
    </row>
    <row r="2674" spans="1:18" x14ac:dyDescent="0.25">
      <c r="A2674" s="15"/>
      <c r="R2674" s="15"/>
    </row>
    <row r="2675" spans="1:18" x14ac:dyDescent="0.25">
      <c r="A2675" s="15"/>
      <c r="R2675" s="15"/>
    </row>
    <row r="2676" spans="1:18" x14ac:dyDescent="0.25">
      <c r="A2676" s="15"/>
      <c r="R2676" s="15"/>
    </row>
    <row r="2677" spans="1:18" x14ac:dyDescent="0.25">
      <c r="A2677" s="15"/>
      <c r="R2677" s="15"/>
    </row>
    <row r="2678" spans="1:18" x14ac:dyDescent="0.25">
      <c r="A2678" s="15"/>
      <c r="R2678" s="15"/>
    </row>
    <row r="2679" spans="1:18" x14ac:dyDescent="0.25">
      <c r="A2679" s="15"/>
      <c r="R2679" s="15"/>
    </row>
    <row r="2680" spans="1:18" x14ac:dyDescent="0.25">
      <c r="A2680" s="15"/>
      <c r="R2680" s="15"/>
    </row>
    <row r="2681" spans="1:18" x14ac:dyDescent="0.25">
      <c r="A2681" s="15"/>
      <c r="R2681" s="15"/>
    </row>
    <row r="2682" spans="1:18" x14ac:dyDescent="0.25">
      <c r="A2682" s="15"/>
      <c r="R2682" s="15"/>
    </row>
    <row r="2683" spans="1:18" x14ac:dyDescent="0.25">
      <c r="A2683" s="15"/>
      <c r="R2683" s="15"/>
    </row>
    <row r="2684" spans="1:18" x14ac:dyDescent="0.25">
      <c r="A2684" s="15"/>
      <c r="R2684" s="15"/>
    </row>
    <row r="2685" spans="1:18" x14ac:dyDescent="0.25">
      <c r="A2685" s="15"/>
      <c r="R2685" s="15"/>
    </row>
    <row r="2686" spans="1:18" x14ac:dyDescent="0.25">
      <c r="A2686" s="15"/>
      <c r="R2686" s="15"/>
    </row>
    <row r="2687" spans="1:18" x14ac:dyDescent="0.25">
      <c r="A2687" s="15"/>
      <c r="R2687" s="15"/>
    </row>
    <row r="2688" spans="1:18" x14ac:dyDescent="0.25">
      <c r="A2688" s="15"/>
      <c r="R2688" s="15"/>
    </row>
    <row r="2689" spans="1:18" x14ac:dyDescent="0.25">
      <c r="A2689" s="15"/>
      <c r="R2689" s="15"/>
    </row>
    <row r="2690" spans="1:18" x14ac:dyDescent="0.25">
      <c r="A2690" s="15"/>
      <c r="R2690" s="15"/>
    </row>
    <row r="2691" spans="1:18" x14ac:dyDescent="0.25">
      <c r="A2691" s="15"/>
      <c r="R2691" s="15"/>
    </row>
    <row r="2692" spans="1:18" x14ac:dyDescent="0.25">
      <c r="A2692" s="15"/>
      <c r="R2692" s="15"/>
    </row>
    <row r="2693" spans="1:18" x14ac:dyDescent="0.25">
      <c r="A2693" s="15"/>
      <c r="R2693" s="15"/>
    </row>
    <row r="2694" spans="1:18" x14ac:dyDescent="0.25">
      <c r="A2694" s="15"/>
      <c r="R2694" s="15"/>
    </row>
    <row r="2695" spans="1:18" x14ac:dyDescent="0.25">
      <c r="A2695" s="15"/>
      <c r="R2695" s="15"/>
    </row>
    <row r="2696" spans="1:18" x14ac:dyDescent="0.25">
      <c r="A2696" s="15"/>
      <c r="R2696" s="15"/>
    </row>
    <row r="2697" spans="1:18" x14ac:dyDescent="0.25">
      <c r="A2697" s="15"/>
      <c r="R2697" s="15"/>
    </row>
    <row r="2698" spans="1:18" x14ac:dyDescent="0.25">
      <c r="A2698" s="15"/>
      <c r="R2698" s="15"/>
    </row>
    <row r="2699" spans="1:18" x14ac:dyDescent="0.25">
      <c r="A2699" s="15"/>
      <c r="R2699" s="15"/>
    </row>
    <row r="2700" spans="1:18" x14ac:dyDescent="0.25">
      <c r="A2700" s="15"/>
      <c r="R2700" s="15"/>
    </row>
    <row r="2701" spans="1:18" x14ac:dyDescent="0.25">
      <c r="A2701" s="15"/>
      <c r="R2701" s="15"/>
    </row>
    <row r="2702" spans="1:18" x14ac:dyDescent="0.25">
      <c r="A2702" s="15"/>
      <c r="R2702" s="15"/>
    </row>
    <row r="2703" spans="1:18" x14ac:dyDescent="0.25">
      <c r="A2703" s="15"/>
      <c r="R2703" s="15"/>
    </row>
    <row r="2704" spans="1:18" x14ac:dyDescent="0.25">
      <c r="A2704" s="15"/>
      <c r="R2704" s="15"/>
    </row>
    <row r="2705" spans="1:18" x14ac:dyDescent="0.25">
      <c r="A2705" s="15"/>
      <c r="R2705" s="15"/>
    </row>
    <row r="2706" spans="1:18" x14ac:dyDescent="0.25">
      <c r="A2706" s="15"/>
      <c r="R2706" s="15"/>
    </row>
    <row r="2707" spans="1:18" x14ac:dyDescent="0.25">
      <c r="A2707" s="15"/>
      <c r="R2707" s="15"/>
    </row>
    <row r="2708" spans="1:18" x14ac:dyDescent="0.25">
      <c r="A2708" s="15"/>
      <c r="R2708" s="15"/>
    </row>
    <row r="2709" spans="1:18" x14ac:dyDescent="0.25">
      <c r="A2709" s="15"/>
      <c r="R2709" s="15"/>
    </row>
    <row r="2710" spans="1:18" x14ac:dyDescent="0.25">
      <c r="A2710" s="15"/>
      <c r="R2710" s="15"/>
    </row>
    <row r="2711" spans="1:18" x14ac:dyDescent="0.25">
      <c r="A2711" s="15"/>
      <c r="R2711" s="15"/>
    </row>
    <row r="2712" spans="1:18" x14ac:dyDescent="0.25">
      <c r="A2712" s="15"/>
      <c r="R2712" s="15"/>
    </row>
    <row r="2713" spans="1:18" x14ac:dyDescent="0.25">
      <c r="A2713" s="15"/>
      <c r="R2713" s="15"/>
    </row>
    <row r="2714" spans="1:18" x14ac:dyDescent="0.25">
      <c r="A2714" s="15"/>
      <c r="R2714" s="15"/>
    </row>
    <row r="2715" spans="1:18" x14ac:dyDescent="0.25">
      <c r="A2715" s="15"/>
      <c r="R2715" s="15"/>
    </row>
    <row r="2716" spans="1:18" x14ac:dyDescent="0.25">
      <c r="A2716" s="15"/>
      <c r="R2716" s="15"/>
    </row>
    <row r="2717" spans="1:18" x14ac:dyDescent="0.25">
      <c r="A2717" s="15"/>
      <c r="R2717" s="15"/>
    </row>
    <row r="2718" spans="1:18" x14ac:dyDescent="0.25">
      <c r="A2718" s="15"/>
      <c r="R2718" s="15"/>
    </row>
    <row r="2719" spans="1:18" x14ac:dyDescent="0.25">
      <c r="A2719" s="15"/>
      <c r="R2719" s="15"/>
    </row>
    <row r="2720" spans="1:18" x14ac:dyDescent="0.25">
      <c r="A2720" s="15"/>
      <c r="R2720" s="15"/>
    </row>
    <row r="2721" spans="1:18" x14ac:dyDescent="0.25">
      <c r="A2721" s="15"/>
      <c r="R2721" s="15"/>
    </row>
    <row r="2722" spans="1:18" x14ac:dyDescent="0.25">
      <c r="A2722" s="15"/>
      <c r="R2722" s="15"/>
    </row>
    <row r="2723" spans="1:18" x14ac:dyDescent="0.25">
      <c r="A2723" s="15"/>
      <c r="R2723" s="15"/>
    </row>
    <row r="2724" spans="1:18" x14ac:dyDescent="0.25">
      <c r="A2724" s="15"/>
      <c r="R2724" s="15"/>
    </row>
    <row r="2725" spans="1:18" x14ac:dyDescent="0.25">
      <c r="A2725" s="15"/>
      <c r="R2725" s="15"/>
    </row>
    <row r="2726" spans="1:18" x14ac:dyDescent="0.25">
      <c r="A2726" s="15"/>
      <c r="R2726" s="15"/>
    </row>
    <row r="2727" spans="1:18" x14ac:dyDescent="0.25">
      <c r="A2727" s="15"/>
      <c r="R2727" s="15"/>
    </row>
    <row r="2728" spans="1:18" x14ac:dyDescent="0.25">
      <c r="A2728" s="15"/>
      <c r="R2728" s="15"/>
    </row>
    <row r="2729" spans="1:18" x14ac:dyDescent="0.25">
      <c r="A2729" s="15"/>
      <c r="R2729" s="15"/>
    </row>
    <row r="2730" spans="1:18" x14ac:dyDescent="0.25">
      <c r="A2730" s="15"/>
      <c r="R2730" s="15"/>
    </row>
    <row r="2731" spans="1:18" x14ac:dyDescent="0.25">
      <c r="A2731" s="15"/>
      <c r="R2731" s="15"/>
    </row>
    <row r="2732" spans="1:18" x14ac:dyDescent="0.25">
      <c r="A2732" s="15"/>
      <c r="R2732" s="15"/>
    </row>
    <row r="2733" spans="1:18" x14ac:dyDescent="0.25">
      <c r="A2733" s="15"/>
      <c r="R2733" s="15"/>
    </row>
    <row r="2734" spans="1:18" x14ac:dyDescent="0.25">
      <c r="A2734" s="15"/>
      <c r="R2734" s="15"/>
    </row>
    <row r="2735" spans="1:18" x14ac:dyDescent="0.25">
      <c r="A2735" s="15"/>
      <c r="R2735" s="15"/>
    </row>
    <row r="2736" spans="1:18" x14ac:dyDescent="0.25">
      <c r="A2736" s="15"/>
      <c r="R2736" s="15"/>
    </row>
    <row r="2737" spans="1:18" x14ac:dyDescent="0.25">
      <c r="A2737" s="15"/>
      <c r="R2737" s="15"/>
    </row>
    <row r="2738" spans="1:18" x14ac:dyDescent="0.25">
      <c r="A2738" s="15"/>
      <c r="R2738" s="15"/>
    </row>
    <row r="2739" spans="1:18" x14ac:dyDescent="0.25">
      <c r="A2739" s="15"/>
      <c r="R2739" s="15"/>
    </row>
    <row r="2740" spans="1:18" x14ac:dyDescent="0.25">
      <c r="A2740" s="15"/>
      <c r="R2740" s="15"/>
    </row>
    <row r="2741" spans="1:18" x14ac:dyDescent="0.25">
      <c r="A2741" s="15"/>
      <c r="R2741" s="15"/>
    </row>
    <row r="2742" spans="1:18" x14ac:dyDescent="0.25">
      <c r="A2742" s="15"/>
      <c r="R2742" s="15"/>
    </row>
    <row r="2743" spans="1:18" x14ac:dyDescent="0.25">
      <c r="A2743" s="15"/>
      <c r="R2743" s="15"/>
    </row>
    <row r="2744" spans="1:18" x14ac:dyDescent="0.25">
      <c r="A2744" s="15"/>
      <c r="R2744" s="15"/>
    </row>
    <row r="2745" spans="1:18" x14ac:dyDescent="0.25">
      <c r="A2745" s="15"/>
      <c r="R2745" s="15"/>
    </row>
    <row r="2746" spans="1:18" x14ac:dyDescent="0.25">
      <c r="A2746" s="15"/>
      <c r="R2746" s="15"/>
    </row>
    <row r="2747" spans="1:18" x14ac:dyDescent="0.25">
      <c r="A2747" s="15"/>
      <c r="R2747" s="15"/>
    </row>
    <row r="2748" spans="1:18" x14ac:dyDescent="0.25">
      <c r="A2748" s="15"/>
      <c r="R2748" s="15"/>
    </row>
    <row r="2749" spans="1:18" x14ac:dyDescent="0.25">
      <c r="A2749" s="15"/>
      <c r="R2749" s="15"/>
    </row>
    <row r="2750" spans="1:18" x14ac:dyDescent="0.25">
      <c r="A2750" s="15"/>
      <c r="R2750" s="15"/>
    </row>
    <row r="2751" spans="1:18" x14ac:dyDescent="0.25">
      <c r="A2751" s="15"/>
      <c r="R2751" s="15"/>
    </row>
    <row r="2752" spans="1:18" x14ac:dyDescent="0.25">
      <c r="A2752" s="15"/>
      <c r="R2752" s="15"/>
    </row>
    <row r="2753" spans="1:18" x14ac:dyDescent="0.25">
      <c r="A2753" s="15"/>
      <c r="R2753" s="15"/>
    </row>
    <row r="2754" spans="1:18" x14ac:dyDescent="0.25">
      <c r="A2754" s="15"/>
      <c r="R2754" s="15"/>
    </row>
    <row r="2755" spans="1:18" x14ac:dyDescent="0.25">
      <c r="A2755" s="15"/>
      <c r="R2755" s="15"/>
    </row>
    <row r="2756" spans="1:18" x14ac:dyDescent="0.25">
      <c r="A2756" s="15"/>
      <c r="R2756" s="15"/>
    </row>
    <row r="2757" spans="1:18" x14ac:dyDescent="0.25">
      <c r="A2757" s="15"/>
      <c r="R2757" s="15"/>
    </row>
    <row r="2758" spans="1:18" x14ac:dyDescent="0.25">
      <c r="A2758" s="15"/>
      <c r="R2758" s="15"/>
    </row>
    <row r="2759" spans="1:18" x14ac:dyDescent="0.25">
      <c r="A2759" s="15"/>
      <c r="R2759" s="15"/>
    </row>
    <row r="2760" spans="1:18" x14ac:dyDescent="0.25">
      <c r="A2760" s="15"/>
      <c r="R2760" s="15"/>
    </row>
    <row r="2761" spans="1:18" x14ac:dyDescent="0.25">
      <c r="A2761" s="15"/>
      <c r="R2761" s="15"/>
    </row>
    <row r="2762" spans="1:18" x14ac:dyDescent="0.25">
      <c r="A2762" s="15"/>
      <c r="R2762" s="15"/>
    </row>
    <row r="2763" spans="1:18" x14ac:dyDescent="0.25">
      <c r="A2763" s="15"/>
      <c r="R2763" s="15"/>
    </row>
    <row r="2764" spans="1:18" x14ac:dyDescent="0.25">
      <c r="A2764" s="15"/>
      <c r="R2764" s="15"/>
    </row>
    <row r="2765" spans="1:18" x14ac:dyDescent="0.25">
      <c r="A2765" s="15"/>
      <c r="R2765" s="15"/>
    </row>
    <row r="2766" spans="1:18" x14ac:dyDescent="0.25">
      <c r="A2766" s="15"/>
      <c r="R2766" s="15"/>
    </row>
    <row r="2767" spans="1:18" x14ac:dyDescent="0.25">
      <c r="A2767" s="15"/>
      <c r="R2767" s="15"/>
    </row>
    <row r="2768" spans="1:18" x14ac:dyDescent="0.25">
      <c r="A2768" s="15"/>
      <c r="R2768" s="15"/>
    </row>
    <row r="2769" spans="1:18" x14ac:dyDescent="0.25">
      <c r="A2769" s="15"/>
      <c r="R2769" s="15"/>
    </row>
    <row r="2770" spans="1:18" x14ac:dyDescent="0.25">
      <c r="A2770" s="15"/>
      <c r="R2770" s="15"/>
    </row>
    <row r="2771" spans="1:18" x14ac:dyDescent="0.25">
      <c r="A2771" s="15"/>
      <c r="R2771" s="15"/>
    </row>
    <row r="2772" spans="1:18" x14ac:dyDescent="0.25">
      <c r="A2772" s="15"/>
      <c r="R2772" s="15"/>
    </row>
    <row r="2773" spans="1:18" x14ac:dyDescent="0.25">
      <c r="A2773" s="15"/>
      <c r="R2773" s="15"/>
    </row>
    <row r="2774" spans="1:18" x14ac:dyDescent="0.25">
      <c r="A2774" s="15"/>
      <c r="R2774" s="15"/>
    </row>
    <row r="2775" spans="1:18" x14ac:dyDescent="0.25">
      <c r="A2775" s="15"/>
      <c r="R2775" s="15"/>
    </row>
    <row r="2776" spans="1:18" x14ac:dyDescent="0.25">
      <c r="A2776" s="15"/>
      <c r="R2776" s="15"/>
    </row>
    <row r="2777" spans="1:18" x14ac:dyDescent="0.25">
      <c r="A2777" s="15"/>
      <c r="R2777" s="15"/>
    </row>
    <row r="2778" spans="1:18" x14ac:dyDescent="0.25">
      <c r="A2778" s="15"/>
      <c r="R2778" s="15"/>
    </row>
    <row r="2779" spans="1:18" x14ac:dyDescent="0.25">
      <c r="A2779" s="15"/>
      <c r="R2779" s="15"/>
    </row>
    <row r="2780" spans="1:18" x14ac:dyDescent="0.25">
      <c r="A2780" s="15"/>
      <c r="R2780" s="15"/>
    </row>
    <row r="2781" spans="1:18" x14ac:dyDescent="0.25">
      <c r="A2781" s="15"/>
      <c r="R2781" s="15"/>
    </row>
    <row r="2782" spans="1:18" x14ac:dyDescent="0.25">
      <c r="A2782" s="15"/>
      <c r="R2782" s="15"/>
    </row>
    <row r="2783" spans="1:18" x14ac:dyDescent="0.25">
      <c r="A2783" s="15"/>
      <c r="R2783" s="15"/>
    </row>
    <row r="2784" spans="1:18" x14ac:dyDescent="0.25">
      <c r="A2784" s="15"/>
      <c r="R2784" s="15"/>
    </row>
    <row r="2785" spans="1:18" x14ac:dyDescent="0.25">
      <c r="A2785" s="15"/>
      <c r="R2785" s="15"/>
    </row>
    <row r="2786" spans="1:18" x14ac:dyDescent="0.25">
      <c r="A2786" s="15"/>
      <c r="R2786" s="15"/>
    </row>
    <row r="2787" spans="1:18" x14ac:dyDescent="0.25">
      <c r="A2787" s="15"/>
      <c r="R2787" s="15"/>
    </row>
    <row r="2788" spans="1:18" x14ac:dyDescent="0.25">
      <c r="A2788" s="15"/>
      <c r="R2788" s="15"/>
    </row>
    <row r="2789" spans="1:18" x14ac:dyDescent="0.25">
      <c r="A2789" s="15"/>
      <c r="R2789" s="15"/>
    </row>
    <row r="2790" spans="1:18" x14ac:dyDescent="0.25">
      <c r="A2790" s="15"/>
      <c r="R2790" s="15"/>
    </row>
    <row r="2791" spans="1:18" x14ac:dyDescent="0.25">
      <c r="A2791" s="15"/>
      <c r="R2791" s="15"/>
    </row>
    <row r="2792" spans="1:18" x14ac:dyDescent="0.25">
      <c r="A2792" s="15"/>
      <c r="R2792" s="15"/>
    </row>
    <row r="2793" spans="1:18" x14ac:dyDescent="0.25">
      <c r="A2793" s="15"/>
      <c r="R2793" s="15"/>
    </row>
    <row r="2794" spans="1:18" x14ac:dyDescent="0.25">
      <c r="A2794" s="15"/>
      <c r="R2794" s="15"/>
    </row>
    <row r="2795" spans="1:18" x14ac:dyDescent="0.25">
      <c r="A2795" s="15"/>
      <c r="R2795" s="15"/>
    </row>
    <row r="2796" spans="1:18" x14ac:dyDescent="0.25">
      <c r="A2796" s="15"/>
      <c r="R2796" s="15"/>
    </row>
    <row r="2797" spans="1:18" x14ac:dyDescent="0.25">
      <c r="A2797" s="15"/>
      <c r="R2797" s="15"/>
    </row>
    <row r="2798" spans="1:18" x14ac:dyDescent="0.25">
      <c r="A2798" s="15"/>
      <c r="R2798" s="15"/>
    </row>
    <row r="2799" spans="1:18" x14ac:dyDescent="0.25">
      <c r="A2799" s="15"/>
      <c r="R2799" s="15"/>
    </row>
    <row r="2800" spans="1:18" x14ac:dyDescent="0.25">
      <c r="A2800" s="15"/>
      <c r="R2800" s="15"/>
    </row>
    <row r="2801" spans="1:18" x14ac:dyDescent="0.25">
      <c r="A2801" s="15"/>
      <c r="R2801" s="15"/>
    </row>
    <row r="2802" spans="1:18" x14ac:dyDescent="0.25">
      <c r="A2802" s="15"/>
      <c r="R2802" s="15"/>
    </row>
    <row r="2803" spans="1:18" x14ac:dyDescent="0.25">
      <c r="A2803" s="15"/>
      <c r="R2803" s="15"/>
    </row>
    <row r="2804" spans="1:18" x14ac:dyDescent="0.25">
      <c r="A2804" s="15"/>
      <c r="R2804" s="15"/>
    </row>
    <row r="2805" spans="1:18" x14ac:dyDescent="0.25">
      <c r="A2805" s="15"/>
      <c r="R2805" s="15"/>
    </row>
    <row r="2806" spans="1:18" x14ac:dyDescent="0.25">
      <c r="A2806" s="15"/>
      <c r="R2806" s="15"/>
    </row>
    <row r="2807" spans="1:18" x14ac:dyDescent="0.25">
      <c r="A2807" s="15"/>
      <c r="R2807" s="15"/>
    </row>
    <row r="2808" spans="1:18" x14ac:dyDescent="0.25">
      <c r="A2808" s="15"/>
      <c r="R2808" s="15"/>
    </row>
    <row r="2809" spans="1:18" x14ac:dyDescent="0.25">
      <c r="A2809" s="15"/>
      <c r="R2809" s="15"/>
    </row>
    <row r="2810" spans="1:18" x14ac:dyDescent="0.25">
      <c r="A2810" s="15"/>
      <c r="R2810" s="15"/>
    </row>
    <row r="2811" spans="1:18" x14ac:dyDescent="0.25">
      <c r="A2811" s="15"/>
      <c r="R2811" s="15"/>
    </row>
    <row r="2812" spans="1:18" x14ac:dyDescent="0.25">
      <c r="A2812" s="15"/>
      <c r="R2812" s="15"/>
    </row>
    <row r="2813" spans="1:18" x14ac:dyDescent="0.25">
      <c r="A2813" s="15"/>
      <c r="R2813" s="15"/>
    </row>
    <row r="2814" spans="1:18" x14ac:dyDescent="0.25">
      <c r="A2814" s="15"/>
      <c r="R2814" s="15"/>
    </row>
    <row r="2815" spans="1:18" x14ac:dyDescent="0.25">
      <c r="A2815" s="15"/>
      <c r="R2815" s="15"/>
    </row>
    <row r="2816" spans="1:18" x14ac:dyDescent="0.25">
      <c r="A2816" s="15"/>
      <c r="R2816" s="15"/>
    </row>
    <row r="2817" spans="1:18" x14ac:dyDescent="0.25">
      <c r="A2817" s="15"/>
      <c r="R2817" s="15"/>
    </row>
    <row r="2818" spans="1:18" x14ac:dyDescent="0.25">
      <c r="A2818" s="15"/>
      <c r="R2818" s="15"/>
    </row>
    <row r="2819" spans="1:18" x14ac:dyDescent="0.25">
      <c r="A2819" s="15"/>
      <c r="R2819" s="15"/>
    </row>
    <row r="2820" spans="1:18" x14ac:dyDescent="0.25">
      <c r="A2820" s="15"/>
      <c r="R2820" s="15"/>
    </row>
    <row r="2821" spans="1:18" x14ac:dyDescent="0.25">
      <c r="A2821" s="15"/>
      <c r="R2821" s="15"/>
    </row>
    <row r="2822" spans="1:18" x14ac:dyDescent="0.25">
      <c r="A2822" s="15"/>
      <c r="R2822" s="15"/>
    </row>
    <row r="2823" spans="1:18" x14ac:dyDescent="0.25">
      <c r="A2823" s="15"/>
      <c r="R2823" s="15"/>
    </row>
    <row r="2824" spans="1:18" x14ac:dyDescent="0.25">
      <c r="A2824" s="15"/>
      <c r="R2824" s="15"/>
    </row>
    <row r="2825" spans="1:18" x14ac:dyDescent="0.25">
      <c r="A2825" s="15"/>
      <c r="R2825" s="15"/>
    </row>
    <row r="2826" spans="1:18" x14ac:dyDescent="0.25">
      <c r="A2826" s="15"/>
      <c r="R2826" s="15"/>
    </row>
    <row r="2827" spans="1:18" x14ac:dyDescent="0.25">
      <c r="A2827" s="15"/>
      <c r="R2827" s="15"/>
    </row>
    <row r="2828" spans="1:18" x14ac:dyDescent="0.25">
      <c r="A2828" s="15"/>
      <c r="R2828" s="15"/>
    </row>
    <row r="2829" spans="1:18" x14ac:dyDescent="0.25">
      <c r="A2829" s="15"/>
      <c r="R2829" s="15"/>
    </row>
    <row r="2830" spans="1:18" x14ac:dyDescent="0.25">
      <c r="A2830" s="15"/>
      <c r="R2830" s="15"/>
    </row>
    <row r="2831" spans="1:18" x14ac:dyDescent="0.25">
      <c r="A2831" s="15"/>
      <c r="R2831" s="15"/>
    </row>
    <row r="2832" spans="1:18" x14ac:dyDescent="0.25">
      <c r="A2832" s="15"/>
      <c r="R2832" s="15"/>
    </row>
    <row r="2833" spans="1:18" x14ac:dyDescent="0.25">
      <c r="A2833" s="15"/>
      <c r="R2833" s="15"/>
    </row>
    <row r="2834" spans="1:18" x14ac:dyDescent="0.25">
      <c r="A2834" s="15"/>
      <c r="R2834" s="15"/>
    </row>
    <row r="2835" spans="1:18" x14ac:dyDescent="0.25">
      <c r="A2835" s="15"/>
      <c r="R2835" s="15"/>
    </row>
    <row r="2836" spans="1:18" x14ac:dyDescent="0.25">
      <c r="A2836" s="15"/>
      <c r="R2836" s="15"/>
    </row>
    <row r="2837" spans="1:18" x14ac:dyDescent="0.25">
      <c r="A2837" s="15"/>
      <c r="R2837" s="15"/>
    </row>
    <row r="2838" spans="1:18" x14ac:dyDescent="0.25">
      <c r="A2838" s="15"/>
      <c r="R2838" s="15"/>
    </row>
    <row r="2839" spans="1:18" x14ac:dyDescent="0.25">
      <c r="A2839" s="15"/>
      <c r="R2839" s="15"/>
    </row>
    <row r="2840" spans="1:18" x14ac:dyDescent="0.25">
      <c r="A2840" s="15"/>
      <c r="R2840" s="15"/>
    </row>
    <row r="2841" spans="1:18" x14ac:dyDescent="0.25">
      <c r="A2841" s="15"/>
      <c r="R2841" s="15"/>
    </row>
    <row r="2842" spans="1:18" x14ac:dyDescent="0.25">
      <c r="A2842" s="15"/>
      <c r="R2842" s="15"/>
    </row>
    <row r="2843" spans="1:18" x14ac:dyDescent="0.25">
      <c r="A2843" s="15"/>
      <c r="R2843" s="15"/>
    </row>
    <row r="2844" spans="1:18" x14ac:dyDescent="0.25">
      <c r="A2844" s="15"/>
      <c r="R2844" s="15"/>
    </row>
    <row r="2845" spans="1:18" x14ac:dyDescent="0.25">
      <c r="A2845" s="15"/>
      <c r="R2845" s="15"/>
    </row>
    <row r="2846" spans="1:18" x14ac:dyDescent="0.25">
      <c r="A2846" s="15"/>
      <c r="R2846" s="15"/>
    </row>
    <row r="2847" spans="1:18" x14ac:dyDescent="0.25">
      <c r="A2847" s="15"/>
      <c r="R2847" s="15"/>
    </row>
    <row r="2848" spans="1:18" x14ac:dyDescent="0.25">
      <c r="A2848" s="15"/>
      <c r="R2848" s="15"/>
    </row>
    <row r="2849" spans="1:18" x14ac:dyDescent="0.25">
      <c r="A2849" s="15"/>
      <c r="R2849" s="15"/>
    </row>
    <row r="2850" spans="1:18" x14ac:dyDescent="0.25">
      <c r="A2850" s="15"/>
      <c r="R2850" s="15"/>
    </row>
    <row r="2851" spans="1:18" x14ac:dyDescent="0.25">
      <c r="A2851" s="15"/>
      <c r="R2851" s="15"/>
    </row>
    <row r="2852" spans="1:18" x14ac:dyDescent="0.25">
      <c r="A2852" s="15"/>
      <c r="R2852" s="15"/>
    </row>
    <row r="2853" spans="1:18" x14ac:dyDescent="0.25">
      <c r="A2853" s="15"/>
      <c r="R2853" s="15"/>
    </row>
    <row r="2854" spans="1:18" x14ac:dyDescent="0.25">
      <c r="A2854" s="15"/>
      <c r="R2854" s="15"/>
    </row>
    <row r="2855" spans="1:18" x14ac:dyDescent="0.25">
      <c r="A2855" s="15"/>
      <c r="R2855" s="15"/>
    </row>
    <row r="2856" spans="1:18" x14ac:dyDescent="0.25">
      <c r="A2856" s="15"/>
      <c r="R2856" s="15"/>
    </row>
    <row r="2857" spans="1:18" x14ac:dyDescent="0.25">
      <c r="A2857" s="15"/>
      <c r="R2857" s="15"/>
    </row>
    <row r="2858" spans="1:18" x14ac:dyDescent="0.25">
      <c r="A2858" s="15"/>
      <c r="R2858" s="15"/>
    </row>
    <row r="2859" spans="1:18" x14ac:dyDescent="0.25">
      <c r="A2859" s="15"/>
      <c r="R2859" s="15"/>
    </row>
    <row r="2860" spans="1:18" x14ac:dyDescent="0.25">
      <c r="A2860" s="15"/>
      <c r="R2860" s="15"/>
    </row>
    <row r="2861" spans="1:18" x14ac:dyDescent="0.25">
      <c r="A2861" s="15"/>
      <c r="R2861" s="15"/>
    </row>
    <row r="2862" spans="1:18" x14ac:dyDescent="0.25">
      <c r="A2862" s="15"/>
      <c r="R2862" s="15"/>
    </row>
    <row r="2863" spans="1:18" x14ac:dyDescent="0.25">
      <c r="A2863" s="15"/>
      <c r="R2863" s="15"/>
    </row>
    <row r="2864" spans="1:18" x14ac:dyDescent="0.25">
      <c r="A2864" s="15"/>
      <c r="R2864" s="15"/>
    </row>
    <row r="2865" spans="1:18" x14ac:dyDescent="0.25">
      <c r="A2865" s="15"/>
      <c r="R2865" s="15"/>
    </row>
    <row r="2866" spans="1:18" x14ac:dyDescent="0.25">
      <c r="A2866" s="15"/>
      <c r="R2866" s="15"/>
    </row>
    <row r="2867" spans="1:18" x14ac:dyDescent="0.25">
      <c r="A2867" s="15"/>
      <c r="R2867" s="15"/>
    </row>
    <row r="2868" spans="1:18" x14ac:dyDescent="0.25">
      <c r="A2868" s="15"/>
      <c r="R2868" s="15"/>
    </row>
    <row r="2869" spans="1:18" x14ac:dyDescent="0.25">
      <c r="A2869" s="15"/>
      <c r="R2869" s="15"/>
    </row>
    <row r="2870" spans="1:18" x14ac:dyDescent="0.25">
      <c r="A2870" s="15"/>
      <c r="R2870" s="15"/>
    </row>
    <row r="2871" spans="1:18" x14ac:dyDescent="0.25">
      <c r="A2871" s="15"/>
      <c r="R2871" s="15"/>
    </row>
    <row r="2872" spans="1:18" x14ac:dyDescent="0.25">
      <c r="A2872" s="15"/>
      <c r="R2872" s="15"/>
    </row>
    <row r="2873" spans="1:18" x14ac:dyDescent="0.25">
      <c r="A2873" s="15"/>
      <c r="R2873" s="15"/>
    </row>
    <row r="2874" spans="1:18" x14ac:dyDescent="0.25">
      <c r="A2874" s="15"/>
      <c r="R2874" s="15"/>
    </row>
    <row r="2875" spans="1:18" x14ac:dyDescent="0.25">
      <c r="A2875" s="15"/>
      <c r="R2875" s="15"/>
    </row>
    <row r="2876" spans="1:18" x14ac:dyDescent="0.25">
      <c r="A2876" s="15"/>
      <c r="R2876" s="15"/>
    </row>
    <row r="2877" spans="1:18" x14ac:dyDescent="0.25">
      <c r="A2877" s="15"/>
      <c r="R2877" s="15"/>
    </row>
    <row r="2878" spans="1:18" x14ac:dyDescent="0.25">
      <c r="A2878" s="15"/>
      <c r="R2878" s="15"/>
    </row>
    <row r="2879" spans="1:18" x14ac:dyDescent="0.25">
      <c r="A2879" s="15"/>
      <c r="R2879" s="15"/>
    </row>
    <row r="2880" spans="1:18" x14ac:dyDescent="0.25">
      <c r="A2880" s="15"/>
      <c r="R2880" s="15"/>
    </row>
    <row r="2881" spans="1:18" x14ac:dyDescent="0.25">
      <c r="A2881" s="15"/>
      <c r="R2881" s="15"/>
    </row>
    <row r="2882" spans="1:18" x14ac:dyDescent="0.25">
      <c r="A2882" s="15"/>
      <c r="R2882" s="15"/>
    </row>
    <row r="2883" spans="1:18" x14ac:dyDescent="0.25">
      <c r="A2883" s="15"/>
      <c r="R2883" s="15"/>
    </row>
    <row r="2884" spans="1:18" x14ac:dyDescent="0.25">
      <c r="A2884" s="15"/>
      <c r="R2884" s="15"/>
    </row>
    <row r="2885" spans="1:18" x14ac:dyDescent="0.25">
      <c r="A2885" s="15"/>
      <c r="R2885" s="15"/>
    </row>
    <row r="2886" spans="1:18" x14ac:dyDescent="0.25">
      <c r="A2886" s="15"/>
      <c r="R2886" s="15"/>
    </row>
    <row r="2887" spans="1:18" x14ac:dyDescent="0.25">
      <c r="A2887" s="15"/>
      <c r="R2887" s="15"/>
    </row>
    <row r="2888" spans="1:18" x14ac:dyDescent="0.25">
      <c r="A2888" s="15"/>
      <c r="R2888" s="15"/>
    </row>
    <row r="2889" spans="1:18" x14ac:dyDescent="0.25">
      <c r="A2889" s="15"/>
      <c r="R2889" s="15"/>
    </row>
    <row r="2890" spans="1:18" x14ac:dyDescent="0.25">
      <c r="A2890" s="15"/>
      <c r="R2890" s="15"/>
    </row>
    <row r="2891" spans="1:18" x14ac:dyDescent="0.25">
      <c r="A2891" s="15"/>
      <c r="R2891" s="15"/>
    </row>
    <row r="2892" spans="1:18" x14ac:dyDescent="0.25">
      <c r="A2892" s="15"/>
      <c r="R2892" s="15"/>
    </row>
    <row r="2893" spans="1:18" x14ac:dyDescent="0.25">
      <c r="A2893" s="15"/>
      <c r="R2893" s="15"/>
    </row>
    <row r="2894" spans="1:18" x14ac:dyDescent="0.25">
      <c r="A2894" s="15"/>
      <c r="R2894" s="15"/>
    </row>
    <row r="2895" spans="1:18" x14ac:dyDescent="0.25">
      <c r="A2895" s="15"/>
      <c r="R2895" s="15"/>
    </row>
    <row r="2896" spans="1:18" x14ac:dyDescent="0.25">
      <c r="A2896" s="15"/>
      <c r="R2896" s="15"/>
    </row>
    <row r="2897" spans="1:18" x14ac:dyDescent="0.25">
      <c r="A2897" s="15"/>
      <c r="R2897" s="15"/>
    </row>
    <row r="2898" spans="1:18" x14ac:dyDescent="0.25">
      <c r="A2898" s="15"/>
      <c r="R2898" s="15"/>
    </row>
    <row r="2899" spans="1:18" x14ac:dyDescent="0.25">
      <c r="A2899" s="15"/>
      <c r="R2899" s="15"/>
    </row>
    <row r="2900" spans="1:18" x14ac:dyDescent="0.25">
      <c r="A2900" s="15"/>
      <c r="R2900" s="15"/>
    </row>
    <row r="2901" spans="1:18" x14ac:dyDescent="0.25">
      <c r="A2901" s="15"/>
      <c r="R2901" s="15"/>
    </row>
    <row r="2902" spans="1:18" x14ac:dyDescent="0.25">
      <c r="A2902" s="15"/>
      <c r="R2902" s="15"/>
    </row>
    <row r="2903" spans="1:18" x14ac:dyDescent="0.25">
      <c r="A2903" s="15"/>
      <c r="R2903" s="15"/>
    </row>
    <row r="2904" spans="1:18" x14ac:dyDescent="0.25">
      <c r="A2904" s="15"/>
      <c r="R2904" s="15"/>
    </row>
    <row r="2905" spans="1:18" x14ac:dyDescent="0.25">
      <c r="A2905" s="15"/>
      <c r="R2905" s="15"/>
    </row>
    <row r="2906" spans="1:18" x14ac:dyDescent="0.25">
      <c r="A2906" s="15"/>
      <c r="R2906" s="15"/>
    </row>
    <row r="2907" spans="1:18" x14ac:dyDescent="0.25">
      <c r="A2907" s="15"/>
      <c r="R2907" s="15"/>
    </row>
    <row r="2908" spans="1:18" x14ac:dyDescent="0.25">
      <c r="A2908" s="15"/>
      <c r="R2908" s="15"/>
    </row>
    <row r="2909" spans="1:18" x14ac:dyDescent="0.25">
      <c r="A2909" s="15"/>
      <c r="R2909" s="15"/>
    </row>
    <row r="2910" spans="1:18" x14ac:dyDescent="0.25">
      <c r="A2910" s="15"/>
      <c r="R2910" s="15"/>
    </row>
    <row r="2911" spans="1:18" x14ac:dyDescent="0.25">
      <c r="A2911" s="15"/>
      <c r="R2911" s="15"/>
    </row>
    <row r="2912" spans="1:18" x14ac:dyDescent="0.25">
      <c r="A2912" s="15"/>
      <c r="R2912" s="15"/>
    </row>
    <row r="2913" spans="1:18" x14ac:dyDescent="0.25">
      <c r="A2913" s="15"/>
      <c r="R2913" s="15"/>
    </row>
    <row r="2914" spans="1:18" x14ac:dyDescent="0.25">
      <c r="A2914" s="15"/>
      <c r="R2914" s="15"/>
    </row>
    <row r="2915" spans="1:18" x14ac:dyDescent="0.25">
      <c r="A2915" s="15"/>
      <c r="R2915" s="15"/>
    </row>
    <row r="2916" spans="1:18" x14ac:dyDescent="0.25">
      <c r="A2916" s="15"/>
      <c r="R2916" s="15"/>
    </row>
    <row r="2917" spans="1:18" x14ac:dyDescent="0.25">
      <c r="A2917" s="15"/>
      <c r="R2917" s="15"/>
    </row>
    <row r="2918" spans="1:18" x14ac:dyDescent="0.25">
      <c r="A2918" s="15"/>
      <c r="R2918" s="15"/>
    </row>
    <row r="2919" spans="1:18" x14ac:dyDescent="0.25">
      <c r="A2919" s="15"/>
      <c r="R2919" s="15"/>
    </row>
    <row r="2920" spans="1:18" x14ac:dyDescent="0.25">
      <c r="A2920" s="15"/>
      <c r="R2920" s="15"/>
    </row>
    <row r="2921" spans="1:18" x14ac:dyDescent="0.25">
      <c r="A2921" s="15"/>
      <c r="R2921" s="15"/>
    </row>
    <row r="2922" spans="1:18" x14ac:dyDescent="0.25">
      <c r="A2922" s="15"/>
      <c r="R2922" s="15"/>
    </row>
    <row r="2923" spans="1:18" x14ac:dyDescent="0.25">
      <c r="A2923" s="15"/>
      <c r="R2923" s="15"/>
    </row>
    <row r="2924" spans="1:18" x14ac:dyDescent="0.25">
      <c r="A2924" s="15"/>
      <c r="R2924" s="15"/>
    </row>
    <row r="2925" spans="1:18" x14ac:dyDescent="0.25">
      <c r="A2925" s="15"/>
      <c r="R2925" s="15"/>
    </row>
    <row r="2926" spans="1:18" x14ac:dyDescent="0.25">
      <c r="A2926" s="15"/>
      <c r="R2926" s="15"/>
    </row>
    <row r="2927" spans="1:18" x14ac:dyDescent="0.25">
      <c r="A2927" s="15"/>
      <c r="R2927" s="15"/>
    </row>
    <row r="2928" spans="1:18" x14ac:dyDescent="0.25">
      <c r="A2928" s="15"/>
      <c r="R2928" s="15"/>
    </row>
    <row r="2929" spans="1:18" x14ac:dyDescent="0.25">
      <c r="A2929" s="15"/>
      <c r="R2929" s="15"/>
    </row>
    <row r="2930" spans="1:18" x14ac:dyDescent="0.25">
      <c r="A2930" s="15"/>
      <c r="R2930" s="15"/>
    </row>
    <row r="2931" spans="1:18" x14ac:dyDescent="0.25">
      <c r="A2931" s="15"/>
      <c r="R2931" s="15"/>
    </row>
    <row r="2932" spans="1:18" x14ac:dyDescent="0.25">
      <c r="A2932" s="15"/>
      <c r="R2932" s="15"/>
    </row>
    <row r="2933" spans="1:18" x14ac:dyDescent="0.25">
      <c r="A2933" s="15"/>
      <c r="R2933" s="15"/>
    </row>
    <row r="2934" spans="1:18" x14ac:dyDescent="0.25">
      <c r="A2934" s="15"/>
      <c r="R2934" s="15"/>
    </row>
    <row r="2935" spans="1:18" x14ac:dyDescent="0.25">
      <c r="A2935" s="15"/>
      <c r="R2935" s="15"/>
    </row>
    <row r="2936" spans="1:18" x14ac:dyDescent="0.25">
      <c r="A2936" s="15"/>
      <c r="R2936" s="15"/>
    </row>
    <row r="2937" spans="1:18" x14ac:dyDescent="0.25">
      <c r="A2937" s="15"/>
      <c r="R2937" s="15"/>
    </row>
    <row r="2938" spans="1:18" x14ac:dyDescent="0.25">
      <c r="A2938" s="15"/>
      <c r="R2938" s="15"/>
    </row>
    <row r="2939" spans="1:18" x14ac:dyDescent="0.25">
      <c r="A2939" s="15"/>
      <c r="R2939" s="15"/>
    </row>
    <row r="2940" spans="1:18" x14ac:dyDescent="0.25">
      <c r="A2940" s="15"/>
      <c r="R2940" s="15"/>
    </row>
    <row r="2941" spans="1:18" x14ac:dyDescent="0.25">
      <c r="A2941" s="15"/>
      <c r="R2941" s="15"/>
    </row>
    <row r="2942" spans="1:18" x14ac:dyDescent="0.25">
      <c r="A2942" s="15"/>
      <c r="R2942" s="15"/>
    </row>
    <row r="2943" spans="1:18" x14ac:dyDescent="0.25">
      <c r="A2943" s="15"/>
      <c r="R2943" s="15"/>
    </row>
    <row r="2944" spans="1:18" x14ac:dyDescent="0.25">
      <c r="A2944" s="15"/>
      <c r="R2944" s="15"/>
    </row>
    <row r="2945" spans="1:18" x14ac:dyDescent="0.25">
      <c r="A2945" s="15"/>
      <c r="R2945" s="15"/>
    </row>
    <row r="2946" spans="1:18" x14ac:dyDescent="0.25">
      <c r="A2946" s="15"/>
      <c r="R2946" s="15"/>
    </row>
    <row r="2947" spans="1:18" x14ac:dyDescent="0.25">
      <c r="A2947" s="15"/>
      <c r="R2947" s="15"/>
    </row>
    <row r="2948" spans="1:18" x14ac:dyDescent="0.25">
      <c r="A2948" s="15"/>
      <c r="R2948" s="15"/>
    </row>
    <row r="2949" spans="1:18" x14ac:dyDescent="0.25">
      <c r="A2949" s="15"/>
      <c r="R2949" s="15"/>
    </row>
    <row r="2950" spans="1:18" x14ac:dyDescent="0.25">
      <c r="A2950" s="15"/>
      <c r="R2950" s="15"/>
    </row>
    <row r="2951" spans="1:18" x14ac:dyDescent="0.25">
      <c r="A2951" s="15"/>
      <c r="R2951" s="15"/>
    </row>
    <row r="2952" spans="1:18" x14ac:dyDescent="0.25">
      <c r="A2952" s="15"/>
      <c r="R2952" s="15"/>
    </row>
    <row r="2953" spans="1:18" x14ac:dyDescent="0.25">
      <c r="A2953" s="15"/>
      <c r="R2953" s="15"/>
    </row>
    <row r="2954" spans="1:18" x14ac:dyDescent="0.25">
      <c r="A2954" s="15"/>
      <c r="R2954" s="15"/>
    </row>
    <row r="2955" spans="1:18" x14ac:dyDescent="0.25">
      <c r="A2955" s="15"/>
      <c r="R2955" s="15"/>
    </row>
    <row r="2956" spans="1:18" x14ac:dyDescent="0.25">
      <c r="A2956" s="15"/>
      <c r="R2956" s="15"/>
    </row>
    <row r="2957" spans="1:18" x14ac:dyDescent="0.25">
      <c r="A2957" s="15"/>
      <c r="R2957" s="15"/>
    </row>
    <row r="2958" spans="1:18" x14ac:dyDescent="0.25">
      <c r="A2958" s="15"/>
      <c r="R2958" s="15"/>
    </row>
    <row r="2959" spans="1:18" x14ac:dyDescent="0.25">
      <c r="A2959" s="15"/>
      <c r="R2959" s="15"/>
    </row>
    <row r="2960" spans="1:18" x14ac:dyDescent="0.25">
      <c r="A2960" s="15"/>
      <c r="R2960" s="15"/>
    </row>
    <row r="2961" spans="1:18" x14ac:dyDescent="0.25">
      <c r="A2961" s="15"/>
      <c r="R2961" s="15"/>
    </row>
    <row r="2962" spans="1:18" x14ac:dyDescent="0.25">
      <c r="A2962" s="15"/>
      <c r="R2962" s="15"/>
    </row>
    <row r="2963" spans="1:18" x14ac:dyDescent="0.25">
      <c r="A2963" s="15"/>
      <c r="R2963" s="15"/>
    </row>
    <row r="2964" spans="1:18" x14ac:dyDescent="0.25">
      <c r="A2964" s="15"/>
      <c r="R2964" s="15"/>
    </row>
    <row r="2965" spans="1:18" x14ac:dyDescent="0.25">
      <c r="A2965" s="15"/>
      <c r="R2965" s="15"/>
    </row>
    <row r="2966" spans="1:18" x14ac:dyDescent="0.25">
      <c r="A2966" s="15"/>
      <c r="R2966" s="15"/>
    </row>
    <row r="2967" spans="1:18" x14ac:dyDescent="0.25">
      <c r="A2967" s="15"/>
      <c r="R2967" s="15"/>
    </row>
    <row r="2968" spans="1:18" x14ac:dyDescent="0.25">
      <c r="A2968" s="15"/>
      <c r="R2968" s="15"/>
    </row>
    <row r="2969" spans="1:18" x14ac:dyDescent="0.25">
      <c r="A2969" s="15"/>
      <c r="R2969" s="15"/>
    </row>
    <row r="2970" spans="1:18" x14ac:dyDescent="0.25">
      <c r="A2970" s="15"/>
      <c r="R2970" s="15"/>
    </row>
    <row r="2971" spans="1:18" x14ac:dyDescent="0.25">
      <c r="A2971" s="15"/>
      <c r="R2971" s="15"/>
    </row>
    <row r="2972" spans="1:18" x14ac:dyDescent="0.25">
      <c r="A2972" s="15"/>
      <c r="R2972" s="15"/>
    </row>
    <row r="2973" spans="1:18" x14ac:dyDescent="0.25">
      <c r="A2973" s="15"/>
      <c r="R2973" s="15"/>
    </row>
    <row r="2974" spans="1:18" x14ac:dyDescent="0.25">
      <c r="A2974" s="15"/>
      <c r="R2974" s="15"/>
    </row>
    <row r="2975" spans="1:18" x14ac:dyDescent="0.25">
      <c r="A2975" s="15"/>
      <c r="R2975" s="15"/>
    </row>
    <row r="2976" spans="1:18" x14ac:dyDescent="0.25">
      <c r="A2976" s="15"/>
      <c r="R2976" s="15"/>
    </row>
    <row r="2977" spans="1:18" x14ac:dyDescent="0.25">
      <c r="A2977" s="15"/>
      <c r="R2977" s="15"/>
    </row>
    <row r="2978" spans="1:18" x14ac:dyDescent="0.25">
      <c r="A2978" s="15"/>
      <c r="R2978" s="15"/>
    </row>
    <row r="2979" spans="1:18" x14ac:dyDescent="0.25">
      <c r="A2979" s="15"/>
      <c r="R2979" s="15"/>
    </row>
    <row r="2980" spans="1:18" x14ac:dyDescent="0.25">
      <c r="A2980" s="15"/>
      <c r="R2980" s="15"/>
    </row>
    <row r="2981" spans="1:18" x14ac:dyDescent="0.25">
      <c r="A2981" s="15"/>
      <c r="R2981" s="15"/>
    </row>
    <row r="2982" spans="1:18" x14ac:dyDescent="0.25">
      <c r="A2982" s="15"/>
      <c r="R2982" s="15"/>
    </row>
    <row r="2983" spans="1:18" x14ac:dyDescent="0.25">
      <c r="A2983" s="15"/>
      <c r="R2983" s="15"/>
    </row>
    <row r="2984" spans="1:18" x14ac:dyDescent="0.25">
      <c r="A2984" s="15"/>
      <c r="R2984" s="15"/>
    </row>
    <row r="2985" spans="1:18" x14ac:dyDescent="0.25">
      <c r="A2985" s="15"/>
      <c r="R2985" s="15"/>
    </row>
    <row r="2986" spans="1:18" x14ac:dyDescent="0.25">
      <c r="A2986" s="15"/>
      <c r="R2986" s="15"/>
    </row>
    <row r="2987" spans="1:18" x14ac:dyDescent="0.25">
      <c r="A2987" s="15"/>
      <c r="R2987" s="15"/>
    </row>
    <row r="2988" spans="1:18" x14ac:dyDescent="0.25">
      <c r="A2988" s="15"/>
      <c r="R2988" s="15"/>
    </row>
    <row r="2989" spans="1:18" x14ac:dyDescent="0.25">
      <c r="A2989" s="15"/>
      <c r="R2989" s="15"/>
    </row>
    <row r="2990" spans="1:18" x14ac:dyDescent="0.25">
      <c r="A2990" s="15"/>
      <c r="R2990" s="15"/>
    </row>
    <row r="2991" spans="1:18" x14ac:dyDescent="0.25">
      <c r="A2991" s="15"/>
      <c r="R2991" s="15"/>
    </row>
    <row r="2992" spans="1:18" x14ac:dyDescent="0.25">
      <c r="A2992" s="15"/>
      <c r="R2992" s="15"/>
    </row>
    <row r="2993" spans="1:18" x14ac:dyDescent="0.25">
      <c r="A2993" s="15"/>
      <c r="R2993" s="15"/>
    </row>
    <row r="2994" spans="1:18" x14ac:dyDescent="0.25">
      <c r="A2994" s="15"/>
      <c r="R2994" s="15"/>
    </row>
    <row r="2995" spans="1:18" x14ac:dyDescent="0.25">
      <c r="A2995" s="15"/>
      <c r="R2995" s="15"/>
    </row>
    <row r="2996" spans="1:18" x14ac:dyDescent="0.25">
      <c r="A2996" s="15"/>
      <c r="R2996" s="15"/>
    </row>
    <row r="2997" spans="1:18" x14ac:dyDescent="0.25">
      <c r="A2997" s="15"/>
      <c r="R2997" s="15"/>
    </row>
    <row r="2998" spans="1:18" x14ac:dyDescent="0.25">
      <c r="A2998" s="15"/>
      <c r="R2998" s="15"/>
    </row>
    <row r="2999" spans="1:18" x14ac:dyDescent="0.25">
      <c r="A2999" s="15"/>
      <c r="R2999" s="15"/>
    </row>
    <row r="3000" spans="1:18" x14ac:dyDescent="0.25">
      <c r="A3000" s="15"/>
      <c r="R3000" s="15"/>
    </row>
    <row r="3001" spans="1:18" x14ac:dyDescent="0.25">
      <c r="A3001" s="15"/>
      <c r="R3001" s="15"/>
    </row>
    <row r="3002" spans="1:18" x14ac:dyDescent="0.25">
      <c r="A3002" s="15"/>
      <c r="R3002" s="15"/>
    </row>
    <row r="3003" spans="1:18" x14ac:dyDescent="0.25">
      <c r="A3003" s="15"/>
      <c r="R3003" s="15"/>
    </row>
    <row r="3004" spans="1:18" x14ac:dyDescent="0.25">
      <c r="A3004" s="15"/>
      <c r="R3004" s="15"/>
    </row>
    <row r="3005" spans="1:18" x14ac:dyDescent="0.25">
      <c r="A3005" s="15"/>
      <c r="R3005" s="15"/>
    </row>
    <row r="3006" spans="1:18" x14ac:dyDescent="0.25">
      <c r="A3006" s="15"/>
      <c r="R3006" s="15"/>
    </row>
    <row r="3007" spans="1:18" x14ac:dyDescent="0.25">
      <c r="A3007" s="15"/>
      <c r="R3007" s="15"/>
    </row>
    <row r="3008" spans="1:18" x14ac:dyDescent="0.25">
      <c r="A3008" s="15"/>
      <c r="R3008" s="15"/>
    </row>
    <row r="3009" spans="1:18" x14ac:dyDescent="0.25">
      <c r="A3009" s="15"/>
      <c r="R3009" s="15"/>
    </row>
    <row r="3010" spans="1:18" x14ac:dyDescent="0.25">
      <c r="A3010" s="15"/>
      <c r="R3010" s="15"/>
    </row>
    <row r="3011" spans="1:18" x14ac:dyDescent="0.25">
      <c r="A3011" s="15"/>
      <c r="R3011" s="15"/>
    </row>
    <row r="3012" spans="1:18" x14ac:dyDescent="0.25">
      <c r="A3012" s="15"/>
      <c r="R3012" s="15"/>
    </row>
    <row r="3013" spans="1:18" x14ac:dyDescent="0.25">
      <c r="A3013" s="15"/>
      <c r="R3013" s="15"/>
    </row>
    <row r="3014" spans="1:18" x14ac:dyDescent="0.25">
      <c r="A3014" s="15"/>
      <c r="R3014" s="15"/>
    </row>
    <row r="3015" spans="1:18" x14ac:dyDescent="0.25">
      <c r="A3015" s="15"/>
      <c r="R3015" s="15"/>
    </row>
    <row r="3016" spans="1:18" x14ac:dyDescent="0.25">
      <c r="A3016" s="15"/>
      <c r="R3016" s="15"/>
    </row>
    <row r="3017" spans="1:18" x14ac:dyDescent="0.25">
      <c r="A3017" s="15"/>
      <c r="R3017" s="15"/>
    </row>
    <row r="3018" spans="1:18" x14ac:dyDescent="0.25">
      <c r="A3018" s="15"/>
      <c r="R3018" s="15"/>
    </row>
    <row r="3019" spans="1:18" x14ac:dyDescent="0.25">
      <c r="A3019" s="15"/>
      <c r="R3019" s="15"/>
    </row>
    <row r="3020" spans="1:18" x14ac:dyDescent="0.25">
      <c r="A3020" s="15"/>
      <c r="R3020" s="15"/>
    </row>
    <row r="3021" spans="1:18" x14ac:dyDescent="0.25">
      <c r="A3021" s="15"/>
      <c r="R3021" s="15"/>
    </row>
    <row r="3022" spans="1:18" x14ac:dyDescent="0.25">
      <c r="A3022" s="15"/>
      <c r="R3022" s="15"/>
    </row>
    <row r="3023" spans="1:18" x14ac:dyDescent="0.25">
      <c r="A3023" s="15"/>
      <c r="R3023" s="15"/>
    </row>
    <row r="3024" spans="1:18" x14ac:dyDescent="0.25">
      <c r="A3024" s="15"/>
      <c r="R3024" s="15"/>
    </row>
    <row r="3025" spans="1:18" x14ac:dyDescent="0.25">
      <c r="A3025" s="15"/>
      <c r="R3025" s="15"/>
    </row>
    <row r="3026" spans="1:18" x14ac:dyDescent="0.25">
      <c r="A3026" s="15"/>
      <c r="R3026" s="15"/>
    </row>
    <row r="3027" spans="1:18" x14ac:dyDescent="0.25">
      <c r="A3027" s="15"/>
      <c r="R3027" s="15"/>
    </row>
    <row r="3028" spans="1:18" x14ac:dyDescent="0.25">
      <c r="A3028" s="15"/>
      <c r="R3028" s="15"/>
    </row>
    <row r="3029" spans="1:18" x14ac:dyDescent="0.25">
      <c r="A3029" s="15"/>
      <c r="R3029" s="15"/>
    </row>
    <row r="3030" spans="1:18" x14ac:dyDescent="0.25">
      <c r="A3030" s="15"/>
      <c r="R3030" s="15"/>
    </row>
    <row r="3031" spans="1:18" x14ac:dyDescent="0.25">
      <c r="A3031" s="15"/>
      <c r="R3031" s="15"/>
    </row>
    <row r="3032" spans="1:18" x14ac:dyDescent="0.25">
      <c r="A3032" s="15"/>
      <c r="R3032" s="15"/>
    </row>
    <row r="3033" spans="1:18" x14ac:dyDescent="0.25">
      <c r="A3033" s="15"/>
      <c r="R3033" s="15"/>
    </row>
    <row r="3034" spans="1:18" x14ac:dyDescent="0.25">
      <c r="A3034" s="15"/>
      <c r="R3034" s="15"/>
    </row>
    <row r="3035" spans="1:18" x14ac:dyDescent="0.25">
      <c r="A3035" s="15"/>
      <c r="R3035" s="15"/>
    </row>
    <row r="3036" spans="1:18" x14ac:dyDescent="0.25">
      <c r="A3036" s="15"/>
      <c r="R3036" s="15"/>
    </row>
    <row r="3037" spans="1:18" x14ac:dyDescent="0.25">
      <c r="A3037" s="15"/>
      <c r="R3037" s="15"/>
    </row>
    <row r="3038" spans="1:18" x14ac:dyDescent="0.25">
      <c r="A3038" s="15"/>
      <c r="R3038" s="15"/>
    </row>
    <row r="3039" spans="1:18" x14ac:dyDescent="0.25">
      <c r="A3039" s="15"/>
      <c r="R3039" s="15"/>
    </row>
    <row r="3040" spans="1:18" x14ac:dyDescent="0.25">
      <c r="A3040" s="15"/>
      <c r="R3040" s="15"/>
    </row>
    <row r="3041" spans="1:18" x14ac:dyDescent="0.25">
      <c r="A3041" s="15"/>
      <c r="R3041" s="15"/>
    </row>
    <row r="3042" spans="1:18" x14ac:dyDescent="0.25">
      <c r="A3042" s="15"/>
      <c r="R3042" s="15"/>
    </row>
    <row r="3043" spans="1:18" x14ac:dyDescent="0.25">
      <c r="A3043" s="15"/>
      <c r="R3043" s="15"/>
    </row>
    <row r="3044" spans="1:18" x14ac:dyDescent="0.25">
      <c r="A3044" s="15"/>
      <c r="R3044" s="15"/>
    </row>
    <row r="3045" spans="1:18" x14ac:dyDescent="0.25">
      <c r="A3045" s="15"/>
      <c r="R3045" s="15"/>
    </row>
    <row r="3046" spans="1:18" x14ac:dyDescent="0.25">
      <c r="A3046" s="15"/>
      <c r="R3046" s="15"/>
    </row>
    <row r="3047" spans="1:18" x14ac:dyDescent="0.25">
      <c r="A3047" s="15"/>
      <c r="R3047" s="15"/>
    </row>
    <row r="3048" spans="1:18" x14ac:dyDescent="0.25">
      <c r="A3048" s="15"/>
      <c r="R3048" s="15"/>
    </row>
    <row r="3049" spans="1:18" x14ac:dyDescent="0.25">
      <c r="A3049" s="15"/>
      <c r="R3049" s="15"/>
    </row>
    <row r="3050" spans="1:18" x14ac:dyDescent="0.25">
      <c r="A3050" s="15"/>
      <c r="R3050" s="15"/>
    </row>
    <row r="3051" spans="1:18" x14ac:dyDescent="0.25">
      <c r="A3051" s="15"/>
      <c r="R3051" s="15"/>
    </row>
    <row r="3052" spans="1:18" x14ac:dyDescent="0.25">
      <c r="A3052" s="15"/>
      <c r="R3052" s="15"/>
    </row>
    <row r="3053" spans="1:18" x14ac:dyDescent="0.25">
      <c r="A3053" s="15"/>
      <c r="R3053" s="15"/>
    </row>
    <row r="3054" spans="1:18" x14ac:dyDescent="0.25">
      <c r="A3054" s="15"/>
      <c r="R3054" s="15"/>
    </row>
    <row r="3055" spans="1:18" x14ac:dyDescent="0.25">
      <c r="A3055" s="15"/>
      <c r="R3055" s="15"/>
    </row>
    <row r="3056" spans="1:18" x14ac:dyDescent="0.25">
      <c r="A3056" s="15"/>
      <c r="R3056" s="15"/>
    </row>
    <row r="3057" spans="1:18" x14ac:dyDescent="0.25">
      <c r="A3057" s="15"/>
      <c r="R3057" s="15"/>
    </row>
    <row r="3058" spans="1:18" x14ac:dyDescent="0.25">
      <c r="A3058" s="15"/>
      <c r="R3058" s="15"/>
    </row>
    <row r="3059" spans="1:18" x14ac:dyDescent="0.25">
      <c r="A3059" s="15"/>
      <c r="R3059" s="15"/>
    </row>
    <row r="3060" spans="1:18" x14ac:dyDescent="0.25">
      <c r="A3060" s="15"/>
      <c r="R3060" s="15"/>
    </row>
    <row r="3061" spans="1:18" x14ac:dyDescent="0.25">
      <c r="A3061" s="15"/>
      <c r="R3061" s="15"/>
    </row>
    <row r="3062" spans="1:18" x14ac:dyDescent="0.25">
      <c r="A3062" s="15"/>
      <c r="R3062" s="15"/>
    </row>
    <row r="3063" spans="1:18" x14ac:dyDescent="0.25">
      <c r="A3063" s="15"/>
      <c r="R3063" s="15"/>
    </row>
    <row r="3064" spans="1:18" x14ac:dyDescent="0.25">
      <c r="A3064" s="15"/>
      <c r="R3064" s="15"/>
    </row>
    <row r="3065" spans="1:18" x14ac:dyDescent="0.25">
      <c r="A3065" s="15"/>
      <c r="R3065" s="15"/>
    </row>
    <row r="3066" spans="1:18" x14ac:dyDescent="0.25">
      <c r="A3066" s="15"/>
      <c r="R3066" s="15"/>
    </row>
    <row r="3067" spans="1:18" x14ac:dyDescent="0.25">
      <c r="A3067" s="15"/>
      <c r="R3067" s="15"/>
    </row>
    <row r="3068" spans="1:18" x14ac:dyDescent="0.25">
      <c r="A3068" s="15"/>
      <c r="R3068" s="15"/>
    </row>
    <row r="3069" spans="1:18" x14ac:dyDescent="0.25">
      <c r="A3069" s="15"/>
      <c r="R3069" s="15"/>
    </row>
    <row r="3070" spans="1:18" x14ac:dyDescent="0.25">
      <c r="A3070" s="15"/>
      <c r="R3070" s="15"/>
    </row>
    <row r="3071" spans="1:18" x14ac:dyDescent="0.25">
      <c r="A3071" s="15"/>
      <c r="R3071" s="15"/>
    </row>
    <row r="3072" spans="1:18" x14ac:dyDescent="0.25">
      <c r="A3072" s="15"/>
      <c r="R3072" s="15"/>
    </row>
    <row r="3073" spans="1:18" x14ac:dyDescent="0.25">
      <c r="A3073" s="15"/>
      <c r="R3073" s="15"/>
    </row>
    <row r="3074" spans="1:18" x14ac:dyDescent="0.25">
      <c r="A3074" s="15"/>
      <c r="R3074" s="15"/>
    </row>
    <row r="3075" spans="1:18" x14ac:dyDescent="0.25">
      <c r="A3075" s="15"/>
      <c r="R3075" s="15"/>
    </row>
    <row r="3076" spans="1:18" x14ac:dyDescent="0.25">
      <c r="A3076" s="15"/>
      <c r="R3076" s="15"/>
    </row>
    <row r="3077" spans="1:18" x14ac:dyDescent="0.25">
      <c r="A3077" s="15"/>
      <c r="R3077" s="15"/>
    </row>
    <row r="3078" spans="1:18" x14ac:dyDescent="0.25">
      <c r="A3078" s="15"/>
      <c r="R3078" s="15"/>
    </row>
    <row r="3079" spans="1:18" x14ac:dyDescent="0.25">
      <c r="A3079" s="15"/>
      <c r="R3079" s="15"/>
    </row>
    <row r="3080" spans="1:18" x14ac:dyDescent="0.25">
      <c r="A3080" s="15"/>
      <c r="R3080" s="15"/>
    </row>
    <row r="3081" spans="1:18" x14ac:dyDescent="0.25">
      <c r="A3081" s="15"/>
      <c r="R3081" s="15"/>
    </row>
    <row r="3082" spans="1:18" x14ac:dyDescent="0.25">
      <c r="A3082" s="15"/>
      <c r="R3082" s="15"/>
    </row>
    <row r="3083" spans="1:18" x14ac:dyDescent="0.25">
      <c r="A3083" s="15"/>
      <c r="R3083" s="15"/>
    </row>
    <row r="3084" spans="1:18" x14ac:dyDescent="0.25">
      <c r="A3084" s="15"/>
      <c r="R3084" s="15"/>
    </row>
    <row r="3085" spans="1:18" x14ac:dyDescent="0.25">
      <c r="A3085" s="15"/>
      <c r="R3085" s="15"/>
    </row>
    <row r="3086" spans="1:18" x14ac:dyDescent="0.25">
      <c r="A3086" s="15"/>
      <c r="R3086" s="15"/>
    </row>
    <row r="3087" spans="1:18" x14ac:dyDescent="0.25">
      <c r="A3087" s="15"/>
      <c r="R3087" s="15"/>
    </row>
    <row r="3088" spans="1:18" x14ac:dyDescent="0.25">
      <c r="A3088" s="15"/>
      <c r="R3088" s="15"/>
    </row>
    <row r="3089" spans="1:18" x14ac:dyDescent="0.25">
      <c r="A3089" s="15"/>
      <c r="R3089" s="15"/>
    </row>
    <row r="3090" spans="1:18" x14ac:dyDescent="0.25">
      <c r="A3090" s="15"/>
      <c r="R3090" s="15"/>
    </row>
    <row r="3091" spans="1:18" x14ac:dyDescent="0.25">
      <c r="A3091" s="15"/>
      <c r="R3091" s="15"/>
    </row>
    <row r="3092" spans="1:18" x14ac:dyDescent="0.25">
      <c r="A3092" s="15"/>
      <c r="R3092" s="15"/>
    </row>
    <row r="3093" spans="1:18" x14ac:dyDescent="0.25">
      <c r="A3093" s="15"/>
      <c r="R3093" s="15"/>
    </row>
    <row r="3094" spans="1:18" x14ac:dyDescent="0.25">
      <c r="A3094" s="15"/>
      <c r="R3094" s="15"/>
    </row>
    <row r="3095" spans="1:18" x14ac:dyDescent="0.25">
      <c r="A3095" s="15"/>
      <c r="R3095" s="15"/>
    </row>
    <row r="3096" spans="1:18" x14ac:dyDescent="0.25">
      <c r="A3096" s="15"/>
      <c r="R3096" s="15"/>
    </row>
    <row r="3097" spans="1:18" x14ac:dyDescent="0.25">
      <c r="A3097" s="15"/>
      <c r="R3097" s="15"/>
    </row>
    <row r="3098" spans="1:18" x14ac:dyDescent="0.25">
      <c r="A3098" s="15"/>
      <c r="R3098" s="15"/>
    </row>
    <row r="3099" spans="1:18" x14ac:dyDescent="0.25">
      <c r="A3099" s="15"/>
      <c r="R3099" s="15"/>
    </row>
    <row r="3100" spans="1:18" x14ac:dyDescent="0.25">
      <c r="A3100" s="15"/>
      <c r="R3100" s="15"/>
    </row>
    <row r="3101" spans="1:18" x14ac:dyDescent="0.25">
      <c r="A3101" s="15"/>
      <c r="R3101" s="15"/>
    </row>
    <row r="3102" spans="1:18" x14ac:dyDescent="0.25">
      <c r="A3102" s="15"/>
      <c r="R3102" s="15"/>
    </row>
    <row r="3103" spans="1:18" x14ac:dyDescent="0.25">
      <c r="A3103" s="15"/>
      <c r="R3103" s="15"/>
    </row>
    <row r="3104" spans="1:18" x14ac:dyDescent="0.25">
      <c r="A3104" s="15"/>
      <c r="R3104" s="15"/>
    </row>
    <row r="3105" spans="1:18" x14ac:dyDescent="0.25">
      <c r="A3105" s="15"/>
      <c r="R3105" s="15"/>
    </row>
    <row r="3106" spans="1:18" x14ac:dyDescent="0.25">
      <c r="A3106" s="15"/>
      <c r="R3106" s="15"/>
    </row>
    <row r="3107" spans="1:18" x14ac:dyDescent="0.25">
      <c r="A3107" s="15"/>
      <c r="R3107" s="15"/>
    </row>
    <row r="3108" spans="1:18" x14ac:dyDescent="0.25">
      <c r="A3108" s="15"/>
      <c r="R3108" s="15"/>
    </row>
    <row r="3109" spans="1:18" x14ac:dyDescent="0.25">
      <c r="A3109" s="15"/>
      <c r="R3109" s="15"/>
    </row>
    <row r="3110" spans="1:18" x14ac:dyDescent="0.25">
      <c r="A3110" s="15"/>
      <c r="R3110" s="15"/>
    </row>
    <row r="3111" spans="1:18" x14ac:dyDescent="0.25">
      <c r="A3111" s="15"/>
      <c r="R3111" s="15"/>
    </row>
    <row r="3112" spans="1:18" x14ac:dyDescent="0.25">
      <c r="A3112" s="15"/>
      <c r="R3112" s="15"/>
    </row>
    <row r="3113" spans="1:18" x14ac:dyDescent="0.25">
      <c r="A3113" s="15"/>
      <c r="R3113" s="15"/>
    </row>
    <row r="3114" spans="1:18" x14ac:dyDescent="0.25">
      <c r="A3114" s="15"/>
      <c r="R3114" s="15"/>
    </row>
    <row r="3115" spans="1:18" x14ac:dyDescent="0.25">
      <c r="A3115" s="15"/>
      <c r="R3115" s="15"/>
    </row>
    <row r="3116" spans="1:18" x14ac:dyDescent="0.25">
      <c r="A3116" s="15"/>
      <c r="R3116" s="15"/>
    </row>
    <row r="3117" spans="1:18" x14ac:dyDescent="0.25">
      <c r="A3117" s="15"/>
      <c r="R3117" s="15"/>
    </row>
    <row r="3118" spans="1:18" x14ac:dyDescent="0.25">
      <c r="A3118" s="15"/>
      <c r="R3118" s="15"/>
    </row>
    <row r="3119" spans="1:18" x14ac:dyDescent="0.25">
      <c r="A3119" s="15"/>
      <c r="R3119" s="15"/>
    </row>
    <row r="3120" spans="1:18" x14ac:dyDescent="0.25">
      <c r="A3120" s="15"/>
      <c r="R3120" s="15"/>
    </row>
    <row r="3121" spans="1:18" x14ac:dyDescent="0.25">
      <c r="A3121" s="15"/>
      <c r="R3121" s="15"/>
    </row>
    <row r="3122" spans="1:18" x14ac:dyDescent="0.25">
      <c r="A3122" s="15"/>
      <c r="R3122" s="15"/>
    </row>
    <row r="3123" spans="1:18" x14ac:dyDescent="0.25">
      <c r="A3123" s="15"/>
      <c r="R3123" s="15"/>
    </row>
    <row r="3124" spans="1:18" x14ac:dyDescent="0.25">
      <c r="A3124" s="15"/>
      <c r="R3124" s="15"/>
    </row>
    <row r="3125" spans="1:18" x14ac:dyDescent="0.25">
      <c r="A3125" s="15"/>
      <c r="R3125" s="15"/>
    </row>
    <row r="3126" spans="1:18" x14ac:dyDescent="0.25">
      <c r="A3126" s="15"/>
      <c r="R3126" s="15"/>
    </row>
    <row r="3127" spans="1:18" x14ac:dyDescent="0.25">
      <c r="A3127" s="15"/>
      <c r="R3127" s="15"/>
    </row>
    <row r="3128" spans="1:18" x14ac:dyDescent="0.25">
      <c r="A3128" s="15"/>
      <c r="R3128" s="15"/>
    </row>
    <row r="3129" spans="1:18" x14ac:dyDescent="0.25">
      <c r="A3129" s="15"/>
      <c r="R3129" s="15"/>
    </row>
    <row r="3130" spans="1:18" x14ac:dyDescent="0.25">
      <c r="A3130" s="15"/>
      <c r="R3130" s="15"/>
    </row>
    <row r="3131" spans="1:18" x14ac:dyDescent="0.25">
      <c r="A3131" s="15"/>
      <c r="R3131" s="15"/>
    </row>
    <row r="3132" spans="1:18" x14ac:dyDescent="0.25">
      <c r="A3132" s="15"/>
      <c r="R3132" s="15"/>
    </row>
    <row r="3133" spans="1:18" x14ac:dyDescent="0.25">
      <c r="A3133" s="15"/>
      <c r="R3133" s="15"/>
    </row>
    <row r="3134" spans="1:18" x14ac:dyDescent="0.25">
      <c r="A3134" s="15"/>
      <c r="R3134" s="15"/>
    </row>
    <row r="3135" spans="1:18" x14ac:dyDescent="0.25">
      <c r="A3135" s="15"/>
      <c r="R3135" s="15"/>
    </row>
    <row r="3136" spans="1:18" x14ac:dyDescent="0.25">
      <c r="A3136" s="15"/>
      <c r="R3136" s="15"/>
    </row>
    <row r="3137" spans="1:18" x14ac:dyDescent="0.25">
      <c r="A3137" s="15"/>
      <c r="R3137" s="15"/>
    </row>
    <row r="3138" spans="1:18" x14ac:dyDescent="0.25">
      <c r="A3138" s="15"/>
      <c r="R3138" s="15"/>
    </row>
    <row r="3139" spans="1:18" x14ac:dyDescent="0.25">
      <c r="A3139" s="15"/>
      <c r="R3139" s="15"/>
    </row>
    <row r="3140" spans="1:18" x14ac:dyDescent="0.25">
      <c r="A3140" s="15"/>
      <c r="R3140" s="15"/>
    </row>
    <row r="3141" spans="1:18" x14ac:dyDescent="0.25">
      <c r="A3141" s="15"/>
      <c r="R3141" s="15"/>
    </row>
    <row r="3142" spans="1:18" x14ac:dyDescent="0.25">
      <c r="A3142" s="15"/>
      <c r="R3142" s="15"/>
    </row>
    <row r="3143" spans="1:18" x14ac:dyDescent="0.25">
      <c r="A3143" s="15"/>
      <c r="R3143" s="15"/>
    </row>
    <row r="3144" spans="1:18" x14ac:dyDescent="0.25">
      <c r="A3144" s="15"/>
      <c r="R3144" s="15"/>
    </row>
    <row r="3145" spans="1:18" x14ac:dyDescent="0.25">
      <c r="A3145" s="15"/>
      <c r="R3145" s="15"/>
    </row>
    <row r="3146" spans="1:18" x14ac:dyDescent="0.25">
      <c r="A3146" s="15"/>
      <c r="R3146" s="15"/>
    </row>
    <row r="3147" spans="1:18" x14ac:dyDescent="0.25">
      <c r="A3147" s="15"/>
      <c r="R3147" s="15"/>
    </row>
    <row r="3148" spans="1:18" x14ac:dyDescent="0.25">
      <c r="A3148" s="15"/>
      <c r="R3148" s="15"/>
    </row>
    <row r="3149" spans="1:18" x14ac:dyDescent="0.25">
      <c r="A3149" s="15"/>
      <c r="R3149" s="15"/>
    </row>
    <row r="3150" spans="1:18" x14ac:dyDescent="0.25">
      <c r="A3150" s="15"/>
      <c r="R3150" s="15"/>
    </row>
    <row r="3151" spans="1:18" x14ac:dyDescent="0.25">
      <c r="A3151" s="15"/>
      <c r="R3151" s="15"/>
    </row>
    <row r="3152" spans="1:18" x14ac:dyDescent="0.25">
      <c r="A3152" s="15"/>
      <c r="R3152" s="15"/>
    </row>
    <row r="3153" spans="1:18" x14ac:dyDescent="0.25">
      <c r="A3153" s="15"/>
      <c r="R3153" s="15"/>
    </row>
    <row r="3154" spans="1:18" x14ac:dyDescent="0.25">
      <c r="A3154" s="15"/>
      <c r="R3154" s="15"/>
    </row>
    <row r="3155" spans="1:18" x14ac:dyDescent="0.25">
      <c r="A3155" s="15"/>
      <c r="R3155" s="15"/>
    </row>
    <row r="3156" spans="1:18" x14ac:dyDescent="0.25">
      <c r="A3156" s="15"/>
      <c r="R3156" s="15"/>
    </row>
    <row r="3157" spans="1:18" x14ac:dyDescent="0.25">
      <c r="A3157" s="15"/>
      <c r="R3157" s="15"/>
    </row>
    <row r="3158" spans="1:18" x14ac:dyDescent="0.25">
      <c r="A3158" s="15"/>
      <c r="R3158" s="15"/>
    </row>
    <row r="3159" spans="1:18" x14ac:dyDescent="0.25">
      <c r="A3159" s="15"/>
      <c r="R3159" s="15"/>
    </row>
    <row r="3160" spans="1:18" x14ac:dyDescent="0.25">
      <c r="A3160" s="15"/>
      <c r="R3160" s="15"/>
    </row>
    <row r="3161" spans="1:18" x14ac:dyDescent="0.25">
      <c r="A3161" s="15"/>
      <c r="R3161" s="15"/>
    </row>
    <row r="3162" spans="1:18" x14ac:dyDescent="0.25">
      <c r="A3162" s="15"/>
      <c r="R3162" s="15"/>
    </row>
    <row r="3163" spans="1:18" x14ac:dyDescent="0.25">
      <c r="A3163" s="15"/>
      <c r="R3163" s="15"/>
    </row>
    <row r="3164" spans="1:18" x14ac:dyDescent="0.25">
      <c r="A3164" s="15"/>
      <c r="R3164" s="15"/>
    </row>
    <row r="3165" spans="1:18" x14ac:dyDescent="0.25">
      <c r="A3165" s="15"/>
      <c r="R3165" s="15"/>
    </row>
    <row r="3166" spans="1:18" x14ac:dyDescent="0.25">
      <c r="A3166" s="15"/>
      <c r="R3166" s="15"/>
    </row>
    <row r="3167" spans="1:18" x14ac:dyDescent="0.25">
      <c r="A3167" s="15"/>
      <c r="R3167" s="15"/>
    </row>
    <row r="3168" spans="1:18" x14ac:dyDescent="0.25">
      <c r="A3168" s="15"/>
      <c r="R3168" s="15"/>
    </row>
    <row r="3169" spans="1:18" x14ac:dyDescent="0.25">
      <c r="A3169" s="15"/>
      <c r="R3169" s="15"/>
    </row>
    <row r="3170" spans="1:18" x14ac:dyDescent="0.25">
      <c r="A3170" s="15"/>
      <c r="R3170" s="15"/>
    </row>
    <row r="3171" spans="1:18" x14ac:dyDescent="0.25">
      <c r="A3171" s="15"/>
      <c r="R3171" s="15"/>
    </row>
    <row r="3172" spans="1:18" x14ac:dyDescent="0.25">
      <c r="A3172" s="15"/>
      <c r="R3172" s="15"/>
    </row>
    <row r="3173" spans="1:18" x14ac:dyDescent="0.25">
      <c r="A3173" s="15"/>
      <c r="R3173" s="15"/>
    </row>
    <row r="3174" spans="1:18" x14ac:dyDescent="0.25">
      <c r="A3174" s="15"/>
      <c r="R3174" s="15"/>
    </row>
    <row r="3175" spans="1:18" x14ac:dyDescent="0.25">
      <c r="A3175" s="15"/>
      <c r="R3175" s="15"/>
    </row>
    <row r="3176" spans="1:18" x14ac:dyDescent="0.25">
      <c r="A3176" s="15"/>
      <c r="R3176" s="15"/>
    </row>
    <row r="3177" spans="1:18" x14ac:dyDescent="0.25">
      <c r="A3177" s="15"/>
      <c r="R3177" s="15"/>
    </row>
    <row r="3178" spans="1:18" x14ac:dyDescent="0.25">
      <c r="A3178" s="15"/>
      <c r="R3178" s="15"/>
    </row>
    <row r="3179" spans="1:18" x14ac:dyDescent="0.25">
      <c r="A3179" s="15"/>
      <c r="R3179" s="15"/>
    </row>
    <row r="3180" spans="1:18" x14ac:dyDescent="0.25">
      <c r="A3180" s="15"/>
      <c r="R3180" s="15"/>
    </row>
    <row r="3181" spans="1:18" x14ac:dyDescent="0.25">
      <c r="A3181" s="15"/>
      <c r="R3181" s="15"/>
    </row>
    <row r="3182" spans="1:18" x14ac:dyDescent="0.25">
      <c r="A3182" s="15"/>
      <c r="R3182" s="15"/>
    </row>
    <row r="3183" spans="1:18" x14ac:dyDescent="0.25">
      <c r="A3183" s="15"/>
      <c r="R3183" s="15"/>
    </row>
    <row r="3184" spans="1:18" x14ac:dyDescent="0.25">
      <c r="A3184" s="15"/>
      <c r="R3184" s="15"/>
    </row>
    <row r="3185" spans="1:18" x14ac:dyDescent="0.25">
      <c r="A3185" s="15"/>
      <c r="R3185" s="15"/>
    </row>
    <row r="3186" spans="1:18" x14ac:dyDescent="0.25">
      <c r="A3186" s="15"/>
      <c r="R3186" s="15"/>
    </row>
    <row r="3187" spans="1:18" x14ac:dyDescent="0.25">
      <c r="A3187" s="15"/>
      <c r="R3187" s="15"/>
    </row>
    <row r="3188" spans="1:18" x14ac:dyDescent="0.25">
      <c r="A3188" s="15"/>
      <c r="R3188" s="15"/>
    </row>
    <row r="3189" spans="1:18" x14ac:dyDescent="0.25">
      <c r="A3189" s="15"/>
      <c r="R3189" s="15"/>
    </row>
    <row r="3190" spans="1:18" x14ac:dyDescent="0.25">
      <c r="A3190" s="15"/>
      <c r="R3190" s="15"/>
    </row>
    <row r="3191" spans="1:18" x14ac:dyDescent="0.25">
      <c r="A3191" s="15"/>
      <c r="R3191" s="15"/>
    </row>
    <row r="3192" spans="1:18" x14ac:dyDescent="0.25">
      <c r="A3192" s="15"/>
      <c r="R3192" s="15"/>
    </row>
    <row r="3193" spans="1:18" x14ac:dyDescent="0.25">
      <c r="A3193" s="15"/>
      <c r="R3193" s="15"/>
    </row>
    <row r="3194" spans="1:18" x14ac:dyDescent="0.25">
      <c r="A3194" s="15"/>
      <c r="R3194" s="15"/>
    </row>
    <row r="3195" spans="1:18" x14ac:dyDescent="0.25">
      <c r="A3195" s="15"/>
      <c r="R3195" s="15"/>
    </row>
    <row r="3196" spans="1:18" x14ac:dyDescent="0.25">
      <c r="A3196" s="15"/>
      <c r="R3196" s="15"/>
    </row>
    <row r="3197" spans="1:18" x14ac:dyDescent="0.25">
      <c r="A3197" s="15"/>
      <c r="R3197" s="15"/>
    </row>
    <row r="3198" spans="1:18" x14ac:dyDescent="0.25">
      <c r="A3198" s="15"/>
      <c r="R3198" s="15"/>
    </row>
    <row r="3199" spans="1:18" x14ac:dyDescent="0.25">
      <c r="A3199" s="15"/>
      <c r="R3199" s="15"/>
    </row>
    <row r="3200" spans="1:18" x14ac:dyDescent="0.25">
      <c r="A3200" s="15"/>
      <c r="R3200" s="15"/>
    </row>
    <row r="3201" spans="1:18" x14ac:dyDescent="0.25">
      <c r="A3201" s="15"/>
      <c r="R3201" s="15"/>
    </row>
    <row r="3202" spans="1:18" x14ac:dyDescent="0.25">
      <c r="A3202" s="15"/>
      <c r="R3202" s="15"/>
    </row>
    <row r="3203" spans="1:18" x14ac:dyDescent="0.25">
      <c r="A3203" s="15"/>
      <c r="R3203" s="15"/>
    </row>
    <row r="3204" spans="1:18" x14ac:dyDescent="0.25">
      <c r="A3204" s="15"/>
      <c r="R3204" s="15"/>
    </row>
    <row r="3205" spans="1:18" x14ac:dyDescent="0.25">
      <c r="A3205" s="15"/>
      <c r="R3205" s="15"/>
    </row>
    <row r="3206" spans="1:18" x14ac:dyDescent="0.25">
      <c r="A3206" s="15"/>
      <c r="R3206" s="15"/>
    </row>
    <row r="3207" spans="1:18" x14ac:dyDescent="0.25">
      <c r="A3207" s="15"/>
      <c r="R3207" s="15"/>
    </row>
    <row r="3208" spans="1:18" x14ac:dyDescent="0.25">
      <c r="A3208" s="15"/>
      <c r="R3208" s="15"/>
    </row>
    <row r="3209" spans="1:18" x14ac:dyDescent="0.25">
      <c r="A3209" s="15"/>
      <c r="R3209" s="15"/>
    </row>
    <row r="3210" spans="1:18" x14ac:dyDescent="0.25">
      <c r="A3210" s="15"/>
      <c r="R3210" s="15"/>
    </row>
    <row r="3211" spans="1:18" x14ac:dyDescent="0.25">
      <c r="A3211" s="15"/>
      <c r="R3211" s="15"/>
    </row>
    <row r="3212" spans="1:18" x14ac:dyDescent="0.25">
      <c r="A3212" s="15"/>
      <c r="R3212" s="15"/>
    </row>
    <row r="3213" spans="1:18" x14ac:dyDescent="0.25">
      <c r="A3213" s="15"/>
      <c r="R3213" s="15"/>
    </row>
    <row r="3214" spans="1:18" x14ac:dyDescent="0.25">
      <c r="A3214" s="15"/>
      <c r="R3214" s="15"/>
    </row>
    <row r="3215" spans="1:18" x14ac:dyDescent="0.25">
      <c r="A3215" s="15"/>
      <c r="R3215" s="15"/>
    </row>
    <row r="3216" spans="1:18" x14ac:dyDescent="0.25">
      <c r="A3216" s="15"/>
      <c r="R3216" s="15"/>
    </row>
    <row r="3217" spans="1:18" x14ac:dyDescent="0.25">
      <c r="A3217" s="15"/>
      <c r="R3217" s="15"/>
    </row>
    <row r="3218" spans="1:18" x14ac:dyDescent="0.25">
      <c r="A3218" s="15"/>
      <c r="R3218" s="15"/>
    </row>
    <row r="3219" spans="1:18" x14ac:dyDescent="0.25">
      <c r="A3219" s="15"/>
      <c r="R3219" s="15"/>
    </row>
    <row r="3220" spans="1:18" x14ac:dyDescent="0.25">
      <c r="A3220" s="15"/>
      <c r="R3220" s="15"/>
    </row>
    <row r="3221" spans="1:18" x14ac:dyDescent="0.25">
      <c r="A3221" s="15"/>
      <c r="R3221" s="15"/>
    </row>
    <row r="3222" spans="1:18" x14ac:dyDescent="0.25">
      <c r="A3222" s="15"/>
      <c r="R3222" s="15"/>
    </row>
    <row r="3223" spans="1:18" x14ac:dyDescent="0.25">
      <c r="A3223" s="15"/>
      <c r="R3223" s="15"/>
    </row>
    <row r="3224" spans="1:18" x14ac:dyDescent="0.25">
      <c r="A3224" s="15"/>
      <c r="R3224" s="15"/>
    </row>
    <row r="3225" spans="1:18" x14ac:dyDescent="0.25">
      <c r="A3225" s="15"/>
      <c r="R3225" s="15"/>
    </row>
    <row r="3226" spans="1:18" x14ac:dyDescent="0.25">
      <c r="A3226" s="15"/>
      <c r="R3226" s="15"/>
    </row>
    <row r="3227" spans="1:18" x14ac:dyDescent="0.25">
      <c r="A3227" s="15"/>
      <c r="R3227" s="15"/>
    </row>
    <row r="3228" spans="1:18" x14ac:dyDescent="0.25">
      <c r="A3228" s="15"/>
      <c r="R3228" s="15"/>
    </row>
    <row r="3229" spans="1:18" x14ac:dyDescent="0.25">
      <c r="A3229" s="15"/>
      <c r="R3229" s="15"/>
    </row>
    <row r="3230" spans="1:18" x14ac:dyDescent="0.25">
      <c r="A3230" s="15"/>
      <c r="R3230" s="15"/>
    </row>
    <row r="3231" spans="1:18" x14ac:dyDescent="0.25">
      <c r="A3231" s="15"/>
      <c r="R3231" s="15"/>
    </row>
    <row r="3232" spans="1:18" x14ac:dyDescent="0.25">
      <c r="A3232" s="15"/>
      <c r="R3232" s="15"/>
    </row>
    <row r="3233" spans="1:18" x14ac:dyDescent="0.25">
      <c r="A3233" s="15"/>
      <c r="R3233" s="15"/>
    </row>
    <row r="3234" spans="1:18" x14ac:dyDescent="0.25">
      <c r="A3234" s="15"/>
      <c r="R3234" s="15"/>
    </row>
    <row r="3235" spans="1:18" x14ac:dyDescent="0.25">
      <c r="A3235" s="15"/>
      <c r="R3235" s="15"/>
    </row>
    <row r="3236" spans="1:18" x14ac:dyDescent="0.25">
      <c r="A3236" s="15"/>
      <c r="R3236" s="15"/>
    </row>
    <row r="3237" spans="1:18" x14ac:dyDescent="0.25">
      <c r="A3237" s="15"/>
      <c r="R3237" s="15"/>
    </row>
    <row r="3238" spans="1:18" x14ac:dyDescent="0.25">
      <c r="A3238" s="15"/>
      <c r="R3238" s="15"/>
    </row>
    <row r="3239" spans="1:18" x14ac:dyDescent="0.25">
      <c r="A3239" s="15"/>
      <c r="R3239" s="15"/>
    </row>
    <row r="3240" spans="1:18" x14ac:dyDescent="0.25">
      <c r="A3240" s="15"/>
      <c r="R3240" s="15"/>
    </row>
    <row r="3241" spans="1:18" x14ac:dyDescent="0.25">
      <c r="A3241" s="15"/>
      <c r="R3241" s="15"/>
    </row>
    <row r="3242" spans="1:18" x14ac:dyDescent="0.25">
      <c r="A3242" s="15"/>
      <c r="R3242" s="15"/>
    </row>
    <row r="3243" spans="1:18" x14ac:dyDescent="0.25">
      <c r="A3243" s="15"/>
      <c r="R3243" s="15"/>
    </row>
    <row r="3244" spans="1:18" x14ac:dyDescent="0.25">
      <c r="A3244" s="15"/>
      <c r="R3244" s="15"/>
    </row>
    <row r="3245" spans="1:18" x14ac:dyDescent="0.25">
      <c r="A3245" s="15"/>
      <c r="R3245" s="15"/>
    </row>
    <row r="3246" spans="1:18" x14ac:dyDescent="0.25">
      <c r="A3246" s="15"/>
      <c r="R3246" s="15"/>
    </row>
    <row r="3247" spans="1:18" x14ac:dyDescent="0.25">
      <c r="A3247" s="15"/>
      <c r="R3247" s="15"/>
    </row>
    <row r="3248" spans="1:18" x14ac:dyDescent="0.25">
      <c r="A3248" s="15"/>
      <c r="R3248" s="15"/>
    </row>
    <row r="3249" spans="1:18" x14ac:dyDescent="0.25">
      <c r="A3249" s="15"/>
      <c r="R3249" s="15"/>
    </row>
    <row r="3250" spans="1:18" x14ac:dyDescent="0.25">
      <c r="A3250" s="15"/>
      <c r="R3250" s="15"/>
    </row>
    <row r="3251" spans="1:18" x14ac:dyDescent="0.25">
      <c r="A3251" s="15"/>
      <c r="R3251" s="15"/>
    </row>
    <row r="3252" spans="1:18" x14ac:dyDescent="0.25">
      <c r="A3252" s="15"/>
      <c r="R3252" s="15"/>
    </row>
    <row r="3253" spans="1:18" x14ac:dyDescent="0.25">
      <c r="A3253" s="15"/>
      <c r="R3253" s="15"/>
    </row>
    <row r="3254" spans="1:18" x14ac:dyDescent="0.25">
      <c r="A3254" s="15"/>
      <c r="R3254" s="15"/>
    </row>
    <row r="3255" spans="1:18" x14ac:dyDescent="0.25">
      <c r="A3255" s="15"/>
      <c r="R3255" s="15"/>
    </row>
    <row r="3256" spans="1:18" x14ac:dyDescent="0.25">
      <c r="A3256" s="15"/>
      <c r="R3256" s="15"/>
    </row>
    <row r="3257" spans="1:18" x14ac:dyDescent="0.25">
      <c r="A3257" s="15"/>
      <c r="R3257" s="15"/>
    </row>
    <row r="3258" spans="1:18" x14ac:dyDescent="0.25">
      <c r="A3258" s="15"/>
      <c r="R3258" s="15"/>
    </row>
    <row r="3259" spans="1:18" x14ac:dyDescent="0.25">
      <c r="A3259" s="15"/>
      <c r="R3259" s="15"/>
    </row>
    <row r="3260" spans="1:18" x14ac:dyDescent="0.25">
      <c r="A3260" s="15"/>
      <c r="R3260" s="15"/>
    </row>
    <row r="3261" spans="1:18" x14ac:dyDescent="0.25">
      <c r="A3261" s="15"/>
      <c r="R3261" s="15"/>
    </row>
    <row r="3262" spans="1:18" x14ac:dyDescent="0.25">
      <c r="A3262" s="15"/>
      <c r="R3262" s="15"/>
    </row>
    <row r="3263" spans="1:18" x14ac:dyDescent="0.25">
      <c r="A3263" s="15"/>
      <c r="R3263" s="15"/>
    </row>
    <row r="3264" spans="1:18" x14ac:dyDescent="0.25">
      <c r="A3264" s="15"/>
      <c r="R3264" s="15"/>
    </row>
    <row r="3265" spans="1:18" x14ac:dyDescent="0.25">
      <c r="A3265" s="15"/>
      <c r="R3265" s="15"/>
    </row>
    <row r="3266" spans="1:18" x14ac:dyDescent="0.25">
      <c r="A3266" s="15"/>
      <c r="R3266" s="15"/>
    </row>
    <row r="3267" spans="1:18" x14ac:dyDescent="0.25">
      <c r="A3267" s="15"/>
      <c r="R3267" s="15"/>
    </row>
    <row r="3268" spans="1:18" x14ac:dyDescent="0.25">
      <c r="A3268" s="15"/>
      <c r="R3268" s="15"/>
    </row>
    <row r="3269" spans="1:18" x14ac:dyDescent="0.25">
      <c r="A3269" s="15"/>
      <c r="R3269" s="15"/>
    </row>
    <row r="3270" spans="1:18" x14ac:dyDescent="0.25">
      <c r="A3270" s="15"/>
      <c r="R3270" s="15"/>
    </row>
    <row r="3271" spans="1:18" x14ac:dyDescent="0.25">
      <c r="A3271" s="15"/>
      <c r="R3271" s="15"/>
    </row>
    <row r="3272" spans="1:18" x14ac:dyDescent="0.25">
      <c r="A3272" s="15"/>
      <c r="R3272" s="15"/>
    </row>
    <row r="3273" spans="1:18" x14ac:dyDescent="0.25">
      <c r="A3273" s="15"/>
      <c r="R3273" s="15"/>
    </row>
    <row r="3274" spans="1:18" x14ac:dyDescent="0.25">
      <c r="A3274" s="15"/>
      <c r="R3274" s="15"/>
    </row>
    <row r="3275" spans="1:18" x14ac:dyDescent="0.25">
      <c r="A3275" s="15"/>
      <c r="R3275" s="15"/>
    </row>
    <row r="3276" spans="1:18" x14ac:dyDescent="0.25">
      <c r="A3276" s="15"/>
      <c r="R3276" s="15"/>
    </row>
    <row r="3277" spans="1:18" x14ac:dyDescent="0.25">
      <c r="A3277" s="15"/>
      <c r="R3277" s="15"/>
    </row>
    <row r="3278" spans="1:18" x14ac:dyDescent="0.25">
      <c r="A3278" s="15"/>
      <c r="R3278" s="15"/>
    </row>
    <row r="3279" spans="1:18" x14ac:dyDescent="0.25">
      <c r="A3279" s="15"/>
      <c r="R3279" s="15"/>
    </row>
    <row r="3280" spans="1:18" x14ac:dyDescent="0.25">
      <c r="A3280" s="15"/>
      <c r="R3280" s="15"/>
    </row>
    <row r="3281" spans="1:18" x14ac:dyDescent="0.25">
      <c r="A3281" s="15"/>
      <c r="R3281" s="15"/>
    </row>
    <row r="3282" spans="1:18" x14ac:dyDescent="0.25">
      <c r="A3282" s="15"/>
      <c r="R3282" s="15"/>
    </row>
    <row r="3283" spans="1:18" x14ac:dyDescent="0.25">
      <c r="A3283" s="15"/>
      <c r="R3283" s="15"/>
    </row>
    <row r="3284" spans="1:18" x14ac:dyDescent="0.25">
      <c r="A3284" s="15"/>
      <c r="R3284" s="15"/>
    </row>
    <row r="3285" spans="1:18" x14ac:dyDescent="0.25">
      <c r="A3285" s="15"/>
      <c r="R3285" s="15"/>
    </row>
    <row r="3286" spans="1:18" x14ac:dyDescent="0.25">
      <c r="A3286" s="15"/>
      <c r="R3286" s="15"/>
    </row>
    <row r="3287" spans="1:18" x14ac:dyDescent="0.25">
      <c r="A3287" s="15"/>
      <c r="R3287" s="15"/>
    </row>
    <row r="3288" spans="1:18" x14ac:dyDescent="0.25">
      <c r="A3288" s="15"/>
      <c r="R3288" s="15"/>
    </row>
    <row r="3289" spans="1:18" x14ac:dyDescent="0.25">
      <c r="A3289" s="15"/>
      <c r="R3289" s="15"/>
    </row>
    <row r="3290" spans="1:18" x14ac:dyDescent="0.25">
      <c r="A3290" s="15"/>
      <c r="R3290" s="15"/>
    </row>
    <row r="3291" spans="1:18" x14ac:dyDescent="0.25">
      <c r="A3291" s="15"/>
      <c r="R3291" s="15"/>
    </row>
    <row r="3292" spans="1:18" x14ac:dyDescent="0.25">
      <c r="A3292" s="15"/>
      <c r="R3292" s="15"/>
    </row>
    <row r="3293" spans="1:18" x14ac:dyDescent="0.25">
      <c r="A3293" s="15"/>
      <c r="R3293" s="15"/>
    </row>
    <row r="3294" spans="1:18" x14ac:dyDescent="0.25">
      <c r="A3294" s="15"/>
      <c r="R3294" s="15"/>
    </row>
    <row r="3295" spans="1:18" x14ac:dyDescent="0.25">
      <c r="A3295" s="15"/>
      <c r="R3295" s="15"/>
    </row>
    <row r="3296" spans="1:18" x14ac:dyDescent="0.25">
      <c r="A3296" s="15"/>
      <c r="R3296" s="15"/>
    </row>
    <row r="3297" spans="1:18" x14ac:dyDescent="0.25">
      <c r="A3297" s="15"/>
      <c r="R3297" s="15"/>
    </row>
    <row r="3298" spans="1:18" x14ac:dyDescent="0.25">
      <c r="A3298" s="15"/>
      <c r="R3298" s="15"/>
    </row>
    <row r="3299" spans="1:18" x14ac:dyDescent="0.25">
      <c r="A3299" s="15"/>
      <c r="R3299" s="15"/>
    </row>
    <row r="3300" spans="1:18" x14ac:dyDescent="0.25">
      <c r="A3300" s="15"/>
      <c r="R3300" s="15"/>
    </row>
    <row r="3301" spans="1:18" x14ac:dyDescent="0.25">
      <c r="A3301" s="15"/>
      <c r="R3301" s="15"/>
    </row>
    <row r="3302" spans="1:18" x14ac:dyDescent="0.25">
      <c r="A3302" s="15"/>
      <c r="R3302" s="15"/>
    </row>
    <row r="3303" spans="1:18" x14ac:dyDescent="0.25">
      <c r="A3303" s="15"/>
      <c r="R3303" s="15"/>
    </row>
    <row r="3304" spans="1:18" x14ac:dyDescent="0.25">
      <c r="A3304" s="15"/>
      <c r="R3304" s="15"/>
    </row>
    <row r="3305" spans="1:18" x14ac:dyDescent="0.25">
      <c r="A3305" s="15"/>
      <c r="R3305" s="15"/>
    </row>
    <row r="3306" spans="1:18" x14ac:dyDescent="0.25">
      <c r="A3306" s="15"/>
      <c r="R3306" s="15"/>
    </row>
    <row r="3307" spans="1:18" x14ac:dyDescent="0.25">
      <c r="A3307" s="15"/>
      <c r="R3307" s="15"/>
    </row>
    <row r="3308" spans="1:18" x14ac:dyDescent="0.25">
      <c r="A3308" s="15"/>
      <c r="R3308" s="15"/>
    </row>
    <row r="3309" spans="1:18" x14ac:dyDescent="0.25">
      <c r="A3309" s="15"/>
      <c r="R3309" s="15"/>
    </row>
    <row r="3310" spans="1:18" x14ac:dyDescent="0.25">
      <c r="A3310" s="15"/>
      <c r="R3310" s="15"/>
    </row>
    <row r="3311" spans="1:18" x14ac:dyDescent="0.25">
      <c r="A3311" s="15"/>
      <c r="R3311" s="15"/>
    </row>
    <row r="3312" spans="1:18" x14ac:dyDescent="0.25">
      <c r="A3312" s="15"/>
      <c r="R3312" s="15"/>
    </row>
    <row r="3313" spans="1:18" x14ac:dyDescent="0.25">
      <c r="A3313" s="15"/>
      <c r="R3313" s="15"/>
    </row>
    <row r="3314" spans="1:18" x14ac:dyDescent="0.25">
      <c r="A3314" s="15"/>
      <c r="R3314" s="15"/>
    </row>
    <row r="3315" spans="1:18" x14ac:dyDescent="0.25">
      <c r="A3315" s="15"/>
      <c r="R3315" s="15"/>
    </row>
    <row r="3316" spans="1:18" x14ac:dyDescent="0.25">
      <c r="A3316" s="15"/>
      <c r="R3316" s="15"/>
    </row>
    <row r="3317" spans="1:18" x14ac:dyDescent="0.25">
      <c r="A3317" s="15"/>
      <c r="R3317" s="15"/>
    </row>
    <row r="3318" spans="1:18" x14ac:dyDescent="0.25">
      <c r="A3318" s="15"/>
      <c r="R3318" s="15"/>
    </row>
    <row r="3319" spans="1:18" x14ac:dyDescent="0.25">
      <c r="A3319" s="15"/>
      <c r="R3319" s="15"/>
    </row>
    <row r="3320" spans="1:18" x14ac:dyDescent="0.25">
      <c r="A3320" s="15"/>
      <c r="R3320" s="15"/>
    </row>
    <row r="3321" spans="1:18" x14ac:dyDescent="0.25">
      <c r="A3321" s="15"/>
      <c r="R3321" s="15"/>
    </row>
    <row r="3322" spans="1:18" x14ac:dyDescent="0.25">
      <c r="A3322" s="15"/>
      <c r="R3322" s="15"/>
    </row>
    <row r="3323" spans="1:18" x14ac:dyDescent="0.25">
      <c r="A3323" s="15"/>
      <c r="R3323" s="15"/>
    </row>
    <row r="3324" spans="1:18" x14ac:dyDescent="0.25">
      <c r="A3324" s="15"/>
      <c r="R3324" s="15"/>
    </row>
    <row r="3325" spans="1:18" x14ac:dyDescent="0.25">
      <c r="A3325" s="15"/>
      <c r="R3325" s="15"/>
    </row>
    <row r="3326" spans="1:18" x14ac:dyDescent="0.25">
      <c r="A3326" s="15"/>
      <c r="R3326" s="15"/>
    </row>
    <row r="3327" spans="1:18" x14ac:dyDescent="0.25">
      <c r="A3327" s="15"/>
      <c r="R3327" s="15"/>
    </row>
    <row r="3328" spans="1:18" x14ac:dyDescent="0.25">
      <c r="A3328" s="15"/>
      <c r="R3328" s="15"/>
    </row>
    <row r="3329" spans="1:18" x14ac:dyDescent="0.25">
      <c r="A3329" s="15"/>
      <c r="R3329" s="15"/>
    </row>
    <row r="3330" spans="1:18" x14ac:dyDescent="0.25">
      <c r="A3330" s="15"/>
      <c r="R3330" s="15"/>
    </row>
    <row r="3331" spans="1:18" x14ac:dyDescent="0.25">
      <c r="A3331" s="15"/>
      <c r="R3331" s="15"/>
    </row>
    <row r="3332" spans="1:18" x14ac:dyDescent="0.25">
      <c r="A3332" s="15"/>
      <c r="R3332" s="15"/>
    </row>
    <row r="3333" spans="1:18" x14ac:dyDescent="0.25">
      <c r="A3333" s="15"/>
      <c r="R3333" s="15"/>
    </row>
    <row r="3334" spans="1:18" x14ac:dyDescent="0.25">
      <c r="A3334" s="15"/>
      <c r="R3334" s="15"/>
    </row>
    <row r="3335" spans="1:18" x14ac:dyDescent="0.25">
      <c r="A3335" s="15"/>
      <c r="R3335" s="15"/>
    </row>
    <row r="3336" spans="1:18" x14ac:dyDescent="0.25">
      <c r="A3336" s="15"/>
      <c r="R3336" s="15"/>
    </row>
    <row r="3337" spans="1:18" x14ac:dyDescent="0.25">
      <c r="A3337" s="15"/>
      <c r="R3337" s="15"/>
    </row>
    <row r="3338" spans="1:18" x14ac:dyDescent="0.25">
      <c r="A3338" s="15"/>
      <c r="R3338" s="15"/>
    </row>
    <row r="3339" spans="1:18" x14ac:dyDescent="0.25">
      <c r="A3339" s="15"/>
      <c r="R3339" s="15"/>
    </row>
    <row r="3340" spans="1:18" x14ac:dyDescent="0.25">
      <c r="A3340" s="15"/>
      <c r="R3340" s="15"/>
    </row>
    <row r="3341" spans="1:18" x14ac:dyDescent="0.25">
      <c r="A3341" s="15"/>
      <c r="R3341" s="15"/>
    </row>
    <row r="3342" spans="1:18" x14ac:dyDescent="0.25">
      <c r="A3342" s="15"/>
      <c r="R3342" s="15"/>
    </row>
    <row r="3343" spans="1:18" x14ac:dyDescent="0.25">
      <c r="A3343" s="15"/>
      <c r="R3343" s="15"/>
    </row>
    <row r="3344" spans="1:18" x14ac:dyDescent="0.25">
      <c r="A3344" s="15"/>
      <c r="R3344" s="15"/>
    </row>
    <row r="3345" spans="1:18" x14ac:dyDescent="0.25">
      <c r="A3345" s="15"/>
      <c r="R3345" s="15"/>
    </row>
    <row r="3346" spans="1:18" x14ac:dyDescent="0.25">
      <c r="A3346" s="15"/>
      <c r="R3346" s="15"/>
    </row>
    <row r="3347" spans="1:18" x14ac:dyDescent="0.25">
      <c r="A3347" s="15"/>
      <c r="R3347" s="15"/>
    </row>
    <row r="3348" spans="1:18" x14ac:dyDescent="0.25">
      <c r="A3348" s="15"/>
      <c r="R3348" s="15"/>
    </row>
    <row r="3349" spans="1:18" x14ac:dyDescent="0.25">
      <c r="A3349" s="15"/>
      <c r="R3349" s="15"/>
    </row>
    <row r="3350" spans="1:18" x14ac:dyDescent="0.25">
      <c r="A3350" s="15"/>
      <c r="R3350" s="15"/>
    </row>
    <row r="3351" spans="1:18" x14ac:dyDescent="0.25">
      <c r="A3351" s="15"/>
      <c r="R3351" s="15"/>
    </row>
    <row r="3352" spans="1:18" x14ac:dyDescent="0.25">
      <c r="A3352" s="15"/>
      <c r="R3352" s="15"/>
    </row>
    <row r="3353" spans="1:18" x14ac:dyDescent="0.25">
      <c r="A3353" s="15"/>
      <c r="R3353" s="15"/>
    </row>
    <row r="3354" spans="1:18" x14ac:dyDescent="0.25">
      <c r="A3354" s="15"/>
      <c r="R3354" s="15"/>
    </row>
    <row r="3355" spans="1:18" x14ac:dyDescent="0.25">
      <c r="A3355" s="15"/>
      <c r="R3355" s="15"/>
    </row>
    <row r="3356" spans="1:18" x14ac:dyDescent="0.25">
      <c r="A3356" s="15"/>
      <c r="R3356" s="15"/>
    </row>
    <row r="3357" spans="1:18" x14ac:dyDescent="0.25">
      <c r="A3357" s="15"/>
      <c r="R3357" s="15"/>
    </row>
    <row r="3358" spans="1:18" x14ac:dyDescent="0.25">
      <c r="A3358" s="15"/>
      <c r="R3358" s="15"/>
    </row>
    <row r="3359" spans="1:18" x14ac:dyDescent="0.25">
      <c r="A3359" s="15"/>
      <c r="R3359" s="15"/>
    </row>
    <row r="3360" spans="1:18" x14ac:dyDescent="0.25">
      <c r="A3360" s="15"/>
      <c r="R3360" s="15"/>
    </row>
    <row r="3361" spans="1:18" x14ac:dyDescent="0.25">
      <c r="A3361" s="15"/>
      <c r="R3361" s="15"/>
    </row>
    <row r="3362" spans="1:18" x14ac:dyDescent="0.25">
      <c r="A3362" s="15"/>
      <c r="R3362" s="15"/>
    </row>
    <row r="3363" spans="1:18" x14ac:dyDescent="0.25">
      <c r="A3363" s="15"/>
      <c r="R3363" s="15"/>
    </row>
    <row r="3364" spans="1:18" x14ac:dyDescent="0.25">
      <c r="A3364" s="15"/>
      <c r="R3364" s="15"/>
    </row>
    <row r="3365" spans="1:18" x14ac:dyDescent="0.25">
      <c r="A3365" s="15"/>
      <c r="R3365" s="15"/>
    </row>
    <row r="3366" spans="1:18" x14ac:dyDescent="0.25">
      <c r="A3366" s="15"/>
      <c r="R3366" s="15"/>
    </row>
    <row r="3367" spans="1:18" x14ac:dyDescent="0.25">
      <c r="A3367" s="15"/>
      <c r="R3367" s="15"/>
    </row>
    <row r="3368" spans="1:18" x14ac:dyDescent="0.25">
      <c r="A3368" s="15"/>
      <c r="R3368" s="15"/>
    </row>
    <row r="3369" spans="1:18" x14ac:dyDescent="0.25">
      <c r="A3369" s="15"/>
      <c r="R3369" s="15"/>
    </row>
    <row r="3370" spans="1:18" x14ac:dyDescent="0.25">
      <c r="A3370" s="15"/>
      <c r="R3370" s="15"/>
    </row>
    <row r="3371" spans="1:18" x14ac:dyDescent="0.25">
      <c r="A3371" s="15"/>
      <c r="R3371" s="15"/>
    </row>
    <row r="3372" spans="1:18" x14ac:dyDescent="0.25">
      <c r="A3372" s="15"/>
      <c r="R3372" s="15"/>
    </row>
    <row r="3373" spans="1:18" x14ac:dyDescent="0.25">
      <c r="A3373" s="15"/>
      <c r="R3373" s="15"/>
    </row>
    <row r="3374" spans="1:18" x14ac:dyDescent="0.25">
      <c r="A3374" s="15"/>
      <c r="R3374" s="15"/>
    </row>
    <row r="3375" spans="1:18" x14ac:dyDescent="0.25">
      <c r="A3375" s="15"/>
      <c r="R3375" s="15"/>
    </row>
    <row r="3376" spans="1:18" x14ac:dyDescent="0.25">
      <c r="A3376" s="15"/>
      <c r="R3376" s="15"/>
    </row>
    <row r="3377" spans="1:18" x14ac:dyDescent="0.25">
      <c r="A3377" s="15"/>
      <c r="R3377" s="15"/>
    </row>
    <row r="3378" spans="1:18" x14ac:dyDescent="0.25">
      <c r="A3378" s="15"/>
      <c r="R3378" s="15"/>
    </row>
    <row r="3379" spans="1:18" x14ac:dyDescent="0.25">
      <c r="A3379" s="15"/>
      <c r="R3379" s="15"/>
    </row>
    <row r="3380" spans="1:18" x14ac:dyDescent="0.25">
      <c r="A3380" s="15"/>
      <c r="R3380" s="15"/>
    </row>
    <row r="3381" spans="1:18" x14ac:dyDescent="0.25">
      <c r="A3381" s="15"/>
      <c r="R3381" s="15"/>
    </row>
    <row r="3382" spans="1:18" x14ac:dyDescent="0.25">
      <c r="A3382" s="15"/>
      <c r="R3382" s="15"/>
    </row>
    <row r="3383" spans="1:18" x14ac:dyDescent="0.25">
      <c r="A3383" s="15"/>
      <c r="R3383" s="15"/>
    </row>
    <row r="3384" spans="1:18" x14ac:dyDescent="0.25">
      <c r="A3384" s="15"/>
      <c r="R3384" s="15"/>
    </row>
    <row r="3385" spans="1:18" x14ac:dyDescent="0.25">
      <c r="A3385" s="15"/>
      <c r="R3385" s="15"/>
    </row>
    <row r="3386" spans="1:18" x14ac:dyDescent="0.25">
      <c r="A3386" s="15"/>
      <c r="R3386" s="15"/>
    </row>
    <row r="3387" spans="1:18" x14ac:dyDescent="0.25">
      <c r="A3387" s="15"/>
      <c r="R3387" s="15"/>
    </row>
    <row r="3388" spans="1:18" x14ac:dyDescent="0.25">
      <c r="A3388" s="15"/>
      <c r="R3388" s="15"/>
    </row>
    <row r="3389" spans="1:18" x14ac:dyDescent="0.25">
      <c r="A3389" s="15"/>
      <c r="R3389" s="15"/>
    </row>
    <row r="3390" spans="1:18" x14ac:dyDescent="0.25">
      <c r="A3390" s="15"/>
      <c r="R3390" s="15"/>
    </row>
    <row r="3391" spans="1:18" x14ac:dyDescent="0.25">
      <c r="A3391" s="15"/>
      <c r="R3391" s="15"/>
    </row>
    <row r="3392" spans="1:18" x14ac:dyDescent="0.25">
      <c r="A3392" s="15"/>
      <c r="R3392" s="15"/>
    </row>
    <row r="3393" spans="1:18" x14ac:dyDescent="0.25">
      <c r="A3393" s="15"/>
      <c r="R3393" s="15"/>
    </row>
    <row r="3394" spans="1:18" x14ac:dyDescent="0.25">
      <c r="A3394" s="15"/>
      <c r="R3394" s="15"/>
    </row>
    <row r="3395" spans="1:18" x14ac:dyDescent="0.25">
      <c r="A3395" s="15"/>
      <c r="R3395" s="15"/>
    </row>
    <row r="3396" spans="1:18" x14ac:dyDescent="0.25">
      <c r="A3396" s="15"/>
      <c r="R3396" s="15"/>
    </row>
    <row r="3397" spans="1:18" x14ac:dyDescent="0.25">
      <c r="A3397" s="15"/>
      <c r="R3397" s="15"/>
    </row>
    <row r="3398" spans="1:18" x14ac:dyDescent="0.25">
      <c r="A3398" s="15"/>
      <c r="R3398" s="15"/>
    </row>
    <row r="3399" spans="1:18" x14ac:dyDescent="0.25">
      <c r="A3399" s="15"/>
      <c r="R3399" s="15"/>
    </row>
    <row r="3400" spans="1:18" x14ac:dyDescent="0.25">
      <c r="A3400" s="15"/>
      <c r="R3400" s="15"/>
    </row>
    <row r="3401" spans="1:18" x14ac:dyDescent="0.25">
      <c r="A3401" s="15"/>
      <c r="R3401" s="15"/>
    </row>
    <row r="3402" spans="1:18" x14ac:dyDescent="0.25">
      <c r="A3402" s="15"/>
      <c r="R3402" s="15"/>
    </row>
    <row r="3403" spans="1:18" x14ac:dyDescent="0.25">
      <c r="A3403" s="15"/>
      <c r="R3403" s="15"/>
    </row>
    <row r="3404" spans="1:18" x14ac:dyDescent="0.25">
      <c r="A3404" s="15"/>
      <c r="R3404" s="15"/>
    </row>
    <row r="3405" spans="1:18" x14ac:dyDescent="0.25">
      <c r="A3405" s="15"/>
      <c r="R3405" s="15"/>
    </row>
    <row r="3406" spans="1:18" x14ac:dyDescent="0.25">
      <c r="A3406" s="15"/>
      <c r="R3406" s="15"/>
    </row>
    <row r="3407" spans="1:18" x14ac:dyDescent="0.25">
      <c r="A3407" s="15"/>
      <c r="R3407" s="15"/>
    </row>
    <row r="3408" spans="1:18" x14ac:dyDescent="0.25">
      <c r="A3408" s="15"/>
      <c r="R3408" s="15"/>
    </row>
    <row r="3409" spans="1:18" x14ac:dyDescent="0.25">
      <c r="A3409" s="15"/>
      <c r="R3409" s="15"/>
    </row>
    <row r="3410" spans="1:18" x14ac:dyDescent="0.25">
      <c r="A3410" s="15"/>
      <c r="R3410" s="15"/>
    </row>
    <row r="3411" spans="1:18" x14ac:dyDescent="0.25">
      <c r="A3411" s="15"/>
      <c r="R3411" s="15"/>
    </row>
    <row r="3412" spans="1:18" x14ac:dyDescent="0.25">
      <c r="A3412" s="15"/>
      <c r="R3412" s="15"/>
    </row>
    <row r="3413" spans="1:18" x14ac:dyDescent="0.25">
      <c r="A3413" s="15"/>
      <c r="R3413" s="15"/>
    </row>
    <row r="3414" spans="1:18" x14ac:dyDescent="0.25">
      <c r="A3414" s="15"/>
      <c r="R3414" s="15"/>
    </row>
    <row r="3415" spans="1:18" x14ac:dyDescent="0.25">
      <c r="A3415" s="15"/>
      <c r="R3415" s="15"/>
    </row>
    <row r="3416" spans="1:18" x14ac:dyDescent="0.25">
      <c r="A3416" s="15"/>
      <c r="R3416" s="15"/>
    </row>
    <row r="3417" spans="1:18" x14ac:dyDescent="0.25">
      <c r="A3417" s="15"/>
      <c r="R3417" s="15"/>
    </row>
    <row r="3418" spans="1:18" x14ac:dyDescent="0.25">
      <c r="A3418" s="15"/>
      <c r="R3418" s="15"/>
    </row>
    <row r="3419" spans="1:18" x14ac:dyDescent="0.25">
      <c r="A3419" s="15"/>
      <c r="R3419" s="15"/>
    </row>
    <row r="3420" spans="1:18" x14ac:dyDescent="0.25">
      <c r="A3420" s="15"/>
      <c r="R3420" s="15"/>
    </row>
    <row r="3421" spans="1:18" x14ac:dyDescent="0.25">
      <c r="A3421" s="15"/>
      <c r="R3421" s="15"/>
    </row>
    <row r="3422" spans="1:18" x14ac:dyDescent="0.25">
      <c r="A3422" s="15"/>
      <c r="R3422" s="15"/>
    </row>
    <row r="3423" spans="1:18" x14ac:dyDescent="0.25">
      <c r="A3423" s="15"/>
      <c r="R3423" s="15"/>
    </row>
    <row r="3424" spans="1:18" x14ac:dyDescent="0.25">
      <c r="A3424" s="15"/>
      <c r="R3424" s="15"/>
    </row>
    <row r="3425" spans="1:18" x14ac:dyDescent="0.25">
      <c r="A3425" s="15"/>
      <c r="R3425" s="15"/>
    </row>
    <row r="3426" spans="1:18" x14ac:dyDescent="0.25">
      <c r="A3426" s="15"/>
      <c r="R3426" s="15"/>
    </row>
    <row r="3427" spans="1:18" x14ac:dyDescent="0.25">
      <c r="A3427" s="15"/>
      <c r="R3427" s="15"/>
    </row>
    <row r="3428" spans="1:18" x14ac:dyDescent="0.25">
      <c r="A3428" s="15"/>
      <c r="R3428" s="15"/>
    </row>
    <row r="3429" spans="1:18" x14ac:dyDescent="0.25">
      <c r="A3429" s="15"/>
      <c r="R3429" s="15"/>
    </row>
    <row r="3430" spans="1:18" x14ac:dyDescent="0.25">
      <c r="A3430" s="15"/>
      <c r="R3430" s="15"/>
    </row>
    <row r="3431" spans="1:18" x14ac:dyDescent="0.25">
      <c r="A3431" s="15"/>
      <c r="R3431" s="15"/>
    </row>
    <row r="3432" spans="1:18" x14ac:dyDescent="0.25">
      <c r="A3432" s="15"/>
      <c r="R3432" s="15"/>
    </row>
    <row r="3433" spans="1:18" x14ac:dyDescent="0.25">
      <c r="A3433" s="15"/>
      <c r="R3433" s="15"/>
    </row>
    <row r="3434" spans="1:18" x14ac:dyDescent="0.25">
      <c r="A3434" s="15"/>
      <c r="R3434" s="15"/>
    </row>
    <row r="3435" spans="1:18" x14ac:dyDescent="0.25">
      <c r="A3435" s="15"/>
      <c r="R3435" s="15"/>
    </row>
    <row r="3436" spans="1:18" x14ac:dyDescent="0.25">
      <c r="A3436" s="15"/>
      <c r="R3436" s="15"/>
    </row>
    <row r="3437" spans="1:18" x14ac:dyDescent="0.25">
      <c r="A3437" s="15"/>
      <c r="R3437" s="15"/>
    </row>
    <row r="3438" spans="1:18" x14ac:dyDescent="0.25">
      <c r="A3438" s="15"/>
      <c r="R3438" s="15"/>
    </row>
    <row r="3439" spans="1:18" x14ac:dyDescent="0.25">
      <c r="A3439" s="15"/>
      <c r="R3439" s="15"/>
    </row>
    <row r="3440" spans="1:18" x14ac:dyDescent="0.25">
      <c r="A3440" s="15"/>
      <c r="R3440" s="15"/>
    </row>
    <row r="3441" spans="1:18" x14ac:dyDescent="0.25">
      <c r="A3441" s="15"/>
      <c r="R3441" s="15"/>
    </row>
    <row r="3442" spans="1:18" x14ac:dyDescent="0.25">
      <c r="A3442" s="15"/>
      <c r="R3442" s="15"/>
    </row>
    <row r="3443" spans="1:18" x14ac:dyDescent="0.25">
      <c r="A3443" s="15"/>
      <c r="R3443" s="15"/>
    </row>
    <row r="3444" spans="1:18" x14ac:dyDescent="0.25">
      <c r="A3444" s="15"/>
      <c r="R3444" s="15"/>
    </row>
    <row r="3445" spans="1:18" x14ac:dyDescent="0.25">
      <c r="A3445" s="15"/>
      <c r="R3445" s="15"/>
    </row>
    <row r="3446" spans="1:18" x14ac:dyDescent="0.25">
      <c r="A3446" s="15"/>
      <c r="R3446" s="15"/>
    </row>
    <row r="3447" spans="1:18" x14ac:dyDescent="0.25">
      <c r="A3447" s="15"/>
      <c r="R3447" s="15"/>
    </row>
    <row r="3448" spans="1:18" x14ac:dyDescent="0.25">
      <c r="A3448" s="15"/>
      <c r="R3448" s="15"/>
    </row>
    <row r="3449" spans="1:18" x14ac:dyDescent="0.25">
      <c r="A3449" s="15"/>
      <c r="R3449" s="15"/>
    </row>
    <row r="3450" spans="1:18" x14ac:dyDescent="0.25">
      <c r="A3450" s="15"/>
      <c r="R3450" s="15"/>
    </row>
    <row r="3451" spans="1:18" x14ac:dyDescent="0.25">
      <c r="A3451" s="15"/>
      <c r="R3451" s="15"/>
    </row>
    <row r="3452" spans="1:18" x14ac:dyDescent="0.25">
      <c r="A3452" s="15"/>
      <c r="R3452" s="15"/>
    </row>
    <row r="3453" spans="1:18" x14ac:dyDescent="0.25">
      <c r="A3453" s="15"/>
      <c r="R3453" s="15"/>
    </row>
    <row r="3454" spans="1:18" x14ac:dyDescent="0.25">
      <c r="A3454" s="15"/>
      <c r="R3454" s="15"/>
    </row>
    <row r="3455" spans="1:18" x14ac:dyDescent="0.25">
      <c r="A3455" s="15"/>
      <c r="R3455" s="15"/>
    </row>
    <row r="3456" spans="1:18" x14ac:dyDescent="0.25">
      <c r="A3456" s="15"/>
      <c r="R3456" s="15"/>
    </row>
    <row r="3457" spans="1:18" x14ac:dyDescent="0.25">
      <c r="A3457" s="15"/>
      <c r="R3457" s="15"/>
    </row>
    <row r="3458" spans="1:18" x14ac:dyDescent="0.25">
      <c r="A3458" s="15"/>
      <c r="R3458" s="15"/>
    </row>
    <row r="3459" spans="1:18" x14ac:dyDescent="0.25">
      <c r="A3459" s="15"/>
      <c r="R3459" s="15"/>
    </row>
    <row r="3460" spans="1:18" x14ac:dyDescent="0.25">
      <c r="A3460" s="15"/>
      <c r="R3460" s="15"/>
    </row>
    <row r="3461" spans="1:18" x14ac:dyDescent="0.25">
      <c r="A3461" s="15"/>
      <c r="R3461" s="15"/>
    </row>
    <row r="3462" spans="1:18" x14ac:dyDescent="0.25">
      <c r="A3462" s="15"/>
      <c r="R3462" s="15"/>
    </row>
    <row r="3463" spans="1:18" x14ac:dyDescent="0.25">
      <c r="A3463" s="15"/>
      <c r="R3463" s="15"/>
    </row>
    <row r="3464" spans="1:18" x14ac:dyDescent="0.25">
      <c r="A3464" s="15"/>
      <c r="R3464" s="15"/>
    </row>
    <row r="3465" spans="1:18" x14ac:dyDescent="0.25">
      <c r="A3465" s="15"/>
      <c r="R3465" s="15"/>
    </row>
    <row r="3466" spans="1:18" x14ac:dyDescent="0.25">
      <c r="A3466" s="15"/>
      <c r="R3466" s="15"/>
    </row>
    <row r="3467" spans="1:18" x14ac:dyDescent="0.25">
      <c r="A3467" s="15"/>
      <c r="R3467" s="15"/>
    </row>
    <row r="3468" spans="1:18" x14ac:dyDescent="0.25">
      <c r="A3468" s="15"/>
      <c r="R3468" s="15"/>
    </row>
    <row r="3469" spans="1:18" x14ac:dyDescent="0.25">
      <c r="A3469" s="15"/>
      <c r="R3469" s="15"/>
    </row>
    <row r="3470" spans="1:18" x14ac:dyDescent="0.25">
      <c r="A3470" s="15"/>
      <c r="R3470" s="15"/>
    </row>
    <row r="3471" spans="1:18" x14ac:dyDescent="0.25">
      <c r="A3471" s="15"/>
      <c r="R3471" s="15"/>
    </row>
    <row r="3472" spans="1:18" x14ac:dyDescent="0.25">
      <c r="A3472" s="15"/>
      <c r="R3472" s="15"/>
    </row>
    <row r="3473" spans="1:18" x14ac:dyDescent="0.25">
      <c r="A3473" s="15"/>
      <c r="R3473" s="15"/>
    </row>
    <row r="3474" spans="1:18" x14ac:dyDescent="0.25">
      <c r="A3474" s="15"/>
      <c r="R3474" s="15"/>
    </row>
    <row r="3475" spans="1:18" x14ac:dyDescent="0.25">
      <c r="A3475" s="15"/>
      <c r="R3475" s="15"/>
    </row>
    <row r="3476" spans="1:18" x14ac:dyDescent="0.25">
      <c r="A3476" s="15"/>
      <c r="R3476" s="15"/>
    </row>
    <row r="3477" spans="1:18" x14ac:dyDescent="0.25">
      <c r="A3477" s="15"/>
      <c r="R3477" s="15"/>
    </row>
    <row r="3478" spans="1:18" x14ac:dyDescent="0.25">
      <c r="A3478" s="15"/>
      <c r="R3478" s="15"/>
    </row>
    <row r="3479" spans="1:18" x14ac:dyDescent="0.25">
      <c r="A3479" s="15"/>
      <c r="R3479" s="15"/>
    </row>
    <row r="3480" spans="1:18" x14ac:dyDescent="0.25">
      <c r="A3480" s="15"/>
      <c r="R3480" s="15"/>
    </row>
    <row r="3481" spans="1:18" x14ac:dyDescent="0.25">
      <c r="A3481" s="15"/>
      <c r="R3481" s="15"/>
    </row>
    <row r="3482" spans="1:18" x14ac:dyDescent="0.25">
      <c r="A3482" s="15"/>
      <c r="R3482" s="15"/>
    </row>
    <row r="3483" spans="1:18" x14ac:dyDescent="0.25">
      <c r="A3483" s="15"/>
      <c r="R3483" s="15"/>
    </row>
    <row r="3484" spans="1:18" x14ac:dyDescent="0.25">
      <c r="A3484" s="15"/>
      <c r="R3484" s="15"/>
    </row>
    <row r="3485" spans="1:18" x14ac:dyDescent="0.25">
      <c r="A3485" s="15"/>
      <c r="R3485" s="15"/>
    </row>
    <row r="3486" spans="1:18" x14ac:dyDescent="0.25">
      <c r="A3486" s="15"/>
      <c r="R3486" s="15"/>
    </row>
    <row r="3487" spans="1:18" x14ac:dyDescent="0.25">
      <c r="A3487" s="15"/>
      <c r="R3487" s="15"/>
    </row>
    <row r="3488" spans="1:18" x14ac:dyDescent="0.25">
      <c r="A3488" s="15"/>
      <c r="R3488" s="15"/>
    </row>
    <row r="3489" spans="1:18" x14ac:dyDescent="0.25">
      <c r="A3489" s="15"/>
      <c r="R3489" s="15"/>
    </row>
    <row r="3490" spans="1:18" x14ac:dyDescent="0.25">
      <c r="A3490" s="15"/>
      <c r="R3490" s="15"/>
    </row>
    <row r="3491" spans="1:18" x14ac:dyDescent="0.25">
      <c r="A3491" s="15"/>
      <c r="R3491" s="15"/>
    </row>
    <row r="3492" spans="1:18" x14ac:dyDescent="0.25">
      <c r="A3492" s="15"/>
      <c r="R3492" s="15"/>
    </row>
    <row r="3493" spans="1:18" x14ac:dyDescent="0.25">
      <c r="A3493" s="15"/>
      <c r="R3493" s="15"/>
    </row>
    <row r="3494" spans="1:18" x14ac:dyDescent="0.25">
      <c r="A3494" s="15"/>
      <c r="R3494" s="15"/>
    </row>
    <row r="3495" spans="1:18" x14ac:dyDescent="0.25">
      <c r="A3495" s="15"/>
      <c r="R3495" s="15"/>
    </row>
    <row r="3496" spans="1:18" x14ac:dyDescent="0.25">
      <c r="A3496" s="15"/>
      <c r="R3496" s="15"/>
    </row>
    <row r="3497" spans="1:18" x14ac:dyDescent="0.25">
      <c r="A3497" s="15"/>
      <c r="R3497" s="15"/>
    </row>
    <row r="3498" spans="1:18" x14ac:dyDescent="0.25">
      <c r="A3498" s="15"/>
      <c r="R3498" s="15"/>
    </row>
    <row r="3499" spans="1:18" x14ac:dyDescent="0.25">
      <c r="A3499" s="15"/>
      <c r="R3499" s="15"/>
    </row>
    <row r="3500" spans="1:18" x14ac:dyDescent="0.25">
      <c r="A3500" s="15"/>
      <c r="R3500" s="15"/>
    </row>
    <row r="3501" spans="1:18" x14ac:dyDescent="0.25">
      <c r="A3501" s="15"/>
      <c r="R3501" s="15"/>
    </row>
    <row r="3502" spans="1:18" x14ac:dyDescent="0.25">
      <c r="A3502" s="15"/>
      <c r="R3502" s="15"/>
    </row>
    <row r="3503" spans="1:18" x14ac:dyDescent="0.25">
      <c r="A3503" s="15"/>
      <c r="R3503" s="15"/>
    </row>
    <row r="3504" spans="1:18" x14ac:dyDescent="0.25">
      <c r="A3504" s="15"/>
      <c r="R3504" s="15"/>
    </row>
    <row r="3505" spans="1:18" x14ac:dyDescent="0.25">
      <c r="A3505" s="15"/>
      <c r="R3505" s="15"/>
    </row>
    <row r="3506" spans="1:18" x14ac:dyDescent="0.25">
      <c r="A3506" s="15"/>
      <c r="R3506" s="15"/>
    </row>
    <row r="3507" spans="1:18" x14ac:dyDescent="0.25">
      <c r="A3507" s="15"/>
      <c r="R3507" s="15"/>
    </row>
    <row r="3508" spans="1:18" x14ac:dyDescent="0.25">
      <c r="A3508" s="15"/>
      <c r="R3508" s="15"/>
    </row>
    <row r="3509" spans="1:18" x14ac:dyDescent="0.25">
      <c r="A3509" s="15"/>
      <c r="R3509" s="15"/>
    </row>
    <row r="3510" spans="1:18" x14ac:dyDescent="0.25">
      <c r="A3510" s="15"/>
      <c r="R3510" s="15"/>
    </row>
    <row r="3511" spans="1:18" x14ac:dyDescent="0.25">
      <c r="A3511" s="15"/>
      <c r="R3511" s="15"/>
    </row>
    <row r="3512" spans="1:18" x14ac:dyDescent="0.25">
      <c r="A3512" s="15"/>
      <c r="R3512" s="15"/>
    </row>
    <row r="3513" spans="1:18" x14ac:dyDescent="0.25">
      <c r="A3513" s="15"/>
      <c r="R3513" s="15"/>
    </row>
    <row r="3514" spans="1:18" x14ac:dyDescent="0.25">
      <c r="A3514" s="15"/>
      <c r="R3514" s="15"/>
    </row>
    <row r="3515" spans="1:18" x14ac:dyDescent="0.25">
      <c r="A3515" s="15"/>
      <c r="R3515" s="15"/>
    </row>
    <row r="3516" spans="1:18" x14ac:dyDescent="0.25">
      <c r="A3516" s="15"/>
      <c r="R3516" s="15"/>
    </row>
    <row r="3517" spans="1:18" x14ac:dyDescent="0.25">
      <c r="A3517" s="15"/>
      <c r="R3517" s="15"/>
    </row>
    <row r="3518" spans="1:18" x14ac:dyDescent="0.25">
      <c r="A3518" s="15"/>
      <c r="R3518" s="15"/>
    </row>
    <row r="3519" spans="1:18" x14ac:dyDescent="0.25">
      <c r="A3519" s="15"/>
      <c r="R3519" s="15"/>
    </row>
    <row r="3520" spans="1:18" x14ac:dyDescent="0.25">
      <c r="A3520" s="15"/>
      <c r="R3520" s="15"/>
    </row>
    <row r="3521" spans="1:18" x14ac:dyDescent="0.25">
      <c r="A3521" s="15"/>
      <c r="R3521" s="15"/>
    </row>
    <row r="3522" spans="1:18" x14ac:dyDescent="0.25">
      <c r="A3522" s="15"/>
      <c r="R3522" s="15"/>
    </row>
    <row r="3523" spans="1:18" x14ac:dyDescent="0.25">
      <c r="A3523" s="15"/>
      <c r="R3523" s="15"/>
    </row>
    <row r="3524" spans="1:18" x14ac:dyDescent="0.25">
      <c r="A3524" s="15"/>
      <c r="R3524" s="15"/>
    </row>
    <row r="3525" spans="1:18" x14ac:dyDescent="0.25">
      <c r="A3525" s="15"/>
      <c r="R3525" s="15"/>
    </row>
    <row r="3526" spans="1:18" x14ac:dyDescent="0.25">
      <c r="A3526" s="15"/>
      <c r="R3526" s="15"/>
    </row>
    <row r="3527" spans="1:18" x14ac:dyDescent="0.25">
      <c r="A3527" s="15"/>
      <c r="R3527" s="15"/>
    </row>
    <row r="3528" spans="1:18" x14ac:dyDescent="0.25">
      <c r="A3528" s="15"/>
      <c r="R3528" s="15"/>
    </row>
    <row r="3529" spans="1:18" x14ac:dyDescent="0.25">
      <c r="A3529" s="15"/>
      <c r="R3529" s="15"/>
    </row>
    <row r="3530" spans="1:18" x14ac:dyDescent="0.25">
      <c r="A3530" s="15"/>
      <c r="R3530" s="15"/>
    </row>
    <row r="3531" spans="1:18" x14ac:dyDescent="0.25">
      <c r="A3531" s="15"/>
      <c r="R3531" s="15"/>
    </row>
    <row r="3532" spans="1:18" x14ac:dyDescent="0.25">
      <c r="A3532" s="15"/>
      <c r="R3532" s="15"/>
    </row>
    <row r="3533" spans="1:18" x14ac:dyDescent="0.25">
      <c r="A3533" s="15"/>
      <c r="R3533" s="15"/>
    </row>
    <row r="3534" spans="1:18" x14ac:dyDescent="0.25">
      <c r="A3534" s="15"/>
      <c r="R3534" s="15"/>
    </row>
    <row r="3535" spans="1:18" x14ac:dyDescent="0.25">
      <c r="A3535" s="15"/>
      <c r="R3535" s="15"/>
    </row>
    <row r="3536" spans="1:18" x14ac:dyDescent="0.25">
      <c r="A3536" s="15"/>
      <c r="R3536" s="15"/>
    </row>
    <row r="3537" spans="1:18" x14ac:dyDescent="0.25">
      <c r="A3537" s="15"/>
      <c r="R3537" s="15"/>
    </row>
    <row r="3538" spans="1:18" x14ac:dyDescent="0.25">
      <c r="A3538" s="15"/>
      <c r="R3538" s="15"/>
    </row>
    <row r="3539" spans="1:18" x14ac:dyDescent="0.25">
      <c r="A3539" s="15"/>
      <c r="R3539" s="15"/>
    </row>
    <row r="3540" spans="1:18" x14ac:dyDescent="0.25">
      <c r="A3540" s="15"/>
      <c r="R3540" s="15"/>
    </row>
    <row r="3541" spans="1:18" x14ac:dyDescent="0.25">
      <c r="A3541" s="15"/>
      <c r="R3541" s="15"/>
    </row>
    <row r="3542" spans="1:18" x14ac:dyDescent="0.25">
      <c r="A3542" s="15"/>
      <c r="R3542" s="15"/>
    </row>
    <row r="3543" spans="1:18" x14ac:dyDescent="0.25">
      <c r="A3543" s="15"/>
      <c r="R3543" s="15"/>
    </row>
    <row r="3544" spans="1:18" x14ac:dyDescent="0.25">
      <c r="A3544" s="15"/>
      <c r="R3544" s="15"/>
    </row>
    <row r="3545" spans="1:18" x14ac:dyDescent="0.25">
      <c r="A3545" s="15"/>
      <c r="R3545" s="15"/>
    </row>
    <row r="3546" spans="1:18" x14ac:dyDescent="0.25">
      <c r="A3546" s="15"/>
      <c r="R3546" s="15"/>
    </row>
    <row r="3547" spans="1:18" x14ac:dyDescent="0.25">
      <c r="A3547" s="15"/>
      <c r="R3547" s="15"/>
    </row>
    <row r="3548" spans="1:18" x14ac:dyDescent="0.25">
      <c r="A3548" s="15"/>
      <c r="R3548" s="15"/>
    </row>
    <row r="3549" spans="1:18" x14ac:dyDescent="0.25">
      <c r="A3549" s="15"/>
      <c r="R3549" s="15"/>
    </row>
    <row r="3550" spans="1:18" x14ac:dyDescent="0.25">
      <c r="A3550" s="15"/>
      <c r="R3550" s="15"/>
    </row>
    <row r="3551" spans="1:18" x14ac:dyDescent="0.25">
      <c r="A3551" s="15"/>
      <c r="R3551" s="15"/>
    </row>
    <row r="3552" spans="1:18" x14ac:dyDescent="0.25">
      <c r="A3552" s="15"/>
      <c r="R3552" s="15"/>
    </row>
    <row r="3553" spans="1:18" x14ac:dyDescent="0.25">
      <c r="A3553" s="15"/>
      <c r="R3553" s="15"/>
    </row>
    <row r="3554" spans="1:18" x14ac:dyDescent="0.25">
      <c r="A3554" s="15"/>
      <c r="R3554" s="15"/>
    </row>
    <row r="3555" spans="1:18" x14ac:dyDescent="0.25">
      <c r="A3555" s="15"/>
      <c r="R3555" s="15"/>
    </row>
    <row r="3556" spans="1:18" x14ac:dyDescent="0.25">
      <c r="A3556" s="15"/>
      <c r="R3556" s="15"/>
    </row>
    <row r="3557" spans="1:18" x14ac:dyDescent="0.25">
      <c r="A3557" s="15"/>
      <c r="R3557" s="15"/>
    </row>
    <row r="3558" spans="1:18" x14ac:dyDescent="0.25">
      <c r="A3558" s="15"/>
      <c r="R3558" s="15"/>
    </row>
    <row r="3559" spans="1:18" x14ac:dyDescent="0.25">
      <c r="A3559" s="15"/>
      <c r="R3559" s="15"/>
    </row>
    <row r="3560" spans="1:18" x14ac:dyDescent="0.25">
      <c r="A3560" s="15"/>
      <c r="R3560" s="15"/>
    </row>
    <row r="3561" spans="1:18" x14ac:dyDescent="0.25">
      <c r="A3561" s="15"/>
      <c r="R3561" s="15"/>
    </row>
    <row r="3562" spans="1:18" x14ac:dyDescent="0.25">
      <c r="A3562" s="15"/>
      <c r="R3562" s="15"/>
    </row>
    <row r="3563" spans="1:18" x14ac:dyDescent="0.25">
      <c r="A3563" s="15"/>
      <c r="R3563" s="15"/>
    </row>
    <row r="3564" spans="1:18" x14ac:dyDescent="0.25">
      <c r="A3564" s="15"/>
      <c r="R3564" s="15"/>
    </row>
    <row r="3565" spans="1:18" x14ac:dyDescent="0.25">
      <c r="A3565" s="15"/>
      <c r="R3565" s="15"/>
    </row>
    <row r="3566" spans="1:18" x14ac:dyDescent="0.25">
      <c r="A3566" s="15"/>
      <c r="R3566" s="15"/>
    </row>
    <row r="3567" spans="1:18" x14ac:dyDescent="0.25">
      <c r="A3567" s="15"/>
      <c r="R3567" s="15"/>
    </row>
    <row r="3568" spans="1:18" x14ac:dyDescent="0.25">
      <c r="A3568" s="15"/>
      <c r="R3568" s="15"/>
    </row>
    <row r="3569" spans="1:18" x14ac:dyDescent="0.25">
      <c r="A3569" s="15"/>
      <c r="R3569" s="15"/>
    </row>
    <row r="3570" spans="1:18" x14ac:dyDescent="0.25">
      <c r="A3570" s="15"/>
      <c r="R3570" s="15"/>
    </row>
    <row r="3571" spans="1:18" x14ac:dyDescent="0.25">
      <c r="A3571" s="15"/>
      <c r="R3571" s="15"/>
    </row>
    <row r="3572" spans="1:18" x14ac:dyDescent="0.25">
      <c r="A3572" s="15"/>
      <c r="R3572" s="15"/>
    </row>
    <row r="3573" spans="1:18" x14ac:dyDescent="0.25">
      <c r="A3573" s="15"/>
      <c r="R3573" s="15"/>
    </row>
    <row r="3574" spans="1:18" x14ac:dyDescent="0.25">
      <c r="A3574" s="15"/>
      <c r="R3574" s="15"/>
    </row>
    <row r="3575" spans="1:18" x14ac:dyDescent="0.25">
      <c r="A3575" s="15"/>
      <c r="R3575" s="15"/>
    </row>
    <row r="3576" spans="1:18" x14ac:dyDescent="0.25">
      <c r="A3576" s="15"/>
      <c r="R3576" s="15"/>
    </row>
    <row r="3577" spans="1:18" x14ac:dyDescent="0.25">
      <c r="A3577" s="15"/>
      <c r="R3577" s="15"/>
    </row>
    <row r="3578" spans="1:18" x14ac:dyDescent="0.25">
      <c r="A3578" s="15"/>
      <c r="R3578" s="15"/>
    </row>
    <row r="3579" spans="1:18" x14ac:dyDescent="0.25">
      <c r="A3579" s="15"/>
      <c r="R3579" s="15"/>
    </row>
    <row r="3580" spans="1:18" x14ac:dyDescent="0.25">
      <c r="A3580" s="15"/>
      <c r="R3580" s="15"/>
    </row>
    <row r="3581" spans="1:18" x14ac:dyDescent="0.25">
      <c r="A3581" s="15"/>
      <c r="R3581" s="15"/>
    </row>
    <row r="3582" spans="1:18" x14ac:dyDescent="0.25">
      <c r="A3582" s="15"/>
      <c r="R3582" s="15"/>
    </row>
    <row r="3583" spans="1:18" x14ac:dyDescent="0.25">
      <c r="A3583" s="15"/>
      <c r="R3583" s="15"/>
    </row>
    <row r="3584" spans="1:18" x14ac:dyDescent="0.25">
      <c r="A3584" s="15"/>
      <c r="R3584" s="15"/>
    </row>
    <row r="3585" spans="1:18" x14ac:dyDescent="0.25">
      <c r="A3585" s="15"/>
      <c r="R3585" s="15"/>
    </row>
    <row r="3586" spans="1:18" x14ac:dyDescent="0.25">
      <c r="A3586" s="15"/>
      <c r="R3586" s="15"/>
    </row>
    <row r="3587" spans="1:18" x14ac:dyDescent="0.25">
      <c r="A3587" s="15"/>
      <c r="R3587" s="15"/>
    </row>
    <row r="3588" spans="1:18" x14ac:dyDescent="0.25">
      <c r="A3588" s="15"/>
      <c r="R3588" s="15"/>
    </row>
    <row r="3589" spans="1:18" x14ac:dyDescent="0.25">
      <c r="A3589" s="15"/>
      <c r="R3589" s="15"/>
    </row>
    <row r="3590" spans="1:18" x14ac:dyDescent="0.25">
      <c r="A3590" s="15"/>
      <c r="R3590" s="15"/>
    </row>
    <row r="3591" spans="1:18" x14ac:dyDescent="0.25">
      <c r="A3591" s="15"/>
      <c r="R3591" s="15"/>
    </row>
    <row r="3592" spans="1:18" x14ac:dyDescent="0.25">
      <c r="A3592" s="15"/>
      <c r="R3592" s="15"/>
    </row>
    <row r="3593" spans="1:18" x14ac:dyDescent="0.25">
      <c r="A3593" s="15"/>
      <c r="R3593" s="15"/>
    </row>
    <row r="3594" spans="1:18" x14ac:dyDescent="0.25">
      <c r="A3594" s="15"/>
      <c r="R3594" s="15"/>
    </row>
    <row r="3595" spans="1:18" x14ac:dyDescent="0.25">
      <c r="A3595" s="15"/>
      <c r="R3595" s="15"/>
    </row>
    <row r="3596" spans="1:18" x14ac:dyDescent="0.25">
      <c r="A3596" s="15"/>
      <c r="R3596" s="15"/>
    </row>
    <row r="3597" spans="1:18" x14ac:dyDescent="0.25">
      <c r="A3597" s="15"/>
      <c r="R3597" s="15"/>
    </row>
    <row r="3598" spans="1:18" x14ac:dyDescent="0.25">
      <c r="A3598" s="15"/>
      <c r="R3598" s="15"/>
    </row>
    <row r="3599" spans="1:18" x14ac:dyDescent="0.25">
      <c r="A3599" s="15"/>
      <c r="R3599" s="15"/>
    </row>
    <row r="3600" spans="1:18" x14ac:dyDescent="0.25">
      <c r="A3600" s="15"/>
      <c r="R3600" s="15"/>
    </row>
    <row r="3601" spans="1:18" x14ac:dyDescent="0.25">
      <c r="A3601" s="15"/>
      <c r="R3601" s="15"/>
    </row>
    <row r="3602" spans="1:18" x14ac:dyDescent="0.25">
      <c r="A3602" s="15"/>
      <c r="R3602" s="15"/>
    </row>
    <row r="3603" spans="1:18" x14ac:dyDescent="0.25">
      <c r="A3603" s="15"/>
      <c r="R3603" s="15"/>
    </row>
    <row r="3604" spans="1:18" x14ac:dyDescent="0.25">
      <c r="A3604" s="15"/>
      <c r="R3604" s="15"/>
    </row>
    <row r="3605" spans="1:18" x14ac:dyDescent="0.25">
      <c r="A3605" s="15"/>
      <c r="R3605" s="15"/>
    </row>
    <row r="3606" spans="1:18" x14ac:dyDescent="0.25">
      <c r="A3606" s="15"/>
      <c r="R3606" s="15"/>
    </row>
    <row r="3607" spans="1:18" x14ac:dyDescent="0.25">
      <c r="A3607" s="15"/>
      <c r="R3607" s="15"/>
    </row>
    <row r="3608" spans="1:18" x14ac:dyDescent="0.25">
      <c r="A3608" s="15"/>
      <c r="R3608" s="15"/>
    </row>
    <row r="3609" spans="1:18" x14ac:dyDescent="0.25">
      <c r="A3609" s="15"/>
      <c r="R3609" s="15"/>
    </row>
    <row r="3610" spans="1:18" x14ac:dyDescent="0.25">
      <c r="A3610" s="15"/>
      <c r="R3610" s="15"/>
    </row>
    <row r="3611" spans="1:18" x14ac:dyDescent="0.25">
      <c r="A3611" s="15"/>
      <c r="R3611" s="15"/>
    </row>
    <row r="3612" spans="1:18" x14ac:dyDescent="0.25">
      <c r="A3612" s="15"/>
      <c r="R3612" s="15"/>
    </row>
    <row r="3613" spans="1:18" x14ac:dyDescent="0.25">
      <c r="A3613" s="15"/>
      <c r="R3613" s="15"/>
    </row>
    <row r="3614" spans="1:18" x14ac:dyDescent="0.25">
      <c r="A3614" s="15"/>
      <c r="R3614" s="15"/>
    </row>
    <row r="3615" spans="1:18" x14ac:dyDescent="0.25">
      <c r="A3615" s="15"/>
      <c r="R3615" s="15"/>
    </row>
    <row r="3616" spans="1:18" x14ac:dyDescent="0.25">
      <c r="A3616" s="15"/>
      <c r="R3616" s="15"/>
    </row>
    <row r="3617" spans="1:18" x14ac:dyDescent="0.25">
      <c r="A3617" s="15"/>
      <c r="R3617" s="15"/>
    </row>
    <row r="3618" spans="1:18" x14ac:dyDescent="0.25">
      <c r="A3618" s="15"/>
      <c r="R3618" s="15"/>
    </row>
    <row r="3619" spans="1:18" x14ac:dyDescent="0.25">
      <c r="A3619" s="15"/>
      <c r="R3619" s="15"/>
    </row>
    <row r="3620" spans="1:18" x14ac:dyDescent="0.25">
      <c r="A3620" s="15"/>
      <c r="R3620" s="15"/>
    </row>
    <row r="3621" spans="1:18" x14ac:dyDescent="0.25">
      <c r="A3621" s="15"/>
      <c r="R3621" s="15"/>
    </row>
    <row r="3622" spans="1:18" x14ac:dyDescent="0.25">
      <c r="A3622" s="15"/>
      <c r="R3622" s="15"/>
    </row>
    <row r="3623" spans="1:18" x14ac:dyDescent="0.25">
      <c r="A3623" s="15"/>
      <c r="R3623" s="15"/>
    </row>
    <row r="3624" spans="1:18" x14ac:dyDescent="0.25">
      <c r="A3624" s="15"/>
      <c r="R3624" s="15"/>
    </row>
    <row r="3625" spans="1:18" x14ac:dyDescent="0.25">
      <c r="A3625" s="15"/>
      <c r="R3625" s="15"/>
    </row>
    <row r="3626" spans="1:18" x14ac:dyDescent="0.25">
      <c r="A3626" s="15"/>
      <c r="R3626" s="15"/>
    </row>
    <row r="3627" spans="1:18" x14ac:dyDescent="0.25">
      <c r="A3627" s="15"/>
      <c r="R3627" s="15"/>
    </row>
    <row r="3628" spans="1:18" x14ac:dyDescent="0.25">
      <c r="A3628" s="15"/>
      <c r="R3628" s="15"/>
    </row>
    <row r="3629" spans="1:18" x14ac:dyDescent="0.25">
      <c r="A3629" s="15"/>
      <c r="R3629" s="15"/>
    </row>
    <row r="3630" spans="1:18" x14ac:dyDescent="0.25">
      <c r="A3630" s="15"/>
      <c r="R3630" s="15"/>
    </row>
    <row r="3631" spans="1:18" x14ac:dyDescent="0.25">
      <c r="A3631" s="15"/>
      <c r="R3631" s="15"/>
    </row>
    <row r="3632" spans="1:18" x14ac:dyDescent="0.25">
      <c r="A3632" s="15"/>
      <c r="R3632" s="15"/>
    </row>
    <row r="3633" spans="1:18" x14ac:dyDescent="0.25">
      <c r="A3633" s="15"/>
      <c r="R3633" s="15"/>
    </row>
    <row r="3634" spans="1:18" x14ac:dyDescent="0.25">
      <c r="A3634" s="15"/>
      <c r="R3634" s="15"/>
    </row>
    <row r="3635" spans="1:18" x14ac:dyDescent="0.25">
      <c r="A3635" s="15"/>
      <c r="R3635" s="15"/>
    </row>
    <row r="3636" spans="1:18" x14ac:dyDescent="0.25">
      <c r="A3636" s="15"/>
      <c r="R3636" s="15"/>
    </row>
    <row r="3637" spans="1:18" x14ac:dyDescent="0.25">
      <c r="A3637" s="15"/>
      <c r="R3637" s="15"/>
    </row>
    <row r="3638" spans="1:18" x14ac:dyDescent="0.25">
      <c r="A3638" s="15"/>
      <c r="R3638" s="15"/>
    </row>
    <row r="3639" spans="1:18" x14ac:dyDescent="0.25">
      <c r="A3639" s="15"/>
      <c r="R3639" s="15"/>
    </row>
    <row r="3640" spans="1:18" x14ac:dyDescent="0.25">
      <c r="A3640" s="15"/>
      <c r="R3640" s="15"/>
    </row>
    <row r="3641" spans="1:18" x14ac:dyDescent="0.25">
      <c r="A3641" s="15"/>
      <c r="R3641" s="15"/>
    </row>
    <row r="3642" spans="1:18" x14ac:dyDescent="0.25">
      <c r="A3642" s="15"/>
      <c r="R3642" s="15"/>
    </row>
    <row r="3643" spans="1:18" x14ac:dyDescent="0.25">
      <c r="A3643" s="15"/>
      <c r="R3643" s="15"/>
    </row>
    <row r="3644" spans="1:18" x14ac:dyDescent="0.25">
      <c r="A3644" s="15"/>
      <c r="R3644" s="15"/>
    </row>
    <row r="3645" spans="1:18" x14ac:dyDescent="0.25">
      <c r="A3645" s="15"/>
      <c r="R3645" s="15"/>
    </row>
    <row r="3646" spans="1:18" x14ac:dyDescent="0.25">
      <c r="A3646" s="15"/>
      <c r="R3646" s="15"/>
    </row>
    <row r="3647" spans="1:18" x14ac:dyDescent="0.25">
      <c r="A3647" s="15"/>
      <c r="R3647" s="15"/>
    </row>
    <row r="3648" spans="1:18" x14ac:dyDescent="0.25">
      <c r="A3648" s="15"/>
      <c r="R3648" s="15"/>
    </row>
    <row r="3649" spans="1:18" x14ac:dyDescent="0.25">
      <c r="A3649" s="15"/>
      <c r="R3649" s="15"/>
    </row>
    <row r="3650" spans="1:18" x14ac:dyDescent="0.25">
      <c r="A3650" s="15"/>
      <c r="R3650" s="15"/>
    </row>
    <row r="3651" spans="1:18" x14ac:dyDescent="0.25">
      <c r="A3651" s="15"/>
      <c r="R3651" s="15"/>
    </row>
    <row r="3652" spans="1:18" x14ac:dyDescent="0.25">
      <c r="A3652" s="15"/>
      <c r="R3652" s="15"/>
    </row>
    <row r="3653" spans="1:18" x14ac:dyDescent="0.25">
      <c r="A3653" s="15"/>
      <c r="R3653" s="15"/>
    </row>
    <row r="3654" spans="1:18" x14ac:dyDescent="0.25">
      <c r="A3654" s="15"/>
      <c r="R3654" s="15"/>
    </row>
    <row r="3655" spans="1:18" x14ac:dyDescent="0.25">
      <c r="A3655" s="15"/>
      <c r="R3655" s="15"/>
    </row>
    <row r="3656" spans="1:18" x14ac:dyDescent="0.25">
      <c r="A3656" s="15"/>
      <c r="R3656" s="15"/>
    </row>
    <row r="3657" spans="1:18" x14ac:dyDescent="0.25">
      <c r="A3657" s="15"/>
      <c r="R3657" s="15"/>
    </row>
    <row r="3658" spans="1:18" x14ac:dyDescent="0.25">
      <c r="A3658" s="15"/>
      <c r="R3658" s="15"/>
    </row>
    <row r="3659" spans="1:18" x14ac:dyDescent="0.25">
      <c r="A3659" s="15"/>
      <c r="R3659" s="15"/>
    </row>
    <row r="3660" spans="1:18" x14ac:dyDescent="0.25">
      <c r="A3660" s="15"/>
      <c r="R3660" s="15"/>
    </row>
    <row r="3661" spans="1:18" x14ac:dyDescent="0.25">
      <c r="A3661" s="15"/>
      <c r="R3661" s="15"/>
    </row>
    <row r="3662" spans="1:18" x14ac:dyDescent="0.25">
      <c r="A3662" s="15"/>
      <c r="R3662" s="15"/>
    </row>
    <row r="3663" spans="1:18" x14ac:dyDescent="0.25">
      <c r="A3663" s="15"/>
      <c r="R3663" s="15"/>
    </row>
    <row r="3664" spans="1:18" x14ac:dyDescent="0.25">
      <c r="A3664" s="15"/>
      <c r="R3664" s="15"/>
    </row>
    <row r="3665" spans="1:18" x14ac:dyDescent="0.25">
      <c r="A3665" s="15"/>
      <c r="R3665" s="15"/>
    </row>
    <row r="3666" spans="1:18" x14ac:dyDescent="0.25">
      <c r="A3666" s="15"/>
      <c r="R3666" s="15"/>
    </row>
    <row r="3667" spans="1:18" x14ac:dyDescent="0.25">
      <c r="A3667" s="15"/>
      <c r="R3667" s="15"/>
    </row>
    <row r="3668" spans="1:18" x14ac:dyDescent="0.25">
      <c r="A3668" s="15"/>
      <c r="R3668" s="15"/>
    </row>
    <row r="3669" spans="1:18" x14ac:dyDescent="0.25">
      <c r="A3669" s="15"/>
      <c r="R3669" s="15"/>
    </row>
    <row r="3670" spans="1:18" x14ac:dyDescent="0.25">
      <c r="A3670" s="15"/>
      <c r="R3670" s="15"/>
    </row>
    <row r="3671" spans="1:18" x14ac:dyDescent="0.25">
      <c r="A3671" s="15"/>
      <c r="R3671" s="15"/>
    </row>
    <row r="3672" spans="1:18" x14ac:dyDescent="0.25">
      <c r="A3672" s="15"/>
      <c r="R3672" s="15"/>
    </row>
    <row r="3673" spans="1:18" x14ac:dyDescent="0.25">
      <c r="A3673" s="15"/>
      <c r="R3673" s="15"/>
    </row>
    <row r="3674" spans="1:18" x14ac:dyDescent="0.25">
      <c r="A3674" s="15"/>
      <c r="R3674" s="15"/>
    </row>
    <row r="3675" spans="1:18" x14ac:dyDescent="0.25">
      <c r="A3675" s="15"/>
      <c r="R3675" s="15"/>
    </row>
    <row r="3676" spans="1:18" x14ac:dyDescent="0.25">
      <c r="A3676" s="15"/>
      <c r="R3676" s="15"/>
    </row>
    <row r="3677" spans="1:18" x14ac:dyDescent="0.25">
      <c r="A3677" s="15"/>
      <c r="R3677" s="15"/>
    </row>
    <row r="3678" spans="1:18" x14ac:dyDescent="0.25">
      <c r="A3678" s="15"/>
      <c r="R3678" s="15"/>
    </row>
    <row r="3679" spans="1:18" x14ac:dyDescent="0.25">
      <c r="A3679" s="15"/>
      <c r="R3679" s="15"/>
    </row>
    <row r="3680" spans="1:18" x14ac:dyDescent="0.25">
      <c r="A3680" s="15"/>
      <c r="R3680" s="15"/>
    </row>
    <row r="3681" spans="1:18" x14ac:dyDescent="0.25">
      <c r="A3681" s="15"/>
      <c r="R3681" s="15"/>
    </row>
    <row r="3682" spans="1:18" x14ac:dyDescent="0.25">
      <c r="A3682" s="15"/>
      <c r="R3682" s="15"/>
    </row>
    <row r="3683" spans="1:18" x14ac:dyDescent="0.25">
      <c r="A3683" s="15"/>
      <c r="R3683" s="15"/>
    </row>
    <row r="3684" spans="1:18" x14ac:dyDescent="0.25">
      <c r="A3684" s="15"/>
      <c r="R3684" s="15"/>
    </row>
    <row r="3685" spans="1:18" x14ac:dyDescent="0.25">
      <c r="A3685" s="15"/>
      <c r="R3685" s="15"/>
    </row>
    <row r="3686" spans="1:18" x14ac:dyDescent="0.25">
      <c r="A3686" s="15"/>
      <c r="R3686" s="15"/>
    </row>
    <row r="3687" spans="1:18" x14ac:dyDescent="0.25">
      <c r="A3687" s="15"/>
      <c r="R3687" s="15"/>
    </row>
    <row r="3688" spans="1:18" x14ac:dyDescent="0.25">
      <c r="A3688" s="15"/>
      <c r="R3688" s="15"/>
    </row>
    <row r="3689" spans="1:18" x14ac:dyDescent="0.25">
      <c r="A3689" s="15"/>
      <c r="R3689" s="15"/>
    </row>
    <row r="3690" spans="1:18" x14ac:dyDescent="0.25">
      <c r="A3690" s="15"/>
      <c r="R3690" s="15"/>
    </row>
    <row r="3691" spans="1:18" x14ac:dyDescent="0.25">
      <c r="A3691" s="15"/>
      <c r="R3691" s="15"/>
    </row>
    <row r="3692" spans="1:18" x14ac:dyDescent="0.25">
      <c r="A3692" s="15"/>
      <c r="R3692" s="15"/>
    </row>
    <row r="3693" spans="1:18" x14ac:dyDescent="0.25">
      <c r="A3693" s="15"/>
      <c r="R3693" s="15"/>
    </row>
    <row r="3694" spans="1:18" x14ac:dyDescent="0.25">
      <c r="A3694" s="15"/>
      <c r="R3694" s="15"/>
    </row>
    <row r="3695" spans="1:18" x14ac:dyDescent="0.25">
      <c r="A3695" s="15"/>
      <c r="R3695" s="15"/>
    </row>
    <row r="3696" spans="1:18" x14ac:dyDescent="0.25">
      <c r="A3696" s="15"/>
      <c r="R3696" s="15"/>
    </row>
    <row r="3697" spans="1:18" x14ac:dyDescent="0.25">
      <c r="A3697" s="15"/>
      <c r="R3697" s="15"/>
    </row>
    <row r="3698" spans="1:18" x14ac:dyDescent="0.25">
      <c r="A3698" s="15"/>
      <c r="R3698" s="15"/>
    </row>
    <row r="3699" spans="1:18" x14ac:dyDescent="0.25">
      <c r="A3699" s="15"/>
      <c r="R3699" s="15"/>
    </row>
    <row r="3700" spans="1:18" x14ac:dyDescent="0.25">
      <c r="A3700" s="15"/>
      <c r="R3700" s="15"/>
    </row>
    <row r="3701" spans="1:18" x14ac:dyDescent="0.25">
      <c r="A3701" s="15"/>
      <c r="R3701" s="15"/>
    </row>
    <row r="3702" spans="1:18" x14ac:dyDescent="0.25">
      <c r="A3702" s="15"/>
      <c r="R3702" s="15"/>
    </row>
    <row r="3703" spans="1:18" x14ac:dyDescent="0.25">
      <c r="A3703" s="15"/>
      <c r="R3703" s="15"/>
    </row>
    <row r="3704" spans="1:18" x14ac:dyDescent="0.25">
      <c r="A3704" s="15"/>
      <c r="R3704" s="15"/>
    </row>
    <row r="3705" spans="1:18" x14ac:dyDescent="0.25">
      <c r="A3705" s="15"/>
      <c r="R3705" s="15"/>
    </row>
    <row r="3706" spans="1:18" x14ac:dyDescent="0.25">
      <c r="A3706" s="15"/>
      <c r="R3706" s="15"/>
    </row>
    <row r="3707" spans="1:18" x14ac:dyDescent="0.25">
      <c r="A3707" s="15"/>
      <c r="R3707" s="15"/>
    </row>
    <row r="3708" spans="1:18" x14ac:dyDescent="0.25">
      <c r="A3708" s="15"/>
      <c r="R3708" s="15"/>
    </row>
    <row r="3709" spans="1:18" x14ac:dyDescent="0.25">
      <c r="A3709" s="15"/>
      <c r="R3709" s="15"/>
    </row>
    <row r="3710" spans="1:18" x14ac:dyDescent="0.25">
      <c r="A3710" s="15"/>
      <c r="R3710" s="15"/>
    </row>
    <row r="3711" spans="1:18" x14ac:dyDescent="0.25">
      <c r="A3711" s="15"/>
      <c r="R3711" s="15"/>
    </row>
    <row r="3712" spans="1:18" x14ac:dyDescent="0.25">
      <c r="A3712" s="15"/>
      <c r="R3712" s="15"/>
    </row>
    <row r="3713" spans="1:18" x14ac:dyDescent="0.25">
      <c r="A3713" s="15"/>
      <c r="R3713" s="15"/>
    </row>
    <row r="3714" spans="1:18" x14ac:dyDescent="0.25">
      <c r="A3714" s="15"/>
      <c r="R3714" s="15"/>
    </row>
    <row r="3715" spans="1:18" x14ac:dyDescent="0.25">
      <c r="A3715" s="15"/>
      <c r="R3715" s="15"/>
    </row>
    <row r="3716" spans="1:18" x14ac:dyDescent="0.25">
      <c r="A3716" s="15"/>
      <c r="R3716" s="15"/>
    </row>
    <row r="3717" spans="1:18" x14ac:dyDescent="0.25">
      <c r="A3717" s="15"/>
      <c r="R3717" s="15"/>
    </row>
    <row r="3718" spans="1:18" x14ac:dyDescent="0.25">
      <c r="A3718" s="15"/>
      <c r="R3718" s="15"/>
    </row>
    <row r="3719" spans="1:18" x14ac:dyDescent="0.25">
      <c r="A3719" s="15"/>
      <c r="R3719" s="15"/>
    </row>
    <row r="3720" spans="1:18" x14ac:dyDescent="0.25">
      <c r="A3720" s="15"/>
      <c r="R3720" s="15"/>
    </row>
    <row r="3721" spans="1:18" x14ac:dyDescent="0.25">
      <c r="A3721" s="15"/>
      <c r="R3721" s="15"/>
    </row>
    <row r="3722" spans="1:18" x14ac:dyDescent="0.25">
      <c r="A3722" s="15"/>
      <c r="R3722" s="15"/>
    </row>
    <row r="3723" spans="1:18" x14ac:dyDescent="0.25">
      <c r="A3723" s="15"/>
      <c r="R3723" s="15"/>
    </row>
    <row r="3724" spans="1:18" x14ac:dyDescent="0.25">
      <c r="A3724" s="15"/>
      <c r="R3724" s="15"/>
    </row>
    <row r="3725" spans="1:18" x14ac:dyDescent="0.25">
      <c r="A3725" s="15"/>
      <c r="R3725" s="15"/>
    </row>
    <row r="3726" spans="1:18" x14ac:dyDescent="0.25">
      <c r="A3726" s="15"/>
      <c r="R3726" s="15"/>
    </row>
    <row r="3727" spans="1:18" x14ac:dyDescent="0.25">
      <c r="A3727" s="15"/>
      <c r="R3727" s="15"/>
    </row>
    <row r="3728" spans="1:18" x14ac:dyDescent="0.25">
      <c r="A3728" s="15"/>
      <c r="R3728" s="15"/>
    </row>
    <row r="3729" spans="1:18" x14ac:dyDescent="0.25">
      <c r="A3729" s="15"/>
      <c r="R3729" s="15"/>
    </row>
    <row r="3730" spans="1:18" x14ac:dyDescent="0.25">
      <c r="A3730" s="15"/>
      <c r="R3730" s="15"/>
    </row>
    <row r="3731" spans="1:18" x14ac:dyDescent="0.25">
      <c r="A3731" s="15"/>
      <c r="R3731" s="15"/>
    </row>
    <row r="3732" spans="1:18" x14ac:dyDescent="0.25">
      <c r="A3732" s="15"/>
      <c r="R3732" s="15"/>
    </row>
    <row r="3733" spans="1:18" x14ac:dyDescent="0.25">
      <c r="A3733" s="15"/>
      <c r="R3733" s="15"/>
    </row>
    <row r="3734" spans="1:18" x14ac:dyDescent="0.25">
      <c r="A3734" s="15"/>
      <c r="R3734" s="15"/>
    </row>
    <row r="3735" spans="1:18" x14ac:dyDescent="0.25">
      <c r="A3735" s="15"/>
      <c r="R3735" s="15"/>
    </row>
    <row r="3736" spans="1:18" x14ac:dyDescent="0.25">
      <c r="A3736" s="15"/>
      <c r="R3736" s="15"/>
    </row>
    <row r="3737" spans="1:18" x14ac:dyDescent="0.25">
      <c r="A3737" s="15"/>
      <c r="R3737" s="15"/>
    </row>
    <row r="3738" spans="1:18" x14ac:dyDescent="0.25">
      <c r="A3738" s="15"/>
      <c r="R3738" s="15"/>
    </row>
    <row r="3739" spans="1:18" x14ac:dyDescent="0.25">
      <c r="A3739" s="15"/>
      <c r="R3739" s="15"/>
    </row>
    <row r="3740" spans="1:18" x14ac:dyDescent="0.25">
      <c r="A3740" s="15"/>
      <c r="R3740" s="15"/>
    </row>
    <row r="3741" spans="1:18" x14ac:dyDescent="0.25">
      <c r="A3741" s="15"/>
      <c r="R3741" s="15"/>
    </row>
    <row r="3742" spans="1:18" x14ac:dyDescent="0.25">
      <c r="A3742" s="15"/>
      <c r="R3742" s="15"/>
    </row>
    <row r="3743" spans="1:18" x14ac:dyDescent="0.25">
      <c r="A3743" s="15"/>
      <c r="R3743" s="15"/>
    </row>
    <row r="3744" spans="1:18" x14ac:dyDescent="0.25">
      <c r="A3744" s="15"/>
      <c r="R3744" s="15"/>
    </row>
    <row r="3745" spans="1:18" x14ac:dyDescent="0.25">
      <c r="A3745" s="15"/>
      <c r="R3745" s="15"/>
    </row>
    <row r="3746" spans="1:18" x14ac:dyDescent="0.25">
      <c r="A3746" s="15"/>
      <c r="R3746" s="15"/>
    </row>
    <row r="3747" spans="1:18" x14ac:dyDescent="0.25">
      <c r="A3747" s="15"/>
      <c r="R3747" s="15"/>
    </row>
    <row r="3748" spans="1:18" x14ac:dyDescent="0.25">
      <c r="A3748" s="15"/>
      <c r="R3748" s="15"/>
    </row>
    <row r="3749" spans="1:18" x14ac:dyDescent="0.25">
      <c r="A3749" s="15"/>
      <c r="R3749" s="15"/>
    </row>
    <row r="3750" spans="1:18" x14ac:dyDescent="0.25">
      <c r="A3750" s="15"/>
      <c r="R3750" s="15"/>
    </row>
    <row r="3751" spans="1:18" x14ac:dyDescent="0.25">
      <c r="A3751" s="15"/>
      <c r="R3751" s="15"/>
    </row>
    <row r="3752" spans="1:18" x14ac:dyDescent="0.25">
      <c r="A3752" s="15"/>
      <c r="R3752" s="15"/>
    </row>
    <row r="3753" spans="1:18" x14ac:dyDescent="0.25">
      <c r="A3753" s="15"/>
      <c r="R3753" s="15"/>
    </row>
    <row r="3754" spans="1:18" x14ac:dyDescent="0.25">
      <c r="A3754" s="15"/>
      <c r="R3754" s="15"/>
    </row>
    <row r="3755" spans="1:18" x14ac:dyDescent="0.25">
      <c r="A3755" s="15"/>
      <c r="R3755" s="15"/>
    </row>
    <row r="3756" spans="1:18" x14ac:dyDescent="0.25">
      <c r="A3756" s="15"/>
      <c r="R3756" s="15"/>
    </row>
    <row r="3757" spans="1:18" x14ac:dyDescent="0.25">
      <c r="A3757" s="15"/>
      <c r="R3757" s="15"/>
    </row>
    <row r="3758" spans="1:18" x14ac:dyDescent="0.25">
      <c r="A3758" s="15"/>
      <c r="R3758" s="15"/>
    </row>
    <row r="3759" spans="1:18" x14ac:dyDescent="0.25">
      <c r="A3759" s="15"/>
      <c r="R3759" s="15"/>
    </row>
    <row r="3760" spans="1:18" x14ac:dyDescent="0.25">
      <c r="A3760" s="15"/>
      <c r="R3760" s="15"/>
    </row>
    <row r="3761" spans="1:18" x14ac:dyDescent="0.25">
      <c r="A3761" s="15"/>
      <c r="R3761" s="15"/>
    </row>
    <row r="3762" spans="1:18" x14ac:dyDescent="0.25">
      <c r="A3762" s="15"/>
      <c r="R3762" s="15"/>
    </row>
    <row r="3763" spans="1:18" x14ac:dyDescent="0.25">
      <c r="A3763" s="15"/>
      <c r="R3763" s="15"/>
    </row>
    <row r="3764" spans="1:18" x14ac:dyDescent="0.25">
      <c r="A3764" s="15"/>
      <c r="R3764" s="15"/>
    </row>
    <row r="3765" spans="1:18" x14ac:dyDescent="0.25">
      <c r="A3765" s="15"/>
      <c r="R3765" s="15"/>
    </row>
    <row r="3766" spans="1:18" x14ac:dyDescent="0.25">
      <c r="A3766" s="15"/>
      <c r="R3766" s="15"/>
    </row>
    <row r="3767" spans="1:18" x14ac:dyDescent="0.25">
      <c r="A3767" s="15"/>
      <c r="R3767" s="15"/>
    </row>
    <row r="3768" spans="1:18" x14ac:dyDescent="0.25">
      <c r="A3768" s="15"/>
      <c r="R3768" s="15"/>
    </row>
    <row r="3769" spans="1:18" x14ac:dyDescent="0.25">
      <c r="A3769" s="15"/>
      <c r="R3769" s="15"/>
    </row>
    <row r="3770" spans="1:18" x14ac:dyDescent="0.25">
      <c r="A3770" s="15"/>
      <c r="R3770" s="15"/>
    </row>
    <row r="3771" spans="1:18" x14ac:dyDescent="0.25">
      <c r="A3771" s="15"/>
      <c r="R3771" s="15"/>
    </row>
    <row r="3772" spans="1:18" x14ac:dyDescent="0.25">
      <c r="A3772" s="15"/>
      <c r="R3772" s="15"/>
    </row>
    <row r="3773" spans="1:18" x14ac:dyDescent="0.25">
      <c r="A3773" s="15"/>
      <c r="R3773" s="15"/>
    </row>
    <row r="3774" spans="1:18" x14ac:dyDescent="0.25">
      <c r="A3774" s="15"/>
      <c r="R3774" s="15"/>
    </row>
    <row r="3775" spans="1:18" x14ac:dyDescent="0.25">
      <c r="A3775" s="15"/>
      <c r="R3775" s="15"/>
    </row>
    <row r="3776" spans="1:18" x14ac:dyDescent="0.25">
      <c r="A3776" s="15"/>
      <c r="R3776" s="15"/>
    </row>
    <row r="3777" spans="1:18" x14ac:dyDescent="0.25">
      <c r="A3777" s="15"/>
      <c r="R3777" s="15"/>
    </row>
    <row r="3778" spans="1:18" x14ac:dyDescent="0.25">
      <c r="A3778" s="15"/>
      <c r="R3778" s="15"/>
    </row>
    <row r="3779" spans="1:18" x14ac:dyDescent="0.25">
      <c r="A3779" s="15"/>
      <c r="R3779" s="15"/>
    </row>
    <row r="3780" spans="1:18" x14ac:dyDescent="0.25">
      <c r="A3780" s="15"/>
      <c r="R3780" s="15"/>
    </row>
    <row r="3781" spans="1:18" x14ac:dyDescent="0.25">
      <c r="A3781" s="15"/>
      <c r="R3781" s="15"/>
    </row>
    <row r="3782" spans="1:18" x14ac:dyDescent="0.25">
      <c r="A3782" s="15"/>
      <c r="R3782" s="15"/>
    </row>
    <row r="3783" spans="1:18" x14ac:dyDescent="0.25">
      <c r="A3783" s="15"/>
      <c r="R3783" s="15"/>
    </row>
    <row r="3784" spans="1:18" x14ac:dyDescent="0.25">
      <c r="A3784" s="15"/>
      <c r="R3784" s="15"/>
    </row>
    <row r="3785" spans="1:18" x14ac:dyDescent="0.25">
      <c r="A3785" s="15"/>
      <c r="R3785" s="15"/>
    </row>
    <row r="3786" spans="1:18" x14ac:dyDescent="0.25">
      <c r="A3786" s="15"/>
      <c r="R3786" s="15"/>
    </row>
    <row r="3787" spans="1:18" x14ac:dyDescent="0.25">
      <c r="A3787" s="15"/>
      <c r="R3787" s="15"/>
    </row>
    <row r="3788" spans="1:18" x14ac:dyDescent="0.25">
      <c r="A3788" s="15"/>
      <c r="R3788" s="15"/>
    </row>
    <row r="3789" spans="1:18" x14ac:dyDescent="0.25">
      <c r="A3789" s="15"/>
      <c r="R3789" s="15"/>
    </row>
    <row r="3790" spans="1:18" x14ac:dyDescent="0.25">
      <c r="A3790" s="15"/>
      <c r="R3790" s="15"/>
    </row>
    <row r="3791" spans="1:18" x14ac:dyDescent="0.25">
      <c r="A3791" s="15"/>
      <c r="R3791" s="15"/>
    </row>
    <row r="3792" spans="1:18" x14ac:dyDescent="0.25">
      <c r="A3792" s="15"/>
      <c r="R3792" s="15"/>
    </row>
    <row r="3793" spans="1:18" x14ac:dyDescent="0.25">
      <c r="A3793" s="15"/>
      <c r="R3793" s="15"/>
    </row>
    <row r="3794" spans="1:18" x14ac:dyDescent="0.25">
      <c r="A3794" s="15"/>
      <c r="R3794" s="15"/>
    </row>
    <row r="3795" spans="1:18" x14ac:dyDescent="0.25">
      <c r="A3795" s="15"/>
      <c r="R3795" s="15"/>
    </row>
    <row r="3796" spans="1:18" x14ac:dyDescent="0.25">
      <c r="A3796" s="15"/>
      <c r="R3796" s="15"/>
    </row>
    <row r="3797" spans="1:18" x14ac:dyDescent="0.25">
      <c r="A3797" s="15"/>
      <c r="R3797" s="15"/>
    </row>
    <row r="3798" spans="1:18" x14ac:dyDescent="0.25">
      <c r="A3798" s="15"/>
      <c r="R3798" s="15"/>
    </row>
    <row r="3799" spans="1:18" x14ac:dyDescent="0.25">
      <c r="A3799" s="15"/>
      <c r="R3799" s="15"/>
    </row>
    <row r="3800" spans="1:18" x14ac:dyDescent="0.25">
      <c r="A3800" s="15"/>
      <c r="R3800" s="15"/>
    </row>
    <row r="3801" spans="1:18" x14ac:dyDescent="0.25">
      <c r="A3801" s="15"/>
      <c r="R3801" s="15"/>
    </row>
    <row r="3802" spans="1:18" x14ac:dyDescent="0.25">
      <c r="A3802" s="15"/>
      <c r="R3802" s="15"/>
    </row>
    <row r="3803" spans="1:18" x14ac:dyDescent="0.25">
      <c r="A3803" s="15"/>
      <c r="R3803" s="15"/>
    </row>
    <row r="3804" spans="1:18" x14ac:dyDescent="0.25">
      <c r="A3804" s="15"/>
      <c r="R3804" s="15"/>
    </row>
    <row r="3805" spans="1:18" x14ac:dyDescent="0.25">
      <c r="A3805" s="15"/>
      <c r="R3805" s="15"/>
    </row>
    <row r="3806" spans="1:18" x14ac:dyDescent="0.25">
      <c r="A3806" s="15"/>
      <c r="R3806" s="15"/>
    </row>
    <row r="3807" spans="1:18" x14ac:dyDescent="0.25">
      <c r="A3807" s="15"/>
      <c r="R3807" s="15"/>
    </row>
    <row r="3808" spans="1:18" x14ac:dyDescent="0.25">
      <c r="A3808" s="15"/>
      <c r="R3808" s="15"/>
    </row>
    <row r="3809" spans="1:18" x14ac:dyDescent="0.25">
      <c r="A3809" s="15"/>
      <c r="R3809" s="15"/>
    </row>
    <row r="3810" spans="1:18" x14ac:dyDescent="0.25">
      <c r="A3810" s="15"/>
      <c r="R3810" s="15"/>
    </row>
    <row r="3811" spans="1:18" x14ac:dyDescent="0.25">
      <c r="A3811" s="15"/>
      <c r="R3811" s="15"/>
    </row>
    <row r="3812" spans="1:18" x14ac:dyDescent="0.25">
      <c r="A3812" s="15"/>
      <c r="R3812" s="15"/>
    </row>
    <row r="3813" spans="1:18" x14ac:dyDescent="0.25">
      <c r="A3813" s="15"/>
      <c r="R3813" s="15"/>
    </row>
    <row r="3814" spans="1:18" x14ac:dyDescent="0.25">
      <c r="A3814" s="15"/>
      <c r="R3814" s="15"/>
    </row>
    <row r="3815" spans="1:18" x14ac:dyDescent="0.25">
      <c r="A3815" s="15"/>
      <c r="R3815" s="15"/>
    </row>
    <row r="3816" spans="1:18" x14ac:dyDescent="0.25">
      <c r="A3816" s="15"/>
      <c r="R3816" s="15"/>
    </row>
    <row r="3817" spans="1:18" x14ac:dyDescent="0.25">
      <c r="A3817" s="15"/>
      <c r="R3817" s="15"/>
    </row>
    <row r="3818" spans="1:18" x14ac:dyDescent="0.25">
      <c r="A3818" s="15"/>
      <c r="R3818" s="15"/>
    </row>
    <row r="3819" spans="1:18" x14ac:dyDescent="0.25">
      <c r="A3819" s="15"/>
      <c r="R3819" s="15"/>
    </row>
    <row r="3820" spans="1:18" x14ac:dyDescent="0.25">
      <c r="A3820" s="15"/>
      <c r="R3820" s="15"/>
    </row>
    <row r="3821" spans="1:18" x14ac:dyDescent="0.25">
      <c r="A3821" s="15"/>
      <c r="R3821" s="15"/>
    </row>
    <row r="3822" spans="1:18" x14ac:dyDescent="0.25">
      <c r="A3822" s="15"/>
      <c r="R3822" s="15"/>
    </row>
    <row r="3823" spans="1:18" x14ac:dyDescent="0.25">
      <c r="A3823" s="15"/>
      <c r="R3823" s="15"/>
    </row>
    <row r="3824" spans="1:18" x14ac:dyDescent="0.25">
      <c r="A3824" s="15"/>
      <c r="R3824" s="15"/>
    </row>
    <row r="3825" spans="1:18" x14ac:dyDescent="0.25">
      <c r="A3825" s="15"/>
      <c r="R3825" s="15"/>
    </row>
    <row r="3826" spans="1:18" x14ac:dyDescent="0.25">
      <c r="A3826" s="15"/>
      <c r="R3826" s="15"/>
    </row>
    <row r="3827" spans="1:18" x14ac:dyDescent="0.25">
      <c r="A3827" s="15"/>
      <c r="R3827" s="15"/>
    </row>
    <row r="3828" spans="1:18" x14ac:dyDescent="0.25">
      <c r="A3828" s="15"/>
      <c r="R3828" s="15"/>
    </row>
    <row r="3829" spans="1:18" x14ac:dyDescent="0.25">
      <c r="A3829" s="15"/>
      <c r="R3829" s="15"/>
    </row>
    <row r="3830" spans="1:18" x14ac:dyDescent="0.25">
      <c r="A3830" s="15"/>
      <c r="R3830" s="15"/>
    </row>
    <row r="3831" spans="1:18" x14ac:dyDescent="0.25">
      <c r="A3831" s="15"/>
      <c r="R3831" s="15"/>
    </row>
    <row r="3832" spans="1:18" x14ac:dyDescent="0.25">
      <c r="A3832" s="15"/>
      <c r="R3832" s="15"/>
    </row>
    <row r="3833" spans="1:18" x14ac:dyDescent="0.25">
      <c r="A3833" s="15"/>
      <c r="R3833" s="15"/>
    </row>
    <row r="3834" spans="1:18" x14ac:dyDescent="0.25">
      <c r="A3834" s="15"/>
      <c r="R3834" s="15"/>
    </row>
    <row r="3835" spans="1:18" x14ac:dyDescent="0.25">
      <c r="A3835" s="15"/>
      <c r="R3835" s="15"/>
    </row>
    <row r="3836" spans="1:18" x14ac:dyDescent="0.25">
      <c r="A3836" s="15"/>
      <c r="R3836" s="15"/>
    </row>
    <row r="3837" spans="1:18" x14ac:dyDescent="0.25">
      <c r="A3837" s="15"/>
      <c r="R3837" s="15"/>
    </row>
    <row r="3838" spans="1:18" x14ac:dyDescent="0.25">
      <c r="A3838" s="15"/>
      <c r="R3838" s="15"/>
    </row>
    <row r="3839" spans="1:18" x14ac:dyDescent="0.25">
      <c r="A3839" s="15"/>
      <c r="R3839" s="15"/>
    </row>
    <row r="3840" spans="1:18" x14ac:dyDescent="0.25">
      <c r="A3840" s="15"/>
      <c r="R3840" s="15"/>
    </row>
    <row r="3841" spans="1:18" x14ac:dyDescent="0.25">
      <c r="A3841" s="15"/>
      <c r="R3841" s="15"/>
    </row>
    <row r="3842" spans="1:18" x14ac:dyDescent="0.25">
      <c r="A3842" s="15"/>
      <c r="R3842" s="15"/>
    </row>
    <row r="3843" spans="1:18" x14ac:dyDescent="0.25">
      <c r="A3843" s="15"/>
      <c r="R3843" s="15"/>
    </row>
    <row r="3844" spans="1:18" x14ac:dyDescent="0.25">
      <c r="A3844" s="15"/>
      <c r="R3844" s="15"/>
    </row>
    <row r="3845" spans="1:18" x14ac:dyDescent="0.25">
      <c r="A3845" s="15"/>
      <c r="R3845" s="15"/>
    </row>
    <row r="3846" spans="1:18" x14ac:dyDescent="0.25">
      <c r="A3846" s="15"/>
      <c r="R3846" s="15"/>
    </row>
    <row r="3847" spans="1:18" x14ac:dyDescent="0.25">
      <c r="A3847" s="15"/>
      <c r="R3847" s="15"/>
    </row>
    <row r="3848" spans="1:18" x14ac:dyDescent="0.25">
      <c r="A3848" s="15"/>
      <c r="R3848" s="15"/>
    </row>
    <row r="3849" spans="1:18" x14ac:dyDescent="0.25">
      <c r="A3849" s="15"/>
      <c r="R3849" s="15"/>
    </row>
    <row r="3850" spans="1:18" x14ac:dyDescent="0.25">
      <c r="A3850" s="15"/>
      <c r="R3850" s="15"/>
    </row>
    <row r="3851" spans="1:18" x14ac:dyDescent="0.25">
      <c r="A3851" s="15"/>
      <c r="R3851" s="15"/>
    </row>
    <row r="3852" spans="1:18" x14ac:dyDescent="0.25">
      <c r="A3852" s="15"/>
      <c r="R3852" s="15"/>
    </row>
    <row r="3853" spans="1:18" x14ac:dyDescent="0.25">
      <c r="A3853" s="15"/>
      <c r="R3853" s="15"/>
    </row>
    <row r="3854" spans="1:18" x14ac:dyDescent="0.25">
      <c r="A3854" s="15"/>
      <c r="R3854" s="15"/>
    </row>
    <row r="3855" spans="1:18" x14ac:dyDescent="0.25">
      <c r="A3855" s="15"/>
      <c r="R3855" s="15"/>
    </row>
    <row r="3856" spans="1:18" x14ac:dyDescent="0.25">
      <c r="A3856" s="15"/>
      <c r="R3856" s="15"/>
    </row>
    <row r="3857" spans="1:18" x14ac:dyDescent="0.25">
      <c r="A3857" s="15"/>
      <c r="R3857" s="15"/>
    </row>
    <row r="3858" spans="1:18" x14ac:dyDescent="0.25">
      <c r="A3858" s="15"/>
      <c r="R3858" s="15"/>
    </row>
    <row r="3859" spans="1:18" x14ac:dyDescent="0.25">
      <c r="A3859" s="15"/>
      <c r="R3859" s="15"/>
    </row>
    <row r="3860" spans="1:18" x14ac:dyDescent="0.25">
      <c r="A3860" s="15"/>
      <c r="R3860" s="15"/>
    </row>
    <row r="3861" spans="1:18" x14ac:dyDescent="0.25">
      <c r="A3861" s="15"/>
      <c r="R3861" s="15"/>
    </row>
    <row r="3862" spans="1:18" x14ac:dyDescent="0.25">
      <c r="A3862" s="15"/>
      <c r="R3862" s="15"/>
    </row>
    <row r="3863" spans="1:18" x14ac:dyDescent="0.25">
      <c r="A3863" s="15"/>
      <c r="R3863" s="15"/>
    </row>
    <row r="3864" spans="1:18" x14ac:dyDescent="0.25">
      <c r="A3864" s="15"/>
      <c r="R3864" s="15"/>
    </row>
    <row r="3865" spans="1:18" x14ac:dyDescent="0.25">
      <c r="A3865" s="15"/>
      <c r="R3865" s="15"/>
    </row>
    <row r="3866" spans="1:18" x14ac:dyDescent="0.25">
      <c r="A3866" s="15"/>
      <c r="R3866" s="15"/>
    </row>
    <row r="3867" spans="1:18" x14ac:dyDescent="0.25">
      <c r="A3867" s="15"/>
      <c r="R3867" s="15"/>
    </row>
    <row r="3868" spans="1:18" x14ac:dyDescent="0.25">
      <c r="A3868" s="15"/>
      <c r="R3868" s="15"/>
    </row>
    <row r="3869" spans="1:18" x14ac:dyDescent="0.25">
      <c r="A3869" s="15"/>
      <c r="R3869" s="15"/>
    </row>
    <row r="3870" spans="1:18" x14ac:dyDescent="0.25">
      <c r="A3870" s="15"/>
      <c r="R3870" s="15"/>
    </row>
    <row r="3871" spans="1:18" x14ac:dyDescent="0.25">
      <c r="A3871" s="15"/>
      <c r="R3871" s="15"/>
    </row>
    <row r="3872" spans="1:18" x14ac:dyDescent="0.25">
      <c r="A3872" s="15"/>
      <c r="R3872" s="15"/>
    </row>
    <row r="3873" spans="1:18" x14ac:dyDescent="0.25">
      <c r="A3873" s="15"/>
      <c r="R3873" s="15"/>
    </row>
    <row r="3874" spans="1:18" x14ac:dyDescent="0.25">
      <c r="A3874" s="15"/>
      <c r="R3874" s="15"/>
    </row>
    <row r="3875" spans="1:18" x14ac:dyDescent="0.25">
      <c r="A3875" s="15"/>
      <c r="R3875" s="15"/>
    </row>
    <row r="3876" spans="1:18" x14ac:dyDescent="0.25">
      <c r="A3876" s="15"/>
      <c r="R3876" s="15"/>
    </row>
    <row r="3877" spans="1:18" x14ac:dyDescent="0.25">
      <c r="A3877" s="15"/>
      <c r="R3877" s="15"/>
    </row>
    <row r="3878" spans="1:18" x14ac:dyDescent="0.25">
      <c r="A3878" s="15"/>
      <c r="R3878" s="15"/>
    </row>
    <row r="3879" spans="1:18" x14ac:dyDescent="0.25">
      <c r="A3879" s="15"/>
      <c r="R3879" s="15"/>
    </row>
    <row r="3880" spans="1:18" x14ac:dyDescent="0.25">
      <c r="A3880" s="15"/>
      <c r="R3880" s="15"/>
    </row>
    <row r="3881" spans="1:18" x14ac:dyDescent="0.25">
      <c r="A3881" s="15"/>
      <c r="R3881" s="15"/>
    </row>
    <row r="3882" spans="1:18" x14ac:dyDescent="0.25">
      <c r="A3882" s="15"/>
      <c r="R3882" s="15"/>
    </row>
    <row r="3883" spans="1:18" x14ac:dyDescent="0.25">
      <c r="A3883" s="15"/>
      <c r="R3883" s="15"/>
    </row>
    <row r="3884" spans="1:18" x14ac:dyDescent="0.25">
      <c r="A3884" s="15"/>
      <c r="R3884" s="15"/>
    </row>
    <row r="3885" spans="1:18" x14ac:dyDescent="0.25">
      <c r="A3885" s="15"/>
      <c r="R3885" s="15"/>
    </row>
    <row r="3886" spans="1:18" x14ac:dyDescent="0.25">
      <c r="A3886" s="15"/>
      <c r="R3886" s="15"/>
    </row>
    <row r="3887" spans="1:18" x14ac:dyDescent="0.25">
      <c r="A3887" s="15"/>
      <c r="R3887" s="15"/>
    </row>
    <row r="3888" spans="1:18" x14ac:dyDescent="0.25">
      <c r="A3888" s="15"/>
      <c r="R3888" s="15"/>
    </row>
    <row r="3889" spans="1:18" x14ac:dyDescent="0.25">
      <c r="A3889" s="15"/>
      <c r="R3889" s="15"/>
    </row>
    <row r="3890" spans="1:18" x14ac:dyDescent="0.25">
      <c r="A3890" s="15"/>
      <c r="R3890" s="15"/>
    </row>
    <row r="3891" spans="1:18" x14ac:dyDescent="0.25">
      <c r="A3891" s="15"/>
      <c r="R3891" s="15"/>
    </row>
    <row r="3892" spans="1:18" x14ac:dyDescent="0.25">
      <c r="A3892" s="15"/>
      <c r="R3892" s="15"/>
    </row>
    <row r="3893" spans="1:18" x14ac:dyDescent="0.25">
      <c r="A3893" s="15"/>
      <c r="R3893" s="15"/>
    </row>
    <row r="3894" spans="1:18" x14ac:dyDescent="0.25">
      <c r="A3894" s="15"/>
      <c r="R3894" s="15"/>
    </row>
    <row r="3895" spans="1:18" x14ac:dyDescent="0.25">
      <c r="A3895" s="15"/>
      <c r="R3895" s="15"/>
    </row>
    <row r="3896" spans="1:18" x14ac:dyDescent="0.25">
      <c r="A3896" s="15"/>
      <c r="R3896" s="15"/>
    </row>
    <row r="3897" spans="1:18" x14ac:dyDescent="0.25">
      <c r="A3897" s="15"/>
      <c r="R3897" s="15"/>
    </row>
    <row r="3898" spans="1:18" x14ac:dyDescent="0.25">
      <c r="A3898" s="15"/>
      <c r="R3898" s="15"/>
    </row>
    <row r="3899" spans="1:18" x14ac:dyDescent="0.25">
      <c r="A3899" s="15"/>
      <c r="R3899" s="15"/>
    </row>
    <row r="3900" spans="1:18" x14ac:dyDescent="0.25">
      <c r="A3900" s="15"/>
      <c r="R3900" s="15"/>
    </row>
    <row r="3901" spans="1:18" x14ac:dyDescent="0.25">
      <c r="A3901" s="15"/>
      <c r="R3901" s="15"/>
    </row>
    <row r="3902" spans="1:18" x14ac:dyDescent="0.25">
      <c r="A3902" s="15"/>
      <c r="R3902" s="15"/>
    </row>
    <row r="3903" spans="1:18" x14ac:dyDescent="0.25">
      <c r="A3903" s="15"/>
      <c r="R3903" s="15"/>
    </row>
    <row r="3904" spans="1:18" x14ac:dyDescent="0.25">
      <c r="A3904" s="15"/>
      <c r="R3904" s="15"/>
    </row>
    <row r="3905" spans="1:18" x14ac:dyDescent="0.25">
      <c r="A3905" s="15"/>
      <c r="R3905" s="15"/>
    </row>
    <row r="3906" spans="1:18" x14ac:dyDescent="0.25">
      <c r="A3906" s="15"/>
      <c r="R3906" s="15"/>
    </row>
    <row r="3907" spans="1:18" x14ac:dyDescent="0.25">
      <c r="A3907" s="15"/>
      <c r="R3907" s="15"/>
    </row>
    <row r="3908" spans="1:18" x14ac:dyDescent="0.25">
      <c r="A3908" s="15"/>
      <c r="R3908" s="15"/>
    </row>
    <row r="3909" spans="1:18" x14ac:dyDescent="0.25">
      <c r="A3909" s="15"/>
      <c r="R3909" s="15"/>
    </row>
    <row r="3910" spans="1:18" x14ac:dyDescent="0.25">
      <c r="A3910" s="15"/>
      <c r="R3910" s="15"/>
    </row>
    <row r="3911" spans="1:18" x14ac:dyDescent="0.25">
      <c r="A3911" s="15"/>
      <c r="R3911" s="15"/>
    </row>
    <row r="3912" spans="1:18" x14ac:dyDescent="0.25">
      <c r="A3912" s="15"/>
      <c r="R3912" s="15"/>
    </row>
    <row r="3913" spans="1:18" x14ac:dyDescent="0.25">
      <c r="A3913" s="15"/>
      <c r="R3913" s="15"/>
    </row>
    <row r="3914" spans="1:18" x14ac:dyDescent="0.25">
      <c r="A3914" s="15"/>
      <c r="R3914" s="15"/>
    </row>
    <row r="3915" spans="1:18" x14ac:dyDescent="0.25">
      <c r="A3915" s="15"/>
      <c r="R3915" s="15"/>
    </row>
    <row r="3916" spans="1:18" x14ac:dyDescent="0.25">
      <c r="A3916" s="15"/>
      <c r="R3916" s="15"/>
    </row>
    <row r="3917" spans="1:18" x14ac:dyDescent="0.25">
      <c r="A3917" s="15"/>
      <c r="R3917" s="15"/>
    </row>
    <row r="3918" spans="1:18" x14ac:dyDescent="0.25">
      <c r="A3918" s="15"/>
      <c r="R3918" s="15"/>
    </row>
    <row r="3919" spans="1:18" x14ac:dyDescent="0.25">
      <c r="A3919" s="15"/>
      <c r="R3919" s="15"/>
    </row>
    <row r="3920" spans="1:18" x14ac:dyDescent="0.25">
      <c r="A3920" s="15"/>
      <c r="R3920" s="15"/>
    </row>
    <row r="3921" spans="1:18" x14ac:dyDescent="0.25">
      <c r="A3921" s="15"/>
      <c r="R3921" s="15"/>
    </row>
    <row r="3922" spans="1:18" x14ac:dyDescent="0.25">
      <c r="A3922" s="15"/>
      <c r="R3922" s="15"/>
    </row>
    <row r="3923" spans="1:18" x14ac:dyDescent="0.25">
      <c r="A3923" s="15"/>
      <c r="R3923" s="15"/>
    </row>
    <row r="3924" spans="1:18" x14ac:dyDescent="0.25">
      <c r="A3924" s="15"/>
      <c r="R3924" s="15"/>
    </row>
    <row r="3925" spans="1:18" x14ac:dyDescent="0.25">
      <c r="A3925" s="15"/>
      <c r="R3925" s="15"/>
    </row>
    <row r="3926" spans="1:18" x14ac:dyDescent="0.25">
      <c r="A3926" s="15"/>
      <c r="R3926" s="15"/>
    </row>
    <row r="3927" spans="1:18" x14ac:dyDescent="0.25">
      <c r="A3927" s="15"/>
      <c r="R3927" s="15"/>
    </row>
    <row r="3928" spans="1:18" x14ac:dyDescent="0.25">
      <c r="A3928" s="15"/>
      <c r="R3928" s="15"/>
    </row>
    <row r="3929" spans="1:18" x14ac:dyDescent="0.25">
      <c r="A3929" s="15"/>
      <c r="R3929" s="15"/>
    </row>
    <row r="3930" spans="1:18" x14ac:dyDescent="0.25">
      <c r="A3930" s="15"/>
      <c r="R3930" s="15"/>
    </row>
    <row r="3931" spans="1:18" x14ac:dyDescent="0.25">
      <c r="A3931" s="15"/>
      <c r="R3931" s="15"/>
    </row>
    <row r="3932" spans="1:18" x14ac:dyDescent="0.25">
      <c r="A3932" s="15"/>
      <c r="R3932" s="15"/>
    </row>
    <row r="3933" spans="1:18" x14ac:dyDescent="0.25">
      <c r="A3933" s="15"/>
      <c r="R3933" s="15"/>
    </row>
    <row r="3934" spans="1:18" x14ac:dyDescent="0.25">
      <c r="A3934" s="15"/>
      <c r="R3934" s="15"/>
    </row>
    <row r="3935" spans="1:18" x14ac:dyDescent="0.25">
      <c r="A3935" s="15"/>
      <c r="R3935" s="15"/>
    </row>
    <row r="3936" spans="1:18" x14ac:dyDescent="0.25">
      <c r="A3936" s="15"/>
      <c r="R3936" s="15"/>
    </row>
    <row r="3937" spans="1:18" x14ac:dyDescent="0.25">
      <c r="A3937" s="15"/>
      <c r="R3937" s="15"/>
    </row>
    <row r="3938" spans="1:18" x14ac:dyDescent="0.25">
      <c r="A3938" s="15"/>
      <c r="R3938" s="15"/>
    </row>
    <row r="3939" spans="1:18" x14ac:dyDescent="0.25">
      <c r="A3939" s="15"/>
      <c r="R3939" s="15"/>
    </row>
    <row r="3940" spans="1:18" x14ac:dyDescent="0.25">
      <c r="A3940" s="15"/>
      <c r="R3940" s="15"/>
    </row>
    <row r="3941" spans="1:18" x14ac:dyDescent="0.25">
      <c r="A3941" s="15"/>
      <c r="R3941" s="15"/>
    </row>
    <row r="3942" spans="1:18" x14ac:dyDescent="0.25">
      <c r="A3942" s="15"/>
      <c r="R3942" s="15"/>
    </row>
    <row r="3943" spans="1:18" x14ac:dyDescent="0.25">
      <c r="A3943" s="15"/>
      <c r="R3943" s="15"/>
    </row>
    <row r="3944" spans="1:18" x14ac:dyDescent="0.25">
      <c r="A3944" s="15"/>
      <c r="R3944" s="15"/>
    </row>
    <row r="3945" spans="1:18" x14ac:dyDescent="0.25">
      <c r="A3945" s="15"/>
      <c r="R3945" s="15"/>
    </row>
    <row r="3946" spans="1:18" x14ac:dyDescent="0.25">
      <c r="A3946" s="15"/>
      <c r="R3946" s="15"/>
    </row>
    <row r="3947" spans="1:18" x14ac:dyDescent="0.25">
      <c r="A3947" s="15"/>
      <c r="R3947" s="15"/>
    </row>
    <row r="3948" spans="1:18" x14ac:dyDescent="0.25">
      <c r="A3948" s="15"/>
      <c r="R3948" s="15"/>
    </row>
    <row r="3949" spans="1:18" x14ac:dyDescent="0.25">
      <c r="A3949" s="15"/>
      <c r="R3949" s="15"/>
    </row>
    <row r="3950" spans="1:18" x14ac:dyDescent="0.25">
      <c r="A3950" s="15"/>
      <c r="R3950" s="15"/>
    </row>
    <row r="3951" spans="1:18" x14ac:dyDescent="0.25">
      <c r="A3951" s="15"/>
      <c r="R3951" s="15"/>
    </row>
    <row r="3952" spans="1:18" x14ac:dyDescent="0.25">
      <c r="A3952" s="15"/>
      <c r="R3952" s="15"/>
    </row>
    <row r="3953" spans="1:18" x14ac:dyDescent="0.25">
      <c r="A3953" s="15"/>
      <c r="R3953" s="15"/>
    </row>
    <row r="3954" spans="1:18" x14ac:dyDescent="0.25">
      <c r="A3954" s="15"/>
      <c r="R3954" s="15"/>
    </row>
    <row r="3955" spans="1:18" x14ac:dyDescent="0.25">
      <c r="A3955" s="15"/>
      <c r="R3955" s="15"/>
    </row>
    <row r="3956" spans="1:18" x14ac:dyDescent="0.25">
      <c r="A3956" s="15"/>
      <c r="R3956" s="15"/>
    </row>
    <row r="3957" spans="1:18" x14ac:dyDescent="0.25">
      <c r="A3957" s="15"/>
      <c r="R3957" s="15"/>
    </row>
    <row r="3958" spans="1:18" x14ac:dyDescent="0.25">
      <c r="A3958" s="15"/>
      <c r="R3958" s="15"/>
    </row>
    <row r="3959" spans="1:18" x14ac:dyDescent="0.25">
      <c r="A3959" s="15"/>
      <c r="R3959" s="15"/>
    </row>
    <row r="3960" spans="1:18" x14ac:dyDescent="0.25">
      <c r="A3960" s="15"/>
      <c r="R3960" s="15"/>
    </row>
    <row r="3961" spans="1:18" x14ac:dyDescent="0.25">
      <c r="A3961" s="15"/>
      <c r="R3961" s="15"/>
    </row>
    <row r="3962" spans="1:18" x14ac:dyDescent="0.25">
      <c r="A3962" s="15"/>
      <c r="R3962" s="15"/>
    </row>
    <row r="3963" spans="1:18" x14ac:dyDescent="0.25">
      <c r="A3963" s="15"/>
      <c r="R3963" s="15"/>
    </row>
    <row r="3964" spans="1:18" x14ac:dyDescent="0.25">
      <c r="A3964" s="15"/>
      <c r="R3964" s="15"/>
    </row>
    <row r="3965" spans="1:18" x14ac:dyDescent="0.25">
      <c r="A3965" s="15"/>
      <c r="R3965" s="15"/>
    </row>
    <row r="3966" spans="1:18" x14ac:dyDescent="0.25">
      <c r="A3966" s="15"/>
      <c r="R3966" s="15"/>
    </row>
    <row r="3967" spans="1:18" x14ac:dyDescent="0.25">
      <c r="A3967" s="15"/>
      <c r="R3967" s="15"/>
    </row>
    <row r="3968" spans="1:18" x14ac:dyDescent="0.25">
      <c r="A3968" s="15"/>
      <c r="R3968" s="15"/>
    </row>
    <row r="3969" spans="1:18" x14ac:dyDescent="0.25">
      <c r="A3969" s="15"/>
      <c r="R3969" s="15"/>
    </row>
    <row r="3970" spans="1:18" x14ac:dyDescent="0.25">
      <c r="A3970" s="15"/>
      <c r="R3970" s="15"/>
    </row>
    <row r="3971" spans="1:18" x14ac:dyDescent="0.25">
      <c r="A3971" s="15"/>
      <c r="R3971" s="15"/>
    </row>
    <row r="3972" spans="1:18" x14ac:dyDescent="0.25">
      <c r="A3972" s="15"/>
      <c r="R3972" s="15"/>
    </row>
    <row r="3973" spans="1:18" x14ac:dyDescent="0.25">
      <c r="A3973" s="15"/>
      <c r="R3973" s="15"/>
    </row>
    <row r="3974" spans="1:18" x14ac:dyDescent="0.25">
      <c r="A3974" s="15"/>
      <c r="R3974" s="15"/>
    </row>
    <row r="3975" spans="1:18" x14ac:dyDescent="0.25">
      <c r="A3975" s="15"/>
      <c r="R3975" s="15"/>
    </row>
    <row r="3976" spans="1:18" x14ac:dyDescent="0.25">
      <c r="A3976" s="15"/>
      <c r="R3976" s="15"/>
    </row>
    <row r="3977" spans="1:18" x14ac:dyDescent="0.25">
      <c r="A3977" s="15"/>
      <c r="R3977" s="15"/>
    </row>
    <row r="3978" spans="1:18" x14ac:dyDescent="0.25">
      <c r="A3978" s="15"/>
      <c r="R3978" s="15"/>
    </row>
    <row r="3979" spans="1:18" x14ac:dyDescent="0.25">
      <c r="A3979" s="15"/>
      <c r="R3979" s="15"/>
    </row>
    <row r="3980" spans="1:18" x14ac:dyDescent="0.25">
      <c r="A3980" s="15"/>
      <c r="R3980" s="15"/>
    </row>
    <row r="3981" spans="1:18" x14ac:dyDescent="0.25">
      <c r="A3981" s="15"/>
      <c r="R3981" s="15"/>
    </row>
    <row r="3982" spans="1:18" x14ac:dyDescent="0.25">
      <c r="A3982" s="15"/>
      <c r="R3982" s="15"/>
    </row>
    <row r="3983" spans="1:18" x14ac:dyDescent="0.25">
      <c r="A3983" s="15"/>
      <c r="R3983" s="15"/>
    </row>
    <row r="3984" spans="1:18" x14ac:dyDescent="0.25">
      <c r="A3984" s="15"/>
      <c r="R3984" s="15"/>
    </row>
    <row r="3985" spans="1:18" x14ac:dyDescent="0.25">
      <c r="A3985" s="15"/>
      <c r="R3985" s="15"/>
    </row>
    <row r="3986" spans="1:18" x14ac:dyDescent="0.25">
      <c r="A3986" s="15"/>
      <c r="R3986" s="15"/>
    </row>
    <row r="3987" spans="1:18" x14ac:dyDescent="0.25">
      <c r="A3987" s="15"/>
      <c r="R3987" s="15"/>
    </row>
    <row r="3988" spans="1:18" x14ac:dyDescent="0.25">
      <c r="A3988" s="15"/>
      <c r="R3988" s="15"/>
    </row>
    <row r="3989" spans="1:18" x14ac:dyDescent="0.25">
      <c r="A3989" s="15"/>
      <c r="R3989" s="15"/>
    </row>
    <row r="3990" spans="1:18" x14ac:dyDescent="0.25">
      <c r="A3990" s="15"/>
      <c r="R3990" s="15"/>
    </row>
    <row r="3991" spans="1:18" x14ac:dyDescent="0.25">
      <c r="A3991" s="15"/>
      <c r="R3991" s="15"/>
    </row>
    <row r="3992" spans="1:18" x14ac:dyDescent="0.25">
      <c r="A3992" s="15"/>
      <c r="R3992" s="15"/>
    </row>
    <row r="3993" spans="1:18" x14ac:dyDescent="0.25">
      <c r="A3993" s="15"/>
      <c r="R3993" s="15"/>
    </row>
    <row r="3994" spans="1:18" x14ac:dyDescent="0.25">
      <c r="A3994" s="15"/>
      <c r="R3994" s="15"/>
    </row>
    <row r="3995" spans="1:18" x14ac:dyDescent="0.25">
      <c r="A3995" s="15"/>
      <c r="R3995" s="15"/>
    </row>
    <row r="3996" spans="1:18" x14ac:dyDescent="0.25">
      <c r="A3996" s="15"/>
      <c r="R3996" s="15"/>
    </row>
    <row r="3997" spans="1:18" x14ac:dyDescent="0.25">
      <c r="A3997" s="15"/>
      <c r="R3997" s="15"/>
    </row>
    <row r="3998" spans="1:18" x14ac:dyDescent="0.25">
      <c r="A3998" s="15"/>
      <c r="R3998" s="15"/>
    </row>
    <row r="3999" spans="1:18" x14ac:dyDescent="0.25">
      <c r="A3999" s="15"/>
      <c r="R3999" s="15"/>
    </row>
    <row r="4000" spans="1:18" x14ac:dyDescent="0.25">
      <c r="A4000" s="15"/>
      <c r="R4000" s="15"/>
    </row>
    <row r="4001" spans="1:18" x14ac:dyDescent="0.25">
      <c r="A4001" s="15"/>
      <c r="R4001" s="15"/>
    </row>
    <row r="4002" spans="1:18" x14ac:dyDescent="0.25">
      <c r="A4002" s="15"/>
      <c r="R4002" s="15"/>
    </row>
    <row r="4003" spans="1:18" x14ac:dyDescent="0.25">
      <c r="A4003" s="15"/>
      <c r="R4003" s="15"/>
    </row>
    <row r="4004" spans="1:18" x14ac:dyDescent="0.25">
      <c r="A4004" s="15"/>
      <c r="R4004" s="15"/>
    </row>
    <row r="4005" spans="1:18" x14ac:dyDescent="0.25">
      <c r="A4005" s="15"/>
      <c r="R4005" s="15"/>
    </row>
    <row r="4006" spans="1:18" x14ac:dyDescent="0.25">
      <c r="A4006" s="15"/>
      <c r="R4006" s="15"/>
    </row>
    <row r="4007" spans="1:18" x14ac:dyDescent="0.25">
      <c r="A4007" s="15"/>
      <c r="R4007" s="15"/>
    </row>
    <row r="4008" spans="1:18" x14ac:dyDescent="0.25">
      <c r="A4008" s="15"/>
      <c r="R4008" s="15"/>
    </row>
    <row r="4009" spans="1:18" x14ac:dyDescent="0.25">
      <c r="A4009" s="15"/>
      <c r="R4009" s="15"/>
    </row>
    <row r="4010" spans="1:18" x14ac:dyDescent="0.25">
      <c r="A4010" s="15"/>
      <c r="R4010" s="15"/>
    </row>
    <row r="4011" spans="1:18" x14ac:dyDescent="0.25">
      <c r="A4011" s="15"/>
      <c r="R4011" s="15"/>
    </row>
    <row r="4012" spans="1:18" x14ac:dyDescent="0.25">
      <c r="A4012" s="15"/>
      <c r="R4012" s="15"/>
    </row>
    <row r="4013" spans="1:18" x14ac:dyDescent="0.25">
      <c r="A4013" s="15"/>
      <c r="R4013" s="15"/>
    </row>
    <row r="4014" spans="1:18" x14ac:dyDescent="0.25">
      <c r="A4014" s="15"/>
      <c r="R4014" s="15"/>
    </row>
    <row r="4015" spans="1:18" x14ac:dyDescent="0.25">
      <c r="A4015" s="15"/>
      <c r="R4015" s="15"/>
    </row>
    <row r="4016" spans="1:18" x14ac:dyDescent="0.25">
      <c r="A4016" s="15"/>
      <c r="R4016" s="15"/>
    </row>
    <row r="4017" spans="1:18" x14ac:dyDescent="0.25">
      <c r="A4017" s="15"/>
      <c r="R4017" s="15"/>
    </row>
    <row r="4018" spans="1:18" x14ac:dyDescent="0.25">
      <c r="A4018" s="15"/>
      <c r="R4018" s="15"/>
    </row>
    <row r="4019" spans="1:18" x14ac:dyDescent="0.25">
      <c r="A4019" s="15"/>
      <c r="R4019" s="15"/>
    </row>
    <row r="4020" spans="1:18" x14ac:dyDescent="0.25">
      <c r="A4020" s="15"/>
      <c r="R4020" s="15"/>
    </row>
    <row r="4021" spans="1:18" x14ac:dyDescent="0.25">
      <c r="A4021" s="15"/>
      <c r="R4021" s="15"/>
    </row>
    <row r="4022" spans="1:18" x14ac:dyDescent="0.25">
      <c r="A4022" s="15"/>
      <c r="R4022" s="15"/>
    </row>
    <row r="4023" spans="1:18" x14ac:dyDescent="0.25">
      <c r="A4023" s="15"/>
      <c r="R4023" s="15"/>
    </row>
    <row r="4024" spans="1:18" x14ac:dyDescent="0.25">
      <c r="A4024" s="15"/>
      <c r="R4024" s="15"/>
    </row>
    <row r="4025" spans="1:18" x14ac:dyDescent="0.25">
      <c r="A4025" s="15"/>
      <c r="R4025" s="15"/>
    </row>
    <row r="4026" spans="1:18" x14ac:dyDescent="0.25">
      <c r="A4026" s="15"/>
      <c r="R4026" s="15"/>
    </row>
    <row r="4027" spans="1:18" x14ac:dyDescent="0.25">
      <c r="A4027" s="15"/>
      <c r="R4027" s="15"/>
    </row>
    <row r="4028" spans="1:18" x14ac:dyDescent="0.25">
      <c r="A4028" s="15"/>
      <c r="R4028" s="15"/>
    </row>
    <row r="4029" spans="1:18" x14ac:dyDescent="0.25">
      <c r="A4029" s="15"/>
      <c r="R4029" s="15"/>
    </row>
    <row r="4030" spans="1:18" x14ac:dyDescent="0.25">
      <c r="A4030" s="15"/>
      <c r="R4030" s="15"/>
    </row>
    <row r="4031" spans="1:18" x14ac:dyDescent="0.25">
      <c r="A4031" s="15"/>
      <c r="R4031" s="15"/>
    </row>
    <row r="4032" spans="1:18" x14ac:dyDescent="0.25">
      <c r="A4032" s="15"/>
      <c r="R4032" s="15"/>
    </row>
    <row r="4033" spans="1:18" x14ac:dyDescent="0.25">
      <c r="A4033" s="15"/>
      <c r="R4033" s="15"/>
    </row>
    <row r="4034" spans="1:18" x14ac:dyDescent="0.25">
      <c r="A4034" s="15"/>
      <c r="R4034" s="15"/>
    </row>
    <row r="4035" spans="1:18" x14ac:dyDescent="0.25">
      <c r="A4035" s="15"/>
      <c r="R4035" s="15"/>
    </row>
    <row r="4036" spans="1:18" x14ac:dyDescent="0.25">
      <c r="A4036" s="15"/>
      <c r="R4036" s="15"/>
    </row>
    <row r="4037" spans="1:18" x14ac:dyDescent="0.25">
      <c r="A4037" s="15"/>
      <c r="R4037" s="15"/>
    </row>
    <row r="4038" spans="1:18" x14ac:dyDescent="0.25">
      <c r="A4038" s="15"/>
      <c r="R4038" s="15"/>
    </row>
    <row r="4039" spans="1:18" x14ac:dyDescent="0.25">
      <c r="A4039" s="15"/>
      <c r="R4039" s="15"/>
    </row>
    <row r="4040" spans="1:18" x14ac:dyDescent="0.25">
      <c r="A4040" s="15"/>
      <c r="R4040" s="15"/>
    </row>
    <row r="4041" spans="1:18" x14ac:dyDescent="0.25">
      <c r="A4041" s="15"/>
      <c r="R4041" s="15"/>
    </row>
    <row r="4042" spans="1:18" x14ac:dyDescent="0.25">
      <c r="A4042" s="15"/>
      <c r="R4042" s="15"/>
    </row>
    <row r="4043" spans="1:18" x14ac:dyDescent="0.25">
      <c r="A4043" s="15"/>
      <c r="R4043" s="15"/>
    </row>
    <row r="4044" spans="1:18" x14ac:dyDescent="0.25">
      <c r="A4044" s="15"/>
      <c r="R4044" s="15"/>
    </row>
    <row r="4045" spans="1:18" x14ac:dyDescent="0.25">
      <c r="A4045" s="15"/>
      <c r="R4045" s="15"/>
    </row>
    <row r="4046" spans="1:18" x14ac:dyDescent="0.25">
      <c r="A4046" s="15"/>
      <c r="R4046" s="15"/>
    </row>
    <row r="4047" spans="1:18" x14ac:dyDescent="0.25">
      <c r="A4047" s="15"/>
      <c r="R4047" s="15"/>
    </row>
    <row r="4048" spans="1:18" x14ac:dyDescent="0.25">
      <c r="A4048" s="15"/>
      <c r="R4048" s="15"/>
    </row>
    <row r="4049" spans="1:18" x14ac:dyDescent="0.25">
      <c r="A4049" s="15"/>
      <c r="R4049" s="15"/>
    </row>
    <row r="4050" spans="1:18" x14ac:dyDescent="0.25">
      <c r="A4050" s="15"/>
      <c r="R4050" s="15"/>
    </row>
    <row r="4051" spans="1:18" x14ac:dyDescent="0.25">
      <c r="A4051" s="15"/>
      <c r="R4051" s="15"/>
    </row>
    <row r="4052" spans="1:18" x14ac:dyDescent="0.25">
      <c r="A4052" s="15"/>
      <c r="R4052" s="15"/>
    </row>
    <row r="4053" spans="1:18" x14ac:dyDescent="0.25">
      <c r="A4053" s="15"/>
      <c r="R4053" s="15"/>
    </row>
    <row r="4054" spans="1:18" x14ac:dyDescent="0.25">
      <c r="A4054" s="15"/>
      <c r="R4054" s="15"/>
    </row>
    <row r="4055" spans="1:18" x14ac:dyDescent="0.25">
      <c r="A4055" s="15"/>
      <c r="R4055" s="15"/>
    </row>
    <row r="4056" spans="1:18" x14ac:dyDescent="0.25">
      <c r="A4056" s="15"/>
      <c r="R4056" s="15"/>
    </row>
    <row r="4057" spans="1:18" x14ac:dyDescent="0.25">
      <c r="A4057" s="15"/>
      <c r="R4057" s="15"/>
    </row>
    <row r="4058" spans="1:18" x14ac:dyDescent="0.25">
      <c r="A4058" s="15"/>
      <c r="R4058" s="15"/>
    </row>
    <row r="4059" spans="1:18" x14ac:dyDescent="0.25">
      <c r="A4059" s="15"/>
      <c r="R4059" s="15"/>
    </row>
    <row r="4060" spans="1:18" x14ac:dyDescent="0.25">
      <c r="A4060" s="15"/>
      <c r="R4060" s="15"/>
    </row>
    <row r="4061" spans="1:18" x14ac:dyDescent="0.25">
      <c r="A4061" s="15"/>
      <c r="R4061" s="15"/>
    </row>
    <row r="4062" spans="1:18" x14ac:dyDescent="0.25">
      <c r="A4062" s="15"/>
      <c r="R4062" s="15"/>
    </row>
    <row r="4063" spans="1:18" x14ac:dyDescent="0.25">
      <c r="A4063" s="15"/>
      <c r="R4063" s="15"/>
    </row>
    <row r="4064" spans="1:18" x14ac:dyDescent="0.25">
      <c r="A4064" s="15"/>
      <c r="R4064" s="15"/>
    </row>
    <row r="4065" spans="1:18" x14ac:dyDescent="0.25">
      <c r="A4065" s="15"/>
      <c r="R4065" s="15"/>
    </row>
    <row r="4066" spans="1:18" x14ac:dyDescent="0.25">
      <c r="A4066" s="15"/>
      <c r="R4066" s="15"/>
    </row>
    <row r="4067" spans="1:18" x14ac:dyDescent="0.25">
      <c r="A4067" s="15"/>
      <c r="R4067" s="15"/>
    </row>
    <row r="4068" spans="1:18" x14ac:dyDescent="0.25">
      <c r="A4068" s="15"/>
      <c r="R4068" s="15"/>
    </row>
    <row r="4069" spans="1:18" x14ac:dyDescent="0.25">
      <c r="A4069" s="15"/>
      <c r="R4069" s="15"/>
    </row>
    <row r="4070" spans="1:18" x14ac:dyDescent="0.25">
      <c r="A4070" s="15"/>
      <c r="R4070" s="15"/>
    </row>
    <row r="4071" spans="1:18" x14ac:dyDescent="0.25">
      <c r="A4071" s="15"/>
      <c r="R4071" s="15"/>
    </row>
    <row r="4072" spans="1:18" x14ac:dyDescent="0.25">
      <c r="A4072" s="15"/>
      <c r="R4072" s="15"/>
    </row>
    <row r="4073" spans="1:18" x14ac:dyDescent="0.25">
      <c r="A4073" s="15"/>
      <c r="R4073" s="15"/>
    </row>
    <row r="4074" spans="1:18" x14ac:dyDescent="0.25">
      <c r="A4074" s="15"/>
      <c r="R4074" s="15"/>
    </row>
    <row r="4075" spans="1:18" x14ac:dyDescent="0.25">
      <c r="A4075" s="15"/>
      <c r="R4075" s="15"/>
    </row>
    <row r="4076" spans="1:18" x14ac:dyDescent="0.25">
      <c r="A4076" s="15"/>
      <c r="R4076" s="15"/>
    </row>
    <row r="4077" spans="1:18" x14ac:dyDescent="0.25">
      <c r="A4077" s="15"/>
      <c r="R4077" s="15"/>
    </row>
    <row r="4078" spans="1:18" x14ac:dyDescent="0.25">
      <c r="A4078" s="15"/>
      <c r="R4078" s="15"/>
    </row>
    <row r="4079" spans="1:18" x14ac:dyDescent="0.25">
      <c r="A4079" s="15"/>
      <c r="R4079" s="15"/>
    </row>
    <row r="4080" spans="1:18" x14ac:dyDescent="0.25">
      <c r="A4080" s="15"/>
      <c r="R4080" s="15"/>
    </row>
    <row r="4081" spans="1:18" x14ac:dyDescent="0.25">
      <c r="A4081" s="15"/>
      <c r="R4081" s="15"/>
    </row>
    <row r="4082" spans="1:18" x14ac:dyDescent="0.25">
      <c r="A4082" s="15"/>
      <c r="R4082" s="15"/>
    </row>
    <row r="4083" spans="1:18" x14ac:dyDescent="0.25">
      <c r="A4083" s="15"/>
      <c r="R4083" s="15"/>
    </row>
    <row r="4084" spans="1:18" x14ac:dyDescent="0.25">
      <c r="A4084" s="15"/>
      <c r="R4084" s="15"/>
    </row>
    <row r="4085" spans="1:18" x14ac:dyDescent="0.25">
      <c r="A4085" s="15"/>
      <c r="R4085" s="15"/>
    </row>
    <row r="4086" spans="1:18" x14ac:dyDescent="0.25">
      <c r="A4086" s="15"/>
      <c r="R4086" s="15"/>
    </row>
    <row r="4087" spans="1:18" x14ac:dyDescent="0.25">
      <c r="A4087" s="15"/>
      <c r="R4087" s="15"/>
    </row>
    <row r="4088" spans="1:18" x14ac:dyDescent="0.25">
      <c r="A4088" s="15"/>
      <c r="R4088" s="15"/>
    </row>
    <row r="4089" spans="1:18" x14ac:dyDescent="0.25">
      <c r="A4089" s="15"/>
      <c r="R4089" s="15"/>
    </row>
    <row r="4090" spans="1:18" x14ac:dyDescent="0.25">
      <c r="A4090" s="15"/>
      <c r="R4090" s="15"/>
    </row>
    <row r="4091" spans="1:18" x14ac:dyDescent="0.25">
      <c r="A4091" s="15"/>
      <c r="R4091" s="15"/>
    </row>
    <row r="4092" spans="1:18" x14ac:dyDescent="0.25">
      <c r="A4092" s="15"/>
      <c r="R4092" s="15"/>
    </row>
    <row r="4093" spans="1:18" x14ac:dyDescent="0.25">
      <c r="A4093" s="15"/>
      <c r="R4093" s="15"/>
    </row>
    <row r="4094" spans="1:18" x14ac:dyDescent="0.25">
      <c r="A4094" s="15"/>
      <c r="R4094" s="15"/>
    </row>
    <row r="4095" spans="1:18" x14ac:dyDescent="0.25">
      <c r="A4095" s="15"/>
      <c r="R4095" s="15"/>
    </row>
    <row r="4096" spans="1:18" x14ac:dyDescent="0.25">
      <c r="A4096" s="15"/>
      <c r="R4096" s="15"/>
    </row>
    <row r="4097" spans="1:18" x14ac:dyDescent="0.25">
      <c r="A4097" s="15"/>
      <c r="R4097" s="15"/>
    </row>
    <row r="4098" spans="1:18" x14ac:dyDescent="0.25">
      <c r="A4098" s="15"/>
      <c r="R4098" s="15"/>
    </row>
    <row r="4099" spans="1:18" x14ac:dyDescent="0.25">
      <c r="A4099" s="15"/>
      <c r="R4099" s="15"/>
    </row>
    <row r="4100" spans="1:18" x14ac:dyDescent="0.25">
      <c r="A4100" s="15"/>
      <c r="R4100" s="15"/>
    </row>
    <row r="4101" spans="1:18" x14ac:dyDescent="0.25">
      <c r="A4101" s="15"/>
      <c r="R4101" s="15"/>
    </row>
    <row r="4102" spans="1:18" x14ac:dyDescent="0.25">
      <c r="A4102" s="15"/>
      <c r="R4102" s="15"/>
    </row>
    <row r="4103" spans="1:18" x14ac:dyDescent="0.25">
      <c r="A4103" s="15"/>
      <c r="R4103" s="15"/>
    </row>
    <row r="4104" spans="1:18" x14ac:dyDescent="0.25">
      <c r="A4104" s="15"/>
      <c r="R4104" s="15"/>
    </row>
    <row r="4105" spans="1:18" x14ac:dyDescent="0.25">
      <c r="A4105" s="15"/>
      <c r="R4105" s="15"/>
    </row>
    <row r="4106" spans="1:18" x14ac:dyDescent="0.25">
      <c r="A4106" s="15"/>
      <c r="R4106" s="15"/>
    </row>
    <row r="4107" spans="1:18" x14ac:dyDescent="0.25">
      <c r="A4107" s="15"/>
      <c r="R4107" s="15"/>
    </row>
    <row r="4108" spans="1:18" x14ac:dyDescent="0.25">
      <c r="A4108" s="15"/>
      <c r="R4108" s="15"/>
    </row>
    <row r="4109" spans="1:18" x14ac:dyDescent="0.25">
      <c r="A4109" s="15"/>
      <c r="R4109" s="15"/>
    </row>
    <row r="4110" spans="1:18" x14ac:dyDescent="0.25">
      <c r="A4110" s="15"/>
      <c r="R4110" s="15"/>
    </row>
    <row r="4111" spans="1:18" x14ac:dyDescent="0.25">
      <c r="A4111" s="15"/>
      <c r="R4111" s="15"/>
    </row>
    <row r="4112" spans="1:18" x14ac:dyDescent="0.25">
      <c r="A4112" s="15"/>
      <c r="R4112" s="15"/>
    </row>
    <row r="4113" spans="1:18" x14ac:dyDescent="0.25">
      <c r="A4113" s="15"/>
      <c r="R4113" s="15"/>
    </row>
    <row r="4114" spans="1:18" x14ac:dyDescent="0.25">
      <c r="A4114" s="15"/>
      <c r="R4114" s="15"/>
    </row>
    <row r="4115" spans="1:18" x14ac:dyDescent="0.25">
      <c r="A4115" s="15"/>
      <c r="R4115" s="15"/>
    </row>
    <row r="4116" spans="1:18" x14ac:dyDescent="0.25">
      <c r="A4116" s="15"/>
      <c r="R4116" s="15"/>
    </row>
    <row r="4117" spans="1:18" x14ac:dyDescent="0.25">
      <c r="A4117" s="15"/>
      <c r="R4117" s="15"/>
    </row>
    <row r="4118" spans="1:18" x14ac:dyDescent="0.25">
      <c r="A4118" s="15"/>
      <c r="R4118" s="15"/>
    </row>
    <row r="4119" spans="1:18" x14ac:dyDescent="0.25">
      <c r="A4119" s="15"/>
      <c r="R4119" s="15"/>
    </row>
    <row r="4120" spans="1:18" x14ac:dyDescent="0.25">
      <c r="A4120" s="15"/>
      <c r="R4120" s="15"/>
    </row>
    <row r="4121" spans="1:18" x14ac:dyDescent="0.25">
      <c r="A4121" s="15"/>
      <c r="R4121" s="15"/>
    </row>
    <row r="4122" spans="1:18" x14ac:dyDescent="0.25">
      <c r="A4122" s="15"/>
      <c r="R4122" s="15"/>
    </row>
    <row r="4123" spans="1:18" x14ac:dyDescent="0.25">
      <c r="A4123" s="15"/>
      <c r="R4123" s="15"/>
    </row>
    <row r="4124" spans="1:18" x14ac:dyDescent="0.25">
      <c r="A4124" s="15"/>
      <c r="R4124" s="15"/>
    </row>
    <row r="4125" spans="1:18" x14ac:dyDescent="0.25">
      <c r="A4125" s="15"/>
      <c r="R4125" s="15"/>
    </row>
    <row r="4126" spans="1:18" x14ac:dyDescent="0.25">
      <c r="A4126" s="15"/>
      <c r="R4126" s="15"/>
    </row>
    <row r="4127" spans="1:18" x14ac:dyDescent="0.25">
      <c r="A4127" s="15"/>
      <c r="R4127" s="15"/>
    </row>
    <row r="4128" spans="1:18" x14ac:dyDescent="0.25">
      <c r="A4128" s="15"/>
      <c r="R4128" s="15"/>
    </row>
    <row r="4129" spans="1:18" x14ac:dyDescent="0.25">
      <c r="A4129" s="15"/>
      <c r="R4129" s="15"/>
    </row>
    <row r="4130" spans="1:18" x14ac:dyDescent="0.25">
      <c r="A4130" s="15"/>
      <c r="R4130" s="15"/>
    </row>
    <row r="4131" spans="1:18" x14ac:dyDescent="0.25">
      <c r="A4131" s="15"/>
      <c r="R4131" s="15"/>
    </row>
    <row r="4132" spans="1:18" x14ac:dyDescent="0.25">
      <c r="A4132" s="15"/>
      <c r="R4132" s="15"/>
    </row>
    <row r="4133" spans="1:18" x14ac:dyDescent="0.25">
      <c r="A4133" s="15"/>
      <c r="R4133" s="15"/>
    </row>
    <row r="4134" spans="1:18" x14ac:dyDescent="0.25">
      <c r="A4134" s="15"/>
      <c r="R4134" s="15"/>
    </row>
    <row r="4135" spans="1:18" x14ac:dyDescent="0.25">
      <c r="A4135" s="15"/>
      <c r="R4135" s="15"/>
    </row>
    <row r="4136" spans="1:18" x14ac:dyDescent="0.25">
      <c r="A4136" s="15"/>
      <c r="R4136" s="15"/>
    </row>
    <row r="4137" spans="1:18" x14ac:dyDescent="0.25">
      <c r="A4137" s="15"/>
      <c r="R4137" s="15"/>
    </row>
    <row r="4138" spans="1:18" x14ac:dyDescent="0.25">
      <c r="A4138" s="15"/>
      <c r="R4138" s="15"/>
    </row>
    <row r="4139" spans="1:18" x14ac:dyDescent="0.25">
      <c r="A4139" s="15"/>
      <c r="R4139" s="15"/>
    </row>
    <row r="4140" spans="1:18" x14ac:dyDescent="0.25">
      <c r="A4140" s="15"/>
      <c r="R4140" s="15"/>
    </row>
    <row r="4141" spans="1:18" x14ac:dyDescent="0.25">
      <c r="A4141" s="15"/>
      <c r="R4141" s="15"/>
    </row>
    <row r="4142" spans="1:18" x14ac:dyDescent="0.25">
      <c r="A4142" s="15"/>
      <c r="R4142" s="15"/>
    </row>
    <row r="4143" spans="1:18" x14ac:dyDescent="0.25">
      <c r="A4143" s="15"/>
      <c r="R4143" s="15"/>
    </row>
    <row r="4144" spans="1:18" x14ac:dyDescent="0.25">
      <c r="A4144" s="15"/>
      <c r="R4144" s="15"/>
    </row>
    <row r="4145" spans="1:18" x14ac:dyDescent="0.25">
      <c r="A4145" s="15"/>
      <c r="R4145" s="15"/>
    </row>
    <row r="4146" spans="1:18" x14ac:dyDescent="0.25">
      <c r="A4146" s="15"/>
      <c r="R4146" s="15"/>
    </row>
    <row r="4147" spans="1:18" x14ac:dyDescent="0.25">
      <c r="A4147" s="15"/>
      <c r="R4147" s="15"/>
    </row>
    <row r="4148" spans="1:18" x14ac:dyDescent="0.25">
      <c r="A4148" s="15"/>
      <c r="R4148" s="15"/>
    </row>
    <row r="4149" spans="1:18" x14ac:dyDescent="0.25">
      <c r="A4149" s="15"/>
      <c r="R4149" s="15"/>
    </row>
    <row r="4150" spans="1:18" x14ac:dyDescent="0.25">
      <c r="A4150" s="15"/>
      <c r="R4150" s="15"/>
    </row>
    <row r="4151" spans="1:18" x14ac:dyDescent="0.25">
      <c r="A4151" s="15"/>
      <c r="R4151" s="15"/>
    </row>
    <row r="4152" spans="1:18" x14ac:dyDescent="0.25">
      <c r="A4152" s="15"/>
      <c r="R4152" s="15"/>
    </row>
    <row r="4153" spans="1:18" x14ac:dyDescent="0.25">
      <c r="A4153" s="15"/>
      <c r="R4153" s="15"/>
    </row>
    <row r="4154" spans="1:18" x14ac:dyDescent="0.25">
      <c r="A4154" s="15"/>
      <c r="R4154" s="15"/>
    </row>
    <row r="4155" spans="1:18" x14ac:dyDescent="0.25">
      <c r="A4155" s="15"/>
      <c r="R4155" s="15"/>
    </row>
    <row r="4156" spans="1:18" x14ac:dyDescent="0.25">
      <c r="A4156" s="15"/>
      <c r="R4156" s="15"/>
    </row>
    <row r="4157" spans="1:18" x14ac:dyDescent="0.25">
      <c r="A4157" s="15"/>
      <c r="R4157" s="15"/>
    </row>
    <row r="4158" spans="1:18" x14ac:dyDescent="0.25">
      <c r="A4158" s="15"/>
      <c r="R4158" s="15"/>
    </row>
    <row r="4159" spans="1:18" x14ac:dyDescent="0.25">
      <c r="A4159" s="15"/>
      <c r="R4159" s="15"/>
    </row>
    <row r="4160" spans="1:18" x14ac:dyDescent="0.25">
      <c r="A4160" s="15"/>
      <c r="R4160" s="15"/>
    </row>
    <row r="4161" spans="1:18" x14ac:dyDescent="0.25">
      <c r="A4161" s="15"/>
      <c r="R4161" s="15"/>
    </row>
    <row r="4162" spans="1:18" x14ac:dyDescent="0.25">
      <c r="A4162" s="15"/>
      <c r="R4162" s="15"/>
    </row>
    <row r="4163" spans="1:18" x14ac:dyDescent="0.25">
      <c r="A4163" s="15"/>
      <c r="R4163" s="15"/>
    </row>
    <row r="4164" spans="1:18" x14ac:dyDescent="0.25">
      <c r="A4164" s="15"/>
      <c r="R4164" s="15"/>
    </row>
    <row r="4165" spans="1:18" x14ac:dyDescent="0.25">
      <c r="A4165" s="15"/>
      <c r="R4165" s="15"/>
    </row>
    <row r="4166" spans="1:18" x14ac:dyDescent="0.25">
      <c r="A4166" s="15"/>
      <c r="R4166" s="15"/>
    </row>
    <row r="4167" spans="1:18" x14ac:dyDescent="0.25">
      <c r="A4167" s="15"/>
      <c r="R4167" s="15"/>
    </row>
    <row r="4168" spans="1:18" x14ac:dyDescent="0.25">
      <c r="A4168" s="15"/>
      <c r="R4168" s="15"/>
    </row>
    <row r="4169" spans="1:18" x14ac:dyDescent="0.25">
      <c r="A4169" s="15"/>
      <c r="R4169" s="15"/>
    </row>
    <row r="4170" spans="1:18" x14ac:dyDescent="0.25">
      <c r="A4170" s="15"/>
      <c r="R4170" s="15"/>
    </row>
    <row r="4171" spans="1:18" x14ac:dyDescent="0.25">
      <c r="A4171" s="15"/>
      <c r="R4171" s="15"/>
    </row>
    <row r="4172" spans="1:18" x14ac:dyDescent="0.25">
      <c r="A4172" s="15"/>
      <c r="R4172" s="15"/>
    </row>
    <row r="4173" spans="1:18" x14ac:dyDescent="0.25">
      <c r="A4173" s="15"/>
      <c r="R4173" s="15"/>
    </row>
    <row r="4174" spans="1:18" x14ac:dyDescent="0.25">
      <c r="A4174" s="15"/>
      <c r="R4174" s="15"/>
    </row>
    <row r="4175" spans="1:18" x14ac:dyDescent="0.25">
      <c r="A4175" s="15"/>
      <c r="R4175" s="15"/>
    </row>
    <row r="4176" spans="1:18" x14ac:dyDescent="0.25">
      <c r="A4176" s="15"/>
      <c r="R4176" s="15"/>
    </row>
    <row r="4177" spans="1:18" x14ac:dyDescent="0.25">
      <c r="A4177" s="15"/>
      <c r="R4177" s="15"/>
    </row>
    <row r="4178" spans="1:18" x14ac:dyDescent="0.25">
      <c r="A4178" s="15"/>
      <c r="R4178" s="15"/>
    </row>
    <row r="4179" spans="1:18" x14ac:dyDescent="0.25">
      <c r="A4179" s="15"/>
      <c r="R4179" s="15"/>
    </row>
    <row r="4180" spans="1:18" x14ac:dyDescent="0.25">
      <c r="A4180" s="15"/>
      <c r="R4180" s="15"/>
    </row>
    <row r="4181" spans="1:18" x14ac:dyDescent="0.25">
      <c r="A4181" s="15"/>
      <c r="R4181" s="15"/>
    </row>
    <row r="4182" spans="1:18" x14ac:dyDescent="0.25">
      <c r="A4182" s="15"/>
      <c r="R4182" s="15"/>
    </row>
    <row r="4183" spans="1:18" x14ac:dyDescent="0.25">
      <c r="A4183" s="15"/>
      <c r="R4183" s="15"/>
    </row>
    <row r="4184" spans="1:18" x14ac:dyDescent="0.25">
      <c r="A4184" s="15"/>
      <c r="R4184" s="15"/>
    </row>
    <row r="4185" spans="1:18" x14ac:dyDescent="0.25">
      <c r="A4185" s="15"/>
      <c r="R4185" s="15"/>
    </row>
    <row r="4186" spans="1:18" x14ac:dyDescent="0.25">
      <c r="A4186" s="15"/>
      <c r="R4186" s="15"/>
    </row>
    <row r="4187" spans="1:18" x14ac:dyDescent="0.25">
      <c r="A4187" s="15"/>
      <c r="R4187" s="15"/>
    </row>
    <row r="4188" spans="1:18" x14ac:dyDescent="0.25">
      <c r="A4188" s="15"/>
      <c r="R4188" s="15"/>
    </row>
    <row r="4189" spans="1:18" x14ac:dyDescent="0.25">
      <c r="A4189" s="15"/>
      <c r="R4189" s="15"/>
    </row>
    <row r="4190" spans="1:18" x14ac:dyDescent="0.25">
      <c r="A4190" s="15"/>
      <c r="R4190" s="15"/>
    </row>
    <row r="4191" spans="1:18" x14ac:dyDescent="0.25">
      <c r="A4191" s="15"/>
      <c r="R4191" s="15"/>
    </row>
    <row r="4192" spans="1:18" x14ac:dyDescent="0.25">
      <c r="A4192" s="15"/>
      <c r="R4192" s="15"/>
    </row>
    <row r="4193" spans="1:18" x14ac:dyDescent="0.25">
      <c r="A4193" s="15"/>
      <c r="R4193" s="15"/>
    </row>
    <row r="4194" spans="1:18" x14ac:dyDescent="0.25">
      <c r="A4194" s="15"/>
      <c r="R4194" s="15"/>
    </row>
    <row r="4195" spans="1:18" x14ac:dyDescent="0.25">
      <c r="A4195" s="15"/>
      <c r="R4195" s="15"/>
    </row>
    <row r="4196" spans="1:18" x14ac:dyDescent="0.25">
      <c r="A4196" s="15"/>
      <c r="R4196" s="15"/>
    </row>
    <row r="4197" spans="1:18" x14ac:dyDescent="0.25">
      <c r="A4197" s="15"/>
      <c r="R4197" s="15"/>
    </row>
    <row r="4198" spans="1:18" x14ac:dyDescent="0.25">
      <c r="A4198" s="15"/>
      <c r="R4198" s="15"/>
    </row>
    <row r="4199" spans="1:18" x14ac:dyDescent="0.25">
      <c r="A4199" s="15"/>
      <c r="R4199" s="15"/>
    </row>
    <row r="4200" spans="1:18" x14ac:dyDescent="0.25">
      <c r="A4200" s="15"/>
      <c r="R4200" s="15"/>
    </row>
    <row r="4201" spans="1:18" x14ac:dyDescent="0.25">
      <c r="A4201" s="15"/>
      <c r="R4201" s="15"/>
    </row>
    <row r="4202" spans="1:18" x14ac:dyDescent="0.25">
      <c r="A4202" s="15"/>
      <c r="R4202" s="15"/>
    </row>
    <row r="4203" spans="1:18" x14ac:dyDescent="0.25">
      <c r="A4203" s="15"/>
      <c r="R4203" s="15"/>
    </row>
    <row r="4204" spans="1:18" x14ac:dyDescent="0.25">
      <c r="A4204" s="15"/>
      <c r="R4204" s="15"/>
    </row>
    <row r="4205" spans="1:18" x14ac:dyDescent="0.25">
      <c r="A4205" s="15"/>
      <c r="R4205" s="15"/>
    </row>
    <row r="4206" spans="1:18" x14ac:dyDescent="0.25">
      <c r="A4206" s="15"/>
      <c r="R4206" s="15"/>
    </row>
    <row r="4207" spans="1:18" x14ac:dyDescent="0.25">
      <c r="A4207" s="15"/>
      <c r="R4207" s="15"/>
    </row>
    <row r="4208" spans="1:18" x14ac:dyDescent="0.25">
      <c r="A4208" s="15"/>
      <c r="R4208" s="15"/>
    </row>
    <row r="4209" spans="1:18" x14ac:dyDescent="0.25">
      <c r="A4209" s="15"/>
      <c r="R4209" s="15"/>
    </row>
    <row r="4210" spans="1:18" x14ac:dyDescent="0.25">
      <c r="A4210" s="15"/>
      <c r="R4210" s="15"/>
    </row>
    <row r="4211" spans="1:18" x14ac:dyDescent="0.25">
      <c r="A4211" s="15"/>
      <c r="R4211" s="15"/>
    </row>
    <row r="4212" spans="1:18" x14ac:dyDescent="0.25">
      <c r="A4212" s="15"/>
      <c r="R4212" s="15"/>
    </row>
    <row r="4213" spans="1:18" x14ac:dyDescent="0.25">
      <c r="A4213" s="15"/>
      <c r="R4213" s="15"/>
    </row>
    <row r="4214" spans="1:18" x14ac:dyDescent="0.25">
      <c r="A4214" s="15"/>
      <c r="R4214" s="15"/>
    </row>
    <row r="4215" spans="1:18" x14ac:dyDescent="0.25">
      <c r="A4215" s="15"/>
      <c r="R4215" s="15"/>
    </row>
    <row r="4216" spans="1:18" x14ac:dyDescent="0.25">
      <c r="A4216" s="15"/>
      <c r="R4216" s="15"/>
    </row>
    <row r="4217" spans="1:18" x14ac:dyDescent="0.25">
      <c r="A4217" s="15"/>
      <c r="R4217" s="15"/>
    </row>
    <row r="4218" spans="1:18" x14ac:dyDescent="0.25">
      <c r="A4218" s="15"/>
      <c r="R4218" s="15"/>
    </row>
    <row r="4219" spans="1:18" x14ac:dyDescent="0.25">
      <c r="A4219" s="15"/>
      <c r="R4219" s="15"/>
    </row>
    <row r="4220" spans="1:18" x14ac:dyDescent="0.25">
      <c r="A4220" s="15"/>
      <c r="R4220" s="15"/>
    </row>
    <row r="4221" spans="1:18" x14ac:dyDescent="0.25">
      <c r="A4221" s="15"/>
      <c r="R4221" s="15"/>
    </row>
    <row r="4222" spans="1:18" x14ac:dyDescent="0.25">
      <c r="A4222" s="15"/>
      <c r="R4222" s="15"/>
    </row>
    <row r="4223" spans="1:18" x14ac:dyDescent="0.25">
      <c r="A4223" s="15"/>
      <c r="R4223" s="15"/>
    </row>
    <row r="4224" spans="1:18" x14ac:dyDescent="0.25">
      <c r="A4224" s="15"/>
      <c r="R4224" s="15"/>
    </row>
    <row r="4225" spans="1:18" x14ac:dyDescent="0.25">
      <c r="A4225" s="15"/>
      <c r="R4225" s="15"/>
    </row>
    <row r="4226" spans="1:18" x14ac:dyDescent="0.25">
      <c r="A4226" s="15"/>
      <c r="R4226" s="15"/>
    </row>
    <row r="4227" spans="1:18" x14ac:dyDescent="0.25">
      <c r="A4227" s="15"/>
      <c r="R4227" s="15"/>
    </row>
    <row r="4228" spans="1:18" x14ac:dyDescent="0.25">
      <c r="A4228" s="15"/>
      <c r="R4228" s="15"/>
    </row>
    <row r="4229" spans="1:18" x14ac:dyDescent="0.25">
      <c r="A4229" s="15"/>
      <c r="R4229" s="15"/>
    </row>
    <row r="4230" spans="1:18" x14ac:dyDescent="0.25">
      <c r="A4230" s="15"/>
      <c r="R4230" s="15"/>
    </row>
    <row r="4231" spans="1:18" x14ac:dyDescent="0.25">
      <c r="A4231" s="15"/>
      <c r="R4231" s="15"/>
    </row>
    <row r="4232" spans="1:18" x14ac:dyDescent="0.25">
      <c r="A4232" s="15"/>
      <c r="R4232" s="15"/>
    </row>
    <row r="4233" spans="1:18" x14ac:dyDescent="0.25">
      <c r="A4233" s="15"/>
      <c r="R4233" s="15"/>
    </row>
    <row r="4234" spans="1:18" x14ac:dyDescent="0.25">
      <c r="A4234" s="15"/>
      <c r="R4234" s="15"/>
    </row>
    <row r="4235" spans="1:18" x14ac:dyDescent="0.25">
      <c r="A4235" s="15"/>
      <c r="R4235" s="15"/>
    </row>
    <row r="4236" spans="1:18" x14ac:dyDescent="0.25">
      <c r="A4236" s="15"/>
      <c r="R4236" s="15"/>
    </row>
    <row r="4237" spans="1:18" x14ac:dyDescent="0.25">
      <c r="A4237" s="15"/>
      <c r="R4237" s="15"/>
    </row>
    <row r="4238" spans="1:18" x14ac:dyDescent="0.25">
      <c r="A4238" s="15"/>
      <c r="R4238" s="15"/>
    </row>
    <row r="4239" spans="1:18" x14ac:dyDescent="0.25">
      <c r="A4239" s="15"/>
      <c r="R4239" s="15"/>
    </row>
    <row r="4240" spans="1:18" x14ac:dyDescent="0.25">
      <c r="A4240" s="15"/>
      <c r="R4240" s="15"/>
    </row>
    <row r="4241" spans="1:18" x14ac:dyDescent="0.25">
      <c r="A4241" s="15"/>
      <c r="R4241" s="15"/>
    </row>
    <row r="4242" spans="1:18" x14ac:dyDescent="0.25">
      <c r="A4242" s="15"/>
      <c r="R4242" s="15"/>
    </row>
    <row r="4243" spans="1:18" x14ac:dyDescent="0.25">
      <c r="A4243" s="15"/>
      <c r="R4243" s="15"/>
    </row>
    <row r="4244" spans="1:18" x14ac:dyDescent="0.25">
      <c r="A4244" s="15"/>
      <c r="R4244" s="15"/>
    </row>
    <row r="4245" spans="1:18" x14ac:dyDescent="0.25">
      <c r="A4245" s="15"/>
      <c r="R4245" s="15"/>
    </row>
    <row r="4246" spans="1:18" x14ac:dyDescent="0.25">
      <c r="A4246" s="15"/>
      <c r="R4246" s="15"/>
    </row>
    <row r="4247" spans="1:18" x14ac:dyDescent="0.25">
      <c r="A4247" s="15"/>
      <c r="R4247" s="15"/>
    </row>
    <row r="4248" spans="1:18" x14ac:dyDescent="0.25">
      <c r="A4248" s="15"/>
      <c r="R4248" s="15"/>
    </row>
    <row r="4249" spans="1:18" x14ac:dyDescent="0.25">
      <c r="A4249" s="15"/>
      <c r="R4249" s="15"/>
    </row>
    <row r="4250" spans="1:18" x14ac:dyDescent="0.25">
      <c r="A4250" s="15"/>
      <c r="R4250" s="15"/>
    </row>
    <row r="4251" spans="1:18" x14ac:dyDescent="0.25">
      <c r="A4251" s="15"/>
      <c r="R4251" s="15"/>
    </row>
    <row r="4252" spans="1:18" x14ac:dyDescent="0.25">
      <c r="A4252" s="15"/>
      <c r="R4252" s="15"/>
    </row>
    <row r="4253" spans="1:18" x14ac:dyDescent="0.25">
      <c r="A4253" s="15"/>
      <c r="R4253" s="15"/>
    </row>
    <row r="4254" spans="1:18" x14ac:dyDescent="0.25">
      <c r="A4254" s="15"/>
      <c r="R4254" s="15"/>
    </row>
    <row r="4255" spans="1:18" x14ac:dyDescent="0.25">
      <c r="A4255" s="15"/>
      <c r="R4255" s="15"/>
    </row>
    <row r="4256" spans="1:18" x14ac:dyDescent="0.25">
      <c r="A4256" s="15"/>
      <c r="R4256" s="15"/>
    </row>
    <row r="4257" spans="1:18" x14ac:dyDescent="0.25">
      <c r="A4257" s="15"/>
      <c r="R4257" s="15"/>
    </row>
    <row r="4258" spans="1:18" x14ac:dyDescent="0.25">
      <c r="A4258" s="15"/>
      <c r="R4258" s="15"/>
    </row>
    <row r="4259" spans="1:18" x14ac:dyDescent="0.25">
      <c r="A4259" s="15"/>
      <c r="R4259" s="15"/>
    </row>
    <row r="4260" spans="1:18" x14ac:dyDescent="0.25">
      <c r="A4260" s="15"/>
      <c r="R4260" s="15"/>
    </row>
    <row r="4261" spans="1:18" x14ac:dyDescent="0.25">
      <c r="A4261" s="15"/>
      <c r="R4261" s="15"/>
    </row>
    <row r="4262" spans="1:18" x14ac:dyDescent="0.25">
      <c r="A4262" s="15"/>
      <c r="R4262" s="15"/>
    </row>
    <row r="4263" spans="1:18" x14ac:dyDescent="0.25">
      <c r="A4263" s="15"/>
      <c r="R4263" s="15"/>
    </row>
    <row r="4264" spans="1:18" x14ac:dyDescent="0.25">
      <c r="A4264" s="15"/>
      <c r="R4264" s="15"/>
    </row>
    <row r="4265" spans="1:18" x14ac:dyDescent="0.25">
      <c r="A4265" s="15"/>
      <c r="R4265" s="15"/>
    </row>
    <row r="4266" spans="1:18" x14ac:dyDescent="0.25">
      <c r="A4266" s="15"/>
      <c r="R4266" s="15"/>
    </row>
    <row r="4267" spans="1:18" x14ac:dyDescent="0.25">
      <c r="A4267" s="15"/>
      <c r="R4267" s="15"/>
    </row>
    <row r="4268" spans="1:18" x14ac:dyDescent="0.25">
      <c r="A4268" s="15"/>
      <c r="R4268" s="15"/>
    </row>
    <row r="4269" spans="1:18" x14ac:dyDescent="0.25">
      <c r="A4269" s="15"/>
      <c r="R4269" s="15"/>
    </row>
    <row r="4270" spans="1:18" x14ac:dyDescent="0.25">
      <c r="A4270" s="15"/>
      <c r="R4270" s="15"/>
    </row>
    <row r="4271" spans="1:18" x14ac:dyDescent="0.25">
      <c r="A4271" s="15"/>
      <c r="R4271" s="15"/>
    </row>
    <row r="4272" spans="1:18" x14ac:dyDescent="0.25">
      <c r="A4272" s="15"/>
      <c r="R4272" s="15"/>
    </row>
    <row r="4273" spans="1:18" x14ac:dyDescent="0.25">
      <c r="A4273" s="15"/>
      <c r="R4273" s="15"/>
    </row>
    <row r="4274" spans="1:18" x14ac:dyDescent="0.25">
      <c r="A4274" s="15"/>
      <c r="R4274" s="15"/>
    </row>
    <row r="4275" spans="1:18" x14ac:dyDescent="0.25">
      <c r="A4275" s="15"/>
      <c r="R4275" s="15"/>
    </row>
    <row r="4276" spans="1:18" x14ac:dyDescent="0.25">
      <c r="A4276" s="15"/>
      <c r="R4276" s="15"/>
    </row>
    <row r="4277" spans="1:18" x14ac:dyDescent="0.25">
      <c r="A4277" s="15"/>
      <c r="R4277" s="15"/>
    </row>
    <row r="4278" spans="1:18" x14ac:dyDescent="0.25">
      <c r="A4278" s="15"/>
      <c r="R4278" s="15"/>
    </row>
    <row r="4279" spans="1:18" x14ac:dyDescent="0.25">
      <c r="A4279" s="15"/>
      <c r="R4279" s="15"/>
    </row>
    <row r="4280" spans="1:18" x14ac:dyDescent="0.25">
      <c r="A4280" s="15"/>
      <c r="R4280" s="15"/>
    </row>
    <row r="4281" spans="1:18" x14ac:dyDescent="0.25">
      <c r="A4281" s="15"/>
      <c r="R4281" s="15"/>
    </row>
    <row r="4282" spans="1:18" x14ac:dyDescent="0.25">
      <c r="A4282" s="15"/>
      <c r="R4282" s="15"/>
    </row>
    <row r="4283" spans="1:18" x14ac:dyDescent="0.25">
      <c r="A4283" s="15"/>
      <c r="R4283" s="15"/>
    </row>
    <row r="4284" spans="1:18" x14ac:dyDescent="0.25">
      <c r="A4284" s="15"/>
      <c r="R4284" s="15"/>
    </row>
    <row r="4285" spans="1:18" x14ac:dyDescent="0.25">
      <c r="A4285" s="15"/>
      <c r="R4285" s="15"/>
    </row>
    <row r="4286" spans="1:18" x14ac:dyDescent="0.25">
      <c r="A4286" s="15"/>
      <c r="R4286" s="15"/>
    </row>
    <row r="4287" spans="1:18" x14ac:dyDescent="0.25">
      <c r="A4287" s="15"/>
      <c r="R4287" s="15"/>
    </row>
    <row r="4288" spans="1:18" x14ac:dyDescent="0.25">
      <c r="A4288" s="15"/>
      <c r="R4288" s="15"/>
    </row>
    <row r="4289" spans="1:18" x14ac:dyDescent="0.25">
      <c r="A4289" s="15"/>
      <c r="R4289" s="15"/>
    </row>
    <row r="4290" spans="1:18" x14ac:dyDescent="0.25">
      <c r="A4290" s="15"/>
      <c r="R4290" s="15"/>
    </row>
    <row r="4291" spans="1:18" x14ac:dyDescent="0.25">
      <c r="A4291" s="15"/>
      <c r="R4291" s="15"/>
    </row>
    <row r="4292" spans="1:18" x14ac:dyDescent="0.25">
      <c r="A4292" s="15"/>
      <c r="R4292" s="15"/>
    </row>
    <row r="4293" spans="1:18" x14ac:dyDescent="0.25">
      <c r="A4293" s="15"/>
      <c r="R4293" s="15"/>
    </row>
    <row r="4294" spans="1:18" x14ac:dyDescent="0.25">
      <c r="A4294" s="15"/>
      <c r="R4294" s="15"/>
    </row>
    <row r="4295" spans="1:18" x14ac:dyDescent="0.25">
      <c r="A4295" s="15"/>
      <c r="R4295" s="15"/>
    </row>
    <row r="4296" spans="1:18" x14ac:dyDescent="0.25">
      <c r="A4296" s="15"/>
      <c r="R4296" s="15"/>
    </row>
    <row r="4297" spans="1:18" x14ac:dyDescent="0.25">
      <c r="A4297" s="15"/>
      <c r="R4297" s="15"/>
    </row>
    <row r="4298" spans="1:18" x14ac:dyDescent="0.25">
      <c r="A4298" s="15"/>
      <c r="R4298" s="15"/>
    </row>
    <row r="4299" spans="1:18" x14ac:dyDescent="0.25">
      <c r="A4299" s="15"/>
      <c r="R4299" s="15"/>
    </row>
    <row r="4300" spans="1:18" x14ac:dyDescent="0.25">
      <c r="A4300" s="15"/>
      <c r="R4300" s="15"/>
    </row>
    <row r="4301" spans="1:18" x14ac:dyDescent="0.25">
      <c r="A4301" s="15"/>
      <c r="R4301" s="15"/>
    </row>
    <row r="4302" spans="1:18" x14ac:dyDescent="0.25">
      <c r="A4302" s="15"/>
      <c r="R4302" s="15"/>
    </row>
    <row r="4303" spans="1:18" x14ac:dyDescent="0.25">
      <c r="A4303" s="15"/>
      <c r="R4303" s="15"/>
    </row>
    <row r="4304" spans="1:18" x14ac:dyDescent="0.25">
      <c r="A4304" s="15"/>
      <c r="R4304" s="15"/>
    </row>
    <row r="4305" spans="1:18" x14ac:dyDescent="0.25">
      <c r="A4305" s="15"/>
      <c r="R4305" s="15"/>
    </row>
    <row r="4306" spans="1:18" x14ac:dyDescent="0.25">
      <c r="A4306" s="15"/>
      <c r="R4306" s="15"/>
    </row>
    <row r="4307" spans="1:18" x14ac:dyDescent="0.25">
      <c r="A4307" s="15"/>
      <c r="R4307" s="15"/>
    </row>
    <row r="4308" spans="1:18" x14ac:dyDescent="0.25">
      <c r="A4308" s="15"/>
      <c r="R4308" s="15"/>
    </row>
    <row r="4309" spans="1:18" x14ac:dyDescent="0.25">
      <c r="A4309" s="15"/>
      <c r="R4309" s="15"/>
    </row>
    <row r="4310" spans="1:18" x14ac:dyDescent="0.25">
      <c r="A4310" s="15"/>
      <c r="R4310" s="15"/>
    </row>
    <row r="4311" spans="1:18" x14ac:dyDescent="0.25">
      <c r="A4311" s="15"/>
      <c r="R4311" s="15"/>
    </row>
    <row r="4312" spans="1:18" x14ac:dyDescent="0.25">
      <c r="A4312" s="15"/>
      <c r="R4312" s="15"/>
    </row>
    <row r="4313" spans="1:18" x14ac:dyDescent="0.25">
      <c r="A4313" s="15"/>
      <c r="R4313" s="15"/>
    </row>
    <row r="4314" spans="1:18" x14ac:dyDescent="0.25">
      <c r="A4314" s="15"/>
      <c r="R4314" s="15"/>
    </row>
    <row r="4315" spans="1:18" x14ac:dyDescent="0.25">
      <c r="A4315" s="15"/>
      <c r="R4315" s="15"/>
    </row>
    <row r="4316" spans="1:18" x14ac:dyDescent="0.25">
      <c r="A4316" s="15"/>
      <c r="R4316" s="15"/>
    </row>
    <row r="4317" spans="1:18" x14ac:dyDescent="0.25">
      <c r="A4317" s="15"/>
      <c r="R4317" s="15"/>
    </row>
    <row r="4318" spans="1:18" x14ac:dyDescent="0.25">
      <c r="A4318" s="15"/>
      <c r="R4318" s="15"/>
    </row>
    <row r="4319" spans="1:18" x14ac:dyDescent="0.25">
      <c r="A4319" s="15"/>
      <c r="R4319" s="15"/>
    </row>
    <row r="4320" spans="1:18" x14ac:dyDescent="0.25">
      <c r="A4320" s="15"/>
      <c r="R4320" s="15"/>
    </row>
    <row r="4321" spans="1:18" x14ac:dyDescent="0.25">
      <c r="A4321" s="15"/>
      <c r="R4321" s="15"/>
    </row>
    <row r="4322" spans="1:18" x14ac:dyDescent="0.25">
      <c r="A4322" s="15"/>
      <c r="R4322" s="15"/>
    </row>
    <row r="4323" spans="1:18" x14ac:dyDescent="0.25">
      <c r="A4323" s="15"/>
      <c r="R4323" s="15"/>
    </row>
    <row r="4324" spans="1:18" x14ac:dyDescent="0.25">
      <c r="A4324" s="15"/>
      <c r="R4324" s="15"/>
    </row>
    <row r="4325" spans="1:18" x14ac:dyDescent="0.25">
      <c r="A4325" s="15"/>
      <c r="R4325" s="15"/>
    </row>
    <row r="4326" spans="1:18" x14ac:dyDescent="0.25">
      <c r="A4326" s="15"/>
      <c r="R4326" s="15"/>
    </row>
    <row r="4327" spans="1:18" x14ac:dyDescent="0.25">
      <c r="A4327" s="15"/>
      <c r="R4327" s="15"/>
    </row>
    <row r="4328" spans="1:18" x14ac:dyDescent="0.25">
      <c r="A4328" s="15"/>
      <c r="R4328" s="15"/>
    </row>
    <row r="4329" spans="1:18" x14ac:dyDescent="0.25">
      <c r="A4329" s="15"/>
      <c r="R4329" s="15"/>
    </row>
    <row r="4330" spans="1:18" x14ac:dyDescent="0.25">
      <c r="A4330" s="15"/>
      <c r="R4330" s="15"/>
    </row>
    <row r="4331" spans="1:18" x14ac:dyDescent="0.25">
      <c r="A4331" s="15"/>
      <c r="R4331" s="15"/>
    </row>
    <row r="4332" spans="1:18" x14ac:dyDescent="0.25">
      <c r="A4332" s="15"/>
      <c r="R4332" s="15"/>
    </row>
    <row r="4333" spans="1:18" x14ac:dyDescent="0.25">
      <c r="A4333" s="15"/>
      <c r="R4333" s="15"/>
    </row>
    <row r="4334" spans="1:18" x14ac:dyDescent="0.25">
      <c r="A4334" s="15"/>
      <c r="R4334" s="15"/>
    </row>
    <row r="4335" spans="1:18" x14ac:dyDescent="0.25">
      <c r="A4335" s="15"/>
      <c r="R4335" s="15"/>
    </row>
    <row r="4336" spans="1:18" x14ac:dyDescent="0.25">
      <c r="A4336" s="15"/>
      <c r="R4336" s="15"/>
    </row>
    <row r="4337" spans="1:18" x14ac:dyDescent="0.25">
      <c r="A4337" s="15"/>
      <c r="R4337" s="15"/>
    </row>
    <row r="4338" spans="1:18" x14ac:dyDescent="0.25">
      <c r="A4338" s="15"/>
      <c r="R4338" s="15"/>
    </row>
    <row r="4339" spans="1:18" x14ac:dyDescent="0.25">
      <c r="A4339" s="15"/>
      <c r="R4339" s="15"/>
    </row>
    <row r="4340" spans="1:18" x14ac:dyDescent="0.25">
      <c r="A4340" s="15"/>
      <c r="R4340" s="15"/>
    </row>
    <row r="4341" spans="1:18" x14ac:dyDescent="0.25">
      <c r="A4341" s="15"/>
      <c r="R4341" s="15"/>
    </row>
    <row r="4342" spans="1:18" x14ac:dyDescent="0.25">
      <c r="A4342" s="15"/>
      <c r="R4342" s="15"/>
    </row>
    <row r="4343" spans="1:18" x14ac:dyDescent="0.25">
      <c r="A4343" s="15"/>
      <c r="R4343" s="15"/>
    </row>
    <row r="4344" spans="1:18" x14ac:dyDescent="0.25">
      <c r="A4344" s="15"/>
      <c r="R4344" s="15"/>
    </row>
    <row r="4345" spans="1:18" x14ac:dyDescent="0.25">
      <c r="A4345" s="15"/>
      <c r="R4345" s="15"/>
    </row>
    <row r="4346" spans="1:18" x14ac:dyDescent="0.25">
      <c r="A4346" s="15"/>
      <c r="R4346" s="15"/>
    </row>
    <row r="4347" spans="1:18" x14ac:dyDescent="0.25">
      <c r="A4347" s="15"/>
      <c r="R4347" s="15"/>
    </row>
    <row r="4348" spans="1:18" x14ac:dyDescent="0.25">
      <c r="A4348" s="15"/>
      <c r="R4348" s="15"/>
    </row>
    <row r="4349" spans="1:18" x14ac:dyDescent="0.25">
      <c r="A4349" s="15"/>
      <c r="R4349" s="15"/>
    </row>
    <row r="4350" spans="1:18" x14ac:dyDescent="0.25">
      <c r="A4350" s="15"/>
      <c r="R4350" s="15"/>
    </row>
    <row r="4351" spans="1:18" x14ac:dyDescent="0.25">
      <c r="A4351" s="15"/>
      <c r="R4351" s="15"/>
    </row>
    <row r="4352" spans="1:18" x14ac:dyDescent="0.25">
      <c r="A4352" s="15"/>
      <c r="R4352" s="15"/>
    </row>
    <row r="4353" spans="1:18" x14ac:dyDescent="0.25">
      <c r="A4353" s="15"/>
      <c r="R4353" s="15"/>
    </row>
    <row r="4354" spans="1:18" x14ac:dyDescent="0.25">
      <c r="A4354" s="15"/>
      <c r="R4354" s="15"/>
    </row>
    <row r="4355" spans="1:18" x14ac:dyDescent="0.25">
      <c r="A4355" s="15"/>
      <c r="R4355" s="15"/>
    </row>
    <row r="4356" spans="1:18" x14ac:dyDescent="0.25">
      <c r="A4356" s="15"/>
      <c r="R4356" s="15"/>
    </row>
    <row r="4357" spans="1:18" x14ac:dyDescent="0.25">
      <c r="A4357" s="15"/>
      <c r="R4357" s="15"/>
    </row>
    <row r="4358" spans="1:18" x14ac:dyDescent="0.25">
      <c r="A4358" s="15"/>
      <c r="R4358" s="15"/>
    </row>
    <row r="4359" spans="1:18" x14ac:dyDescent="0.25">
      <c r="A4359" s="15"/>
      <c r="R4359" s="15"/>
    </row>
    <row r="4360" spans="1:18" x14ac:dyDescent="0.25">
      <c r="A4360" s="15"/>
      <c r="R4360" s="15"/>
    </row>
    <row r="4361" spans="1:18" x14ac:dyDescent="0.25">
      <c r="A4361" s="15"/>
      <c r="R4361" s="15"/>
    </row>
    <row r="4362" spans="1:18" x14ac:dyDescent="0.25">
      <c r="A4362" s="15"/>
      <c r="R4362" s="15"/>
    </row>
    <row r="4363" spans="1:18" x14ac:dyDescent="0.25">
      <c r="A4363" s="15"/>
      <c r="R4363" s="15"/>
    </row>
    <row r="4364" spans="1:18" x14ac:dyDescent="0.25">
      <c r="A4364" s="15"/>
      <c r="R4364" s="15"/>
    </row>
    <row r="4365" spans="1:18" x14ac:dyDescent="0.25">
      <c r="A4365" s="15"/>
      <c r="R4365" s="15"/>
    </row>
    <row r="4366" spans="1:18" x14ac:dyDescent="0.25">
      <c r="A4366" s="15"/>
      <c r="R4366" s="15"/>
    </row>
    <row r="4367" spans="1:18" x14ac:dyDescent="0.25">
      <c r="A4367" s="15"/>
      <c r="R4367" s="15"/>
    </row>
    <row r="4368" spans="1:18" x14ac:dyDescent="0.25">
      <c r="A4368" s="15"/>
      <c r="R4368" s="15"/>
    </row>
    <row r="4369" spans="1:18" x14ac:dyDescent="0.25">
      <c r="A4369" s="15"/>
      <c r="R4369" s="15"/>
    </row>
    <row r="4370" spans="1:18" x14ac:dyDescent="0.25">
      <c r="A4370" s="15"/>
      <c r="R4370" s="15"/>
    </row>
    <row r="4371" spans="1:18" x14ac:dyDescent="0.25">
      <c r="A4371" s="15"/>
      <c r="R4371" s="15"/>
    </row>
    <row r="4372" spans="1:18" x14ac:dyDescent="0.25">
      <c r="A4372" s="15"/>
      <c r="R4372" s="15"/>
    </row>
    <row r="4373" spans="1:18" x14ac:dyDescent="0.25">
      <c r="A4373" s="15"/>
      <c r="R4373" s="15"/>
    </row>
    <row r="4374" spans="1:18" x14ac:dyDescent="0.25">
      <c r="A4374" s="15"/>
      <c r="R4374" s="15"/>
    </row>
    <row r="4375" spans="1:18" x14ac:dyDescent="0.25">
      <c r="A4375" s="15"/>
      <c r="R4375" s="15"/>
    </row>
    <row r="4376" spans="1:18" x14ac:dyDescent="0.25">
      <c r="A4376" s="15"/>
      <c r="R4376" s="15"/>
    </row>
    <row r="4377" spans="1:18" x14ac:dyDescent="0.25">
      <c r="A4377" s="15"/>
      <c r="R4377" s="15"/>
    </row>
    <row r="4378" spans="1:18" x14ac:dyDescent="0.25">
      <c r="A4378" s="15"/>
      <c r="R4378" s="15"/>
    </row>
    <row r="4379" spans="1:18" x14ac:dyDescent="0.25">
      <c r="A4379" s="15"/>
      <c r="R4379" s="15"/>
    </row>
    <row r="4380" spans="1:18" x14ac:dyDescent="0.25">
      <c r="A4380" s="15"/>
      <c r="R4380" s="15"/>
    </row>
    <row r="4381" spans="1:18" x14ac:dyDescent="0.25">
      <c r="A4381" s="15"/>
      <c r="R4381" s="15"/>
    </row>
    <row r="4382" spans="1:18" x14ac:dyDescent="0.25">
      <c r="A4382" s="15"/>
      <c r="R4382" s="15"/>
    </row>
    <row r="4383" spans="1:18" x14ac:dyDescent="0.25">
      <c r="A4383" s="15"/>
      <c r="R4383" s="15"/>
    </row>
    <row r="4384" spans="1:18" x14ac:dyDescent="0.25">
      <c r="A4384" s="15"/>
      <c r="R4384" s="15"/>
    </row>
    <row r="4385" spans="1:18" x14ac:dyDescent="0.25">
      <c r="A4385" s="15"/>
      <c r="R4385" s="15"/>
    </row>
    <row r="4386" spans="1:18" x14ac:dyDescent="0.25">
      <c r="A4386" s="15"/>
      <c r="R4386" s="15"/>
    </row>
    <row r="4387" spans="1:18" x14ac:dyDescent="0.25">
      <c r="A4387" s="15"/>
      <c r="R4387" s="15"/>
    </row>
    <row r="4388" spans="1:18" x14ac:dyDescent="0.25">
      <c r="A4388" s="15"/>
      <c r="R4388" s="15"/>
    </row>
    <row r="4389" spans="1:18" x14ac:dyDescent="0.25">
      <c r="A4389" s="15"/>
      <c r="R4389" s="15"/>
    </row>
    <row r="4390" spans="1:18" x14ac:dyDescent="0.25">
      <c r="A4390" s="15"/>
      <c r="R4390" s="15"/>
    </row>
    <row r="4391" spans="1:18" x14ac:dyDescent="0.25">
      <c r="A4391" s="15"/>
      <c r="R4391" s="15"/>
    </row>
    <row r="4392" spans="1:18" x14ac:dyDescent="0.25">
      <c r="A4392" s="15"/>
      <c r="R4392" s="15"/>
    </row>
    <row r="4393" spans="1:18" x14ac:dyDescent="0.25">
      <c r="A4393" s="15"/>
      <c r="R4393" s="15"/>
    </row>
    <row r="4394" spans="1:18" x14ac:dyDescent="0.25">
      <c r="A4394" s="15"/>
      <c r="R4394" s="15"/>
    </row>
    <row r="4395" spans="1:18" x14ac:dyDescent="0.25">
      <c r="A4395" s="15"/>
      <c r="R4395" s="15"/>
    </row>
    <row r="4396" spans="1:18" x14ac:dyDescent="0.25">
      <c r="A4396" s="15"/>
      <c r="R4396" s="15"/>
    </row>
    <row r="4397" spans="1:18" x14ac:dyDescent="0.25">
      <c r="A4397" s="15"/>
      <c r="R4397" s="15"/>
    </row>
    <row r="4398" spans="1:18" x14ac:dyDescent="0.25">
      <c r="A4398" s="15"/>
      <c r="R4398" s="15"/>
    </row>
    <row r="4399" spans="1:18" x14ac:dyDescent="0.25">
      <c r="A4399" s="15"/>
      <c r="R4399" s="15"/>
    </row>
    <row r="4400" spans="1:18" x14ac:dyDescent="0.25">
      <c r="A4400" s="15"/>
      <c r="R4400" s="15"/>
    </row>
    <row r="4401" spans="1:18" x14ac:dyDescent="0.25">
      <c r="A4401" s="15"/>
      <c r="R4401" s="15"/>
    </row>
    <row r="4402" spans="1:18" x14ac:dyDescent="0.25">
      <c r="A4402" s="15"/>
      <c r="R4402" s="15"/>
    </row>
    <row r="4403" spans="1:18" x14ac:dyDescent="0.25">
      <c r="A4403" s="15"/>
      <c r="R4403" s="15"/>
    </row>
    <row r="4404" spans="1:18" x14ac:dyDescent="0.25">
      <c r="A4404" s="15"/>
      <c r="R4404" s="15"/>
    </row>
    <row r="4405" spans="1:18" x14ac:dyDescent="0.25">
      <c r="A4405" s="15"/>
      <c r="R4405" s="15"/>
    </row>
    <row r="4406" spans="1:18" x14ac:dyDescent="0.25">
      <c r="A4406" s="15"/>
      <c r="R4406" s="15"/>
    </row>
    <row r="4407" spans="1:18" x14ac:dyDescent="0.25">
      <c r="A4407" s="15"/>
      <c r="R4407" s="15"/>
    </row>
    <row r="4408" spans="1:18" x14ac:dyDescent="0.25">
      <c r="A4408" s="15"/>
      <c r="R4408" s="15"/>
    </row>
    <row r="4409" spans="1:18" x14ac:dyDescent="0.25">
      <c r="A4409" s="15"/>
      <c r="R4409" s="15"/>
    </row>
    <row r="4410" spans="1:18" x14ac:dyDescent="0.25">
      <c r="A4410" s="15"/>
      <c r="R4410" s="15"/>
    </row>
    <row r="4411" spans="1:18" x14ac:dyDescent="0.25">
      <c r="A4411" s="15"/>
      <c r="R4411" s="15"/>
    </row>
    <row r="4412" spans="1:18" x14ac:dyDescent="0.25">
      <c r="A4412" s="15"/>
      <c r="R4412" s="15"/>
    </row>
    <row r="4413" spans="1:18" x14ac:dyDescent="0.25">
      <c r="A4413" s="15"/>
      <c r="R4413" s="15"/>
    </row>
    <row r="4414" spans="1:18" x14ac:dyDescent="0.25">
      <c r="A4414" s="15"/>
      <c r="R4414" s="15"/>
    </row>
    <row r="4415" spans="1:18" x14ac:dyDescent="0.25">
      <c r="A4415" s="15"/>
      <c r="R4415" s="15"/>
    </row>
    <row r="4416" spans="1:18" x14ac:dyDescent="0.25">
      <c r="A4416" s="15"/>
      <c r="R4416" s="15"/>
    </row>
    <row r="4417" spans="1:18" x14ac:dyDescent="0.25">
      <c r="A4417" s="15"/>
      <c r="R4417" s="15"/>
    </row>
    <row r="4418" spans="1:18" x14ac:dyDescent="0.25">
      <c r="A4418" s="15"/>
      <c r="R4418" s="15"/>
    </row>
    <row r="4419" spans="1:18" x14ac:dyDescent="0.25">
      <c r="A4419" s="15"/>
      <c r="R4419" s="15"/>
    </row>
    <row r="4420" spans="1:18" x14ac:dyDescent="0.25">
      <c r="A4420" s="15"/>
      <c r="R4420" s="15"/>
    </row>
    <row r="4421" spans="1:18" x14ac:dyDescent="0.25">
      <c r="A4421" s="15"/>
      <c r="R4421" s="15"/>
    </row>
    <row r="4422" spans="1:18" x14ac:dyDescent="0.25">
      <c r="A4422" s="15"/>
      <c r="R4422" s="15"/>
    </row>
    <row r="4423" spans="1:18" x14ac:dyDescent="0.25">
      <c r="A4423" s="15"/>
      <c r="R4423" s="15"/>
    </row>
    <row r="4424" spans="1:18" x14ac:dyDescent="0.25">
      <c r="A4424" s="15"/>
      <c r="R4424" s="15"/>
    </row>
    <row r="4425" spans="1:18" x14ac:dyDescent="0.25">
      <c r="A4425" s="15"/>
      <c r="R4425" s="15"/>
    </row>
    <row r="4426" spans="1:18" x14ac:dyDescent="0.25">
      <c r="A4426" s="15"/>
      <c r="R4426" s="15"/>
    </row>
    <row r="4427" spans="1:18" x14ac:dyDescent="0.25">
      <c r="A4427" s="15"/>
      <c r="R4427" s="15"/>
    </row>
    <row r="4428" spans="1:18" x14ac:dyDescent="0.25">
      <c r="A4428" s="15"/>
      <c r="R4428" s="15"/>
    </row>
    <row r="4429" spans="1:18" x14ac:dyDescent="0.25">
      <c r="A4429" s="15"/>
      <c r="R4429" s="15"/>
    </row>
    <row r="4430" spans="1:18" x14ac:dyDescent="0.25">
      <c r="A4430" s="15"/>
      <c r="R4430" s="15"/>
    </row>
    <row r="4431" spans="1:18" x14ac:dyDescent="0.25">
      <c r="A4431" s="15"/>
      <c r="R4431" s="15"/>
    </row>
    <row r="4432" spans="1:18" x14ac:dyDescent="0.25">
      <c r="A4432" s="15"/>
      <c r="R4432" s="15"/>
    </row>
    <row r="4433" spans="1:18" x14ac:dyDescent="0.25">
      <c r="A4433" s="15"/>
      <c r="R4433" s="15"/>
    </row>
    <row r="4434" spans="1:18" x14ac:dyDescent="0.25">
      <c r="A4434" s="15"/>
      <c r="R4434" s="15"/>
    </row>
    <row r="4435" spans="1:18" x14ac:dyDescent="0.25">
      <c r="A4435" s="15"/>
      <c r="R4435" s="15"/>
    </row>
    <row r="4436" spans="1:18" x14ac:dyDescent="0.25">
      <c r="A4436" s="15"/>
      <c r="R4436" s="15"/>
    </row>
    <row r="4437" spans="1:18" x14ac:dyDescent="0.25">
      <c r="A4437" s="15"/>
      <c r="R4437" s="15"/>
    </row>
    <row r="4438" spans="1:18" x14ac:dyDescent="0.25">
      <c r="A4438" s="15"/>
      <c r="R4438" s="15"/>
    </row>
    <row r="4439" spans="1:18" x14ac:dyDescent="0.25">
      <c r="A4439" s="15"/>
      <c r="R4439" s="15"/>
    </row>
    <row r="4440" spans="1:18" x14ac:dyDescent="0.25">
      <c r="A4440" s="15"/>
      <c r="R4440" s="15"/>
    </row>
    <row r="4441" spans="1:18" x14ac:dyDescent="0.25">
      <c r="A4441" s="15"/>
      <c r="R4441" s="15"/>
    </row>
    <row r="4442" spans="1:18" x14ac:dyDescent="0.25">
      <c r="A4442" s="15"/>
      <c r="R4442" s="15"/>
    </row>
    <row r="4443" spans="1:18" x14ac:dyDescent="0.25">
      <c r="A4443" s="15"/>
      <c r="R4443" s="15"/>
    </row>
    <row r="4444" spans="1:18" x14ac:dyDescent="0.25">
      <c r="A4444" s="15"/>
      <c r="R4444" s="15"/>
    </row>
    <row r="4445" spans="1:18" x14ac:dyDescent="0.25">
      <c r="A4445" s="15"/>
      <c r="R4445" s="15"/>
    </row>
    <row r="4446" spans="1:18" x14ac:dyDescent="0.25">
      <c r="A4446" s="15"/>
      <c r="R4446" s="15"/>
    </row>
    <row r="4447" spans="1:18" x14ac:dyDescent="0.25">
      <c r="A4447" s="15"/>
      <c r="R4447" s="15"/>
    </row>
    <row r="4448" spans="1:18" x14ac:dyDescent="0.25">
      <c r="A4448" s="15"/>
      <c r="R4448" s="15"/>
    </row>
    <row r="4449" spans="1:18" x14ac:dyDescent="0.25">
      <c r="A4449" s="15"/>
      <c r="R4449" s="15"/>
    </row>
    <row r="4450" spans="1:18" x14ac:dyDescent="0.25">
      <c r="A4450" s="15"/>
      <c r="R4450" s="15"/>
    </row>
    <row r="4451" spans="1:18" x14ac:dyDescent="0.25">
      <c r="A4451" s="15"/>
      <c r="R4451" s="15"/>
    </row>
    <row r="4452" spans="1:18" x14ac:dyDescent="0.25">
      <c r="A4452" s="15"/>
      <c r="R4452" s="15"/>
    </row>
    <row r="4453" spans="1:18" x14ac:dyDescent="0.25">
      <c r="A4453" s="15"/>
      <c r="R4453" s="15"/>
    </row>
    <row r="4454" spans="1:18" x14ac:dyDescent="0.25">
      <c r="A4454" s="15"/>
      <c r="R4454" s="15"/>
    </row>
    <row r="4455" spans="1:18" x14ac:dyDescent="0.25">
      <c r="A4455" s="15"/>
      <c r="R4455" s="15"/>
    </row>
    <row r="4456" spans="1:18" x14ac:dyDescent="0.25">
      <c r="A4456" s="15"/>
      <c r="R4456" s="15"/>
    </row>
    <row r="4457" spans="1:18" x14ac:dyDescent="0.25">
      <c r="A4457" s="15"/>
      <c r="R4457" s="15"/>
    </row>
    <row r="4458" spans="1:18" x14ac:dyDescent="0.25">
      <c r="A4458" s="15"/>
      <c r="R4458" s="15"/>
    </row>
    <row r="4459" spans="1:18" x14ac:dyDescent="0.25">
      <c r="A4459" s="15"/>
      <c r="R4459" s="15"/>
    </row>
    <row r="4460" spans="1:18" x14ac:dyDescent="0.25">
      <c r="A4460" s="15"/>
      <c r="R4460" s="15"/>
    </row>
    <row r="4461" spans="1:18" x14ac:dyDescent="0.25">
      <c r="A4461" s="15"/>
      <c r="R4461" s="15"/>
    </row>
    <row r="4462" spans="1:18" x14ac:dyDescent="0.25">
      <c r="A4462" s="15"/>
      <c r="R4462" s="15"/>
    </row>
    <row r="4463" spans="1:18" x14ac:dyDescent="0.25">
      <c r="A4463" s="15"/>
      <c r="R4463" s="15"/>
    </row>
    <row r="4464" spans="1:18" x14ac:dyDescent="0.25">
      <c r="A4464" s="15"/>
      <c r="R4464" s="15"/>
    </row>
    <row r="4465" spans="1:18" x14ac:dyDescent="0.25">
      <c r="A4465" s="15"/>
      <c r="R4465" s="15"/>
    </row>
    <row r="4466" spans="1:18" x14ac:dyDescent="0.25">
      <c r="A4466" s="15"/>
      <c r="R4466" s="15"/>
    </row>
    <row r="4467" spans="1:18" x14ac:dyDescent="0.25">
      <c r="A4467" s="15"/>
      <c r="R4467" s="15"/>
    </row>
    <row r="4468" spans="1:18" x14ac:dyDescent="0.25">
      <c r="A4468" s="15"/>
      <c r="R4468" s="15"/>
    </row>
    <row r="4469" spans="1:18" x14ac:dyDescent="0.25">
      <c r="A4469" s="15"/>
      <c r="R4469" s="15"/>
    </row>
    <row r="4470" spans="1:18" x14ac:dyDescent="0.25">
      <c r="A4470" s="15"/>
      <c r="R4470" s="15"/>
    </row>
    <row r="4471" spans="1:18" x14ac:dyDescent="0.25">
      <c r="A4471" s="15"/>
      <c r="R4471" s="15"/>
    </row>
    <row r="4472" spans="1:18" x14ac:dyDescent="0.25">
      <c r="A4472" s="15"/>
      <c r="R4472" s="15"/>
    </row>
    <row r="4473" spans="1:18" x14ac:dyDescent="0.25">
      <c r="A4473" s="15"/>
      <c r="R4473" s="15"/>
    </row>
    <row r="4474" spans="1:18" x14ac:dyDescent="0.25">
      <c r="A4474" s="15"/>
      <c r="R4474" s="15"/>
    </row>
    <row r="4475" spans="1:18" x14ac:dyDescent="0.25">
      <c r="A4475" s="15"/>
      <c r="R4475" s="15"/>
    </row>
    <row r="4476" spans="1:18" x14ac:dyDescent="0.25">
      <c r="A4476" s="15"/>
      <c r="R4476" s="15"/>
    </row>
    <row r="4477" spans="1:18" x14ac:dyDescent="0.25">
      <c r="A4477" s="15"/>
      <c r="R4477" s="15"/>
    </row>
    <row r="4478" spans="1:18" x14ac:dyDescent="0.25">
      <c r="A4478" s="15"/>
      <c r="R4478" s="15"/>
    </row>
    <row r="4479" spans="1:18" x14ac:dyDescent="0.25">
      <c r="A4479" s="15"/>
      <c r="R4479" s="15"/>
    </row>
    <row r="4480" spans="1:18" x14ac:dyDescent="0.25">
      <c r="A4480" s="15"/>
      <c r="R4480" s="15"/>
    </row>
    <row r="4481" spans="1:18" x14ac:dyDescent="0.25">
      <c r="A4481" s="15"/>
      <c r="R4481" s="15"/>
    </row>
    <row r="4482" spans="1:18" x14ac:dyDescent="0.25">
      <c r="A4482" s="15"/>
      <c r="R4482" s="15"/>
    </row>
    <row r="4483" spans="1:18" x14ac:dyDescent="0.25">
      <c r="A4483" s="15"/>
      <c r="R4483" s="15"/>
    </row>
    <row r="4484" spans="1:18" x14ac:dyDescent="0.25">
      <c r="A4484" s="15"/>
      <c r="R4484" s="15"/>
    </row>
    <row r="4485" spans="1:18" x14ac:dyDescent="0.25">
      <c r="A4485" s="15"/>
      <c r="R4485" s="15"/>
    </row>
    <row r="4486" spans="1:18" x14ac:dyDescent="0.25">
      <c r="A4486" s="15"/>
      <c r="R4486" s="15"/>
    </row>
    <row r="4487" spans="1:18" x14ac:dyDescent="0.25">
      <c r="A4487" s="15"/>
      <c r="R4487" s="15"/>
    </row>
    <row r="4488" spans="1:18" x14ac:dyDescent="0.25">
      <c r="A4488" s="15"/>
      <c r="R4488" s="15"/>
    </row>
    <row r="4489" spans="1:18" x14ac:dyDescent="0.25">
      <c r="A4489" s="15"/>
      <c r="R4489" s="15"/>
    </row>
    <row r="4490" spans="1:18" x14ac:dyDescent="0.25">
      <c r="A4490" s="15"/>
      <c r="R4490" s="15"/>
    </row>
    <row r="4491" spans="1:18" x14ac:dyDescent="0.25">
      <c r="A4491" s="15"/>
      <c r="R4491" s="15"/>
    </row>
    <row r="4492" spans="1:18" x14ac:dyDescent="0.25">
      <c r="A4492" s="15"/>
      <c r="R4492" s="15"/>
    </row>
    <row r="4493" spans="1:18" x14ac:dyDescent="0.25">
      <c r="A4493" s="15"/>
      <c r="R4493" s="15"/>
    </row>
    <row r="4494" spans="1:18" x14ac:dyDescent="0.25">
      <c r="A4494" s="15"/>
      <c r="R4494" s="15"/>
    </row>
    <row r="4495" spans="1:18" x14ac:dyDescent="0.25">
      <c r="A4495" s="15"/>
      <c r="R4495" s="15"/>
    </row>
    <row r="4496" spans="1:18" x14ac:dyDescent="0.25">
      <c r="A4496" s="15"/>
      <c r="R4496" s="15"/>
    </row>
    <row r="4497" spans="1:18" x14ac:dyDescent="0.25">
      <c r="A4497" s="15"/>
      <c r="R4497" s="15"/>
    </row>
    <row r="4498" spans="1:18" x14ac:dyDescent="0.25">
      <c r="A4498" s="15"/>
      <c r="R4498" s="15"/>
    </row>
    <row r="4499" spans="1:18" x14ac:dyDescent="0.25">
      <c r="A4499" s="15"/>
      <c r="R4499" s="15"/>
    </row>
    <row r="4500" spans="1:18" x14ac:dyDescent="0.25">
      <c r="A4500" s="15"/>
      <c r="R4500" s="15"/>
    </row>
    <row r="4501" spans="1:18" x14ac:dyDescent="0.25">
      <c r="A4501" s="15"/>
      <c r="R4501" s="15"/>
    </row>
    <row r="4502" spans="1:18" x14ac:dyDescent="0.25">
      <c r="A4502" s="15"/>
      <c r="R4502" s="15"/>
    </row>
    <row r="4503" spans="1:18" x14ac:dyDescent="0.25">
      <c r="A4503" s="15"/>
      <c r="R4503" s="15"/>
    </row>
    <row r="4504" spans="1:18" x14ac:dyDescent="0.25">
      <c r="A4504" s="15"/>
      <c r="R4504" s="15"/>
    </row>
    <row r="4505" spans="1:18" x14ac:dyDescent="0.25">
      <c r="A4505" s="15"/>
      <c r="R4505" s="15"/>
    </row>
    <row r="4506" spans="1:18" x14ac:dyDescent="0.25">
      <c r="A4506" s="15"/>
      <c r="R4506" s="15"/>
    </row>
    <row r="4507" spans="1:18" x14ac:dyDescent="0.25">
      <c r="A4507" s="15"/>
      <c r="R4507" s="15"/>
    </row>
    <row r="4508" spans="1:18" x14ac:dyDescent="0.25">
      <c r="A4508" s="15"/>
      <c r="R4508" s="15"/>
    </row>
    <row r="4509" spans="1:18" x14ac:dyDescent="0.25">
      <c r="A4509" s="15"/>
      <c r="R4509" s="15"/>
    </row>
    <row r="4510" spans="1:18" x14ac:dyDescent="0.25">
      <c r="A4510" s="15"/>
      <c r="R4510" s="15"/>
    </row>
    <row r="4511" spans="1:18" x14ac:dyDescent="0.25">
      <c r="A4511" s="15"/>
      <c r="R4511" s="15"/>
    </row>
    <row r="4512" spans="1:18" x14ac:dyDescent="0.25">
      <c r="A4512" s="15"/>
      <c r="R4512" s="15"/>
    </row>
    <row r="4513" spans="1:18" x14ac:dyDescent="0.25">
      <c r="A4513" s="15"/>
      <c r="R4513" s="15"/>
    </row>
    <row r="4514" spans="1:18" x14ac:dyDescent="0.25">
      <c r="A4514" s="15"/>
      <c r="R4514" s="15"/>
    </row>
    <row r="4515" spans="1:18" x14ac:dyDescent="0.25">
      <c r="A4515" s="15"/>
      <c r="R4515" s="15"/>
    </row>
    <row r="4516" spans="1:18" x14ac:dyDescent="0.25">
      <c r="A4516" s="15"/>
      <c r="R4516" s="15"/>
    </row>
    <row r="4517" spans="1:18" x14ac:dyDescent="0.25">
      <c r="A4517" s="15"/>
      <c r="R4517" s="15"/>
    </row>
    <row r="4518" spans="1:18" x14ac:dyDescent="0.25">
      <c r="A4518" s="15"/>
      <c r="R4518" s="15"/>
    </row>
    <row r="4519" spans="1:18" x14ac:dyDescent="0.25">
      <c r="A4519" s="15"/>
      <c r="R4519" s="15"/>
    </row>
    <row r="4520" spans="1:18" x14ac:dyDescent="0.25">
      <c r="A4520" s="15"/>
      <c r="R4520" s="15"/>
    </row>
    <row r="4521" spans="1:18" x14ac:dyDescent="0.25">
      <c r="A4521" s="15"/>
      <c r="R4521" s="15"/>
    </row>
    <row r="4522" spans="1:18" x14ac:dyDescent="0.25">
      <c r="A4522" s="15"/>
      <c r="R4522" s="15"/>
    </row>
    <row r="4523" spans="1:18" x14ac:dyDescent="0.25">
      <c r="A4523" s="15"/>
      <c r="R4523" s="15"/>
    </row>
    <row r="4524" spans="1:18" x14ac:dyDescent="0.25">
      <c r="A4524" s="15"/>
      <c r="R4524" s="15"/>
    </row>
    <row r="4525" spans="1:18" x14ac:dyDescent="0.25">
      <c r="A4525" s="15"/>
      <c r="R4525" s="15"/>
    </row>
    <row r="4526" spans="1:18" x14ac:dyDescent="0.25">
      <c r="A4526" s="15"/>
      <c r="R4526" s="15"/>
    </row>
    <row r="4527" spans="1:18" x14ac:dyDescent="0.25">
      <c r="A4527" s="15"/>
      <c r="R4527" s="15"/>
    </row>
    <row r="4528" spans="1:18" x14ac:dyDescent="0.25">
      <c r="A4528" s="15"/>
      <c r="R4528" s="15"/>
    </row>
    <row r="4529" spans="1:18" x14ac:dyDescent="0.25">
      <c r="A4529" s="15"/>
      <c r="R4529" s="15"/>
    </row>
    <row r="4530" spans="1:18" x14ac:dyDescent="0.25">
      <c r="A4530" s="15"/>
      <c r="R4530" s="15"/>
    </row>
    <row r="4531" spans="1:18" x14ac:dyDescent="0.25">
      <c r="A4531" s="15"/>
      <c r="R4531" s="15"/>
    </row>
    <row r="4532" spans="1:18" x14ac:dyDescent="0.25">
      <c r="A4532" s="15"/>
      <c r="R4532" s="15"/>
    </row>
    <row r="4533" spans="1:18" x14ac:dyDescent="0.25">
      <c r="A4533" s="15"/>
      <c r="R4533" s="15"/>
    </row>
    <row r="4534" spans="1:18" x14ac:dyDescent="0.25">
      <c r="A4534" s="15"/>
      <c r="R4534" s="15"/>
    </row>
    <row r="4535" spans="1:18" x14ac:dyDescent="0.25">
      <c r="A4535" s="15"/>
      <c r="R4535" s="15"/>
    </row>
    <row r="4536" spans="1:18" x14ac:dyDescent="0.25">
      <c r="A4536" s="15"/>
      <c r="R4536" s="15"/>
    </row>
    <row r="4537" spans="1:18" x14ac:dyDescent="0.25">
      <c r="A4537" s="15"/>
      <c r="R4537" s="15"/>
    </row>
    <row r="4538" spans="1:18" x14ac:dyDescent="0.25">
      <c r="A4538" s="15"/>
      <c r="R4538" s="15"/>
    </row>
    <row r="4539" spans="1:18" x14ac:dyDescent="0.25">
      <c r="A4539" s="15"/>
      <c r="R4539" s="15"/>
    </row>
    <row r="4540" spans="1:18" x14ac:dyDescent="0.25">
      <c r="A4540" s="15"/>
      <c r="R4540" s="15"/>
    </row>
    <row r="4541" spans="1:18" x14ac:dyDescent="0.25">
      <c r="A4541" s="15"/>
      <c r="R4541" s="15"/>
    </row>
    <row r="4542" spans="1:18" x14ac:dyDescent="0.25">
      <c r="A4542" s="15"/>
      <c r="R4542" s="15"/>
    </row>
    <row r="4543" spans="1:18" x14ac:dyDescent="0.25">
      <c r="A4543" s="15"/>
      <c r="R4543" s="15"/>
    </row>
    <row r="4544" spans="1:18" x14ac:dyDescent="0.25">
      <c r="A4544" s="15"/>
      <c r="R4544" s="15"/>
    </row>
    <row r="4545" spans="1:18" x14ac:dyDescent="0.25">
      <c r="A4545" s="15"/>
      <c r="R4545" s="15"/>
    </row>
    <row r="4546" spans="1:18" x14ac:dyDescent="0.25">
      <c r="A4546" s="15"/>
      <c r="R4546" s="15"/>
    </row>
    <row r="4547" spans="1:18" x14ac:dyDescent="0.25">
      <c r="A4547" s="15"/>
      <c r="R4547" s="15"/>
    </row>
    <row r="4548" spans="1:18" x14ac:dyDescent="0.25">
      <c r="A4548" s="15"/>
      <c r="R4548" s="15"/>
    </row>
    <row r="4549" spans="1:18" x14ac:dyDescent="0.25">
      <c r="A4549" s="15"/>
      <c r="R4549" s="15"/>
    </row>
    <row r="4550" spans="1:18" x14ac:dyDescent="0.25">
      <c r="A4550" s="15"/>
      <c r="R4550" s="15"/>
    </row>
    <row r="4551" spans="1:18" x14ac:dyDescent="0.25">
      <c r="A4551" s="15"/>
      <c r="R4551" s="15"/>
    </row>
    <row r="4552" spans="1:18" x14ac:dyDescent="0.25">
      <c r="A4552" s="15"/>
      <c r="R4552" s="15"/>
    </row>
    <row r="4553" spans="1:18" x14ac:dyDescent="0.25">
      <c r="A4553" s="15"/>
      <c r="R4553" s="15"/>
    </row>
    <row r="4554" spans="1:18" x14ac:dyDescent="0.25">
      <c r="A4554" s="15"/>
      <c r="R4554" s="15"/>
    </row>
    <row r="4555" spans="1:18" x14ac:dyDescent="0.25">
      <c r="A4555" s="15"/>
      <c r="R4555" s="15"/>
    </row>
    <row r="4556" spans="1:18" x14ac:dyDescent="0.25">
      <c r="A4556" s="15"/>
      <c r="R4556" s="15"/>
    </row>
    <row r="4557" spans="1:18" x14ac:dyDescent="0.25">
      <c r="A4557" s="15"/>
      <c r="R4557" s="15"/>
    </row>
    <row r="4558" spans="1:18" x14ac:dyDescent="0.25">
      <c r="A4558" s="15"/>
      <c r="R4558" s="15"/>
    </row>
    <row r="4559" spans="1:18" x14ac:dyDescent="0.25">
      <c r="A4559" s="15"/>
      <c r="R4559" s="15"/>
    </row>
    <row r="4560" spans="1:18" x14ac:dyDescent="0.25">
      <c r="A4560" s="15"/>
      <c r="R4560" s="15"/>
    </row>
    <row r="4561" spans="1:18" x14ac:dyDescent="0.25">
      <c r="A4561" s="15"/>
      <c r="R4561" s="15"/>
    </row>
    <row r="4562" spans="1:18" x14ac:dyDescent="0.25">
      <c r="A4562" s="15"/>
      <c r="R4562" s="15"/>
    </row>
    <row r="4563" spans="1:18" x14ac:dyDescent="0.25">
      <c r="A4563" s="15"/>
      <c r="R4563" s="15"/>
    </row>
    <row r="4564" spans="1:18" x14ac:dyDescent="0.25">
      <c r="A4564" s="15"/>
      <c r="R4564" s="15"/>
    </row>
    <row r="4565" spans="1:18" x14ac:dyDescent="0.25">
      <c r="A4565" s="15"/>
      <c r="R4565" s="15"/>
    </row>
    <row r="4566" spans="1:18" x14ac:dyDescent="0.25">
      <c r="A4566" s="15"/>
      <c r="R4566" s="15"/>
    </row>
    <row r="4567" spans="1:18" x14ac:dyDescent="0.25">
      <c r="A4567" s="15"/>
      <c r="R4567" s="15"/>
    </row>
    <row r="4568" spans="1:18" x14ac:dyDescent="0.25">
      <c r="A4568" s="15"/>
      <c r="R4568" s="15"/>
    </row>
    <row r="4569" spans="1:18" x14ac:dyDescent="0.25">
      <c r="A4569" s="15"/>
      <c r="R4569" s="15"/>
    </row>
    <row r="4570" spans="1:18" x14ac:dyDescent="0.25">
      <c r="A4570" s="15"/>
      <c r="R4570" s="15"/>
    </row>
    <row r="4571" spans="1:18" x14ac:dyDescent="0.25">
      <c r="A4571" s="15"/>
      <c r="R4571" s="15"/>
    </row>
    <row r="4572" spans="1:18" x14ac:dyDescent="0.25">
      <c r="A4572" s="15"/>
      <c r="R4572" s="15"/>
    </row>
    <row r="4573" spans="1:18" x14ac:dyDescent="0.25">
      <c r="A4573" s="15"/>
      <c r="R4573" s="15"/>
    </row>
    <row r="4574" spans="1:18" x14ac:dyDescent="0.25">
      <c r="A4574" s="15"/>
      <c r="R4574" s="15"/>
    </row>
    <row r="4575" spans="1:18" x14ac:dyDescent="0.25">
      <c r="A4575" s="15"/>
      <c r="R4575" s="15"/>
    </row>
    <row r="4576" spans="1:18" x14ac:dyDescent="0.25">
      <c r="A4576" s="15"/>
      <c r="R4576" s="15"/>
    </row>
    <row r="4577" spans="1:18" x14ac:dyDescent="0.25">
      <c r="A4577" s="15"/>
      <c r="R4577" s="15"/>
    </row>
    <row r="4578" spans="1:18" x14ac:dyDescent="0.25">
      <c r="A4578" s="15"/>
      <c r="R4578" s="15"/>
    </row>
    <row r="4579" spans="1:18" x14ac:dyDescent="0.25">
      <c r="A4579" s="15"/>
      <c r="R4579" s="15"/>
    </row>
    <row r="4580" spans="1:18" x14ac:dyDescent="0.25">
      <c r="A4580" s="15"/>
      <c r="R4580" s="15"/>
    </row>
    <row r="4581" spans="1:18" x14ac:dyDescent="0.25">
      <c r="A4581" s="15"/>
      <c r="R4581" s="15"/>
    </row>
    <row r="4582" spans="1:18" x14ac:dyDescent="0.25">
      <c r="A4582" s="15"/>
      <c r="R4582" s="15"/>
    </row>
    <row r="4583" spans="1:18" x14ac:dyDescent="0.25">
      <c r="A4583" s="15"/>
      <c r="R4583" s="15"/>
    </row>
    <row r="4584" spans="1:18" x14ac:dyDescent="0.25">
      <c r="A4584" s="15"/>
      <c r="R4584" s="15"/>
    </row>
    <row r="4585" spans="1:18" x14ac:dyDescent="0.25">
      <c r="A4585" s="15"/>
      <c r="R4585" s="15"/>
    </row>
    <row r="4586" spans="1:18" x14ac:dyDescent="0.25">
      <c r="A4586" s="15"/>
      <c r="R4586" s="15"/>
    </row>
    <row r="4587" spans="1:18" x14ac:dyDescent="0.25">
      <c r="A4587" s="15"/>
      <c r="R4587" s="15"/>
    </row>
    <row r="4588" spans="1:18" x14ac:dyDescent="0.25">
      <c r="A4588" s="15"/>
      <c r="R4588" s="15"/>
    </row>
    <row r="4589" spans="1:18" x14ac:dyDescent="0.25">
      <c r="A4589" s="15"/>
      <c r="R4589" s="15"/>
    </row>
    <row r="4590" spans="1:18" x14ac:dyDescent="0.25">
      <c r="A4590" s="15"/>
      <c r="R4590" s="15"/>
    </row>
    <row r="4591" spans="1:18" x14ac:dyDescent="0.25">
      <c r="A4591" s="15"/>
      <c r="R4591" s="15"/>
    </row>
    <row r="4592" spans="1:18" x14ac:dyDescent="0.25">
      <c r="A4592" s="15"/>
      <c r="R4592" s="15"/>
    </row>
    <row r="4593" spans="1:18" x14ac:dyDescent="0.25">
      <c r="A4593" s="15"/>
      <c r="R4593" s="15"/>
    </row>
    <row r="4594" spans="1:18" x14ac:dyDescent="0.25">
      <c r="A4594" s="15"/>
      <c r="R4594" s="15"/>
    </row>
    <row r="4595" spans="1:18" x14ac:dyDescent="0.25">
      <c r="A4595" s="15"/>
      <c r="R4595" s="15"/>
    </row>
    <row r="4596" spans="1:18" x14ac:dyDescent="0.25">
      <c r="A4596" s="15"/>
      <c r="R4596" s="15"/>
    </row>
    <row r="4597" spans="1:18" x14ac:dyDescent="0.25">
      <c r="A4597" s="15"/>
      <c r="R4597" s="15"/>
    </row>
    <row r="4598" spans="1:18" x14ac:dyDescent="0.25">
      <c r="A4598" s="15"/>
      <c r="R4598" s="15"/>
    </row>
    <row r="4599" spans="1:18" x14ac:dyDescent="0.25">
      <c r="A4599" s="15"/>
      <c r="R4599" s="15"/>
    </row>
    <row r="4600" spans="1:18" x14ac:dyDescent="0.25">
      <c r="A4600" s="15"/>
      <c r="R4600" s="15"/>
    </row>
    <row r="4601" spans="1:18" x14ac:dyDescent="0.25">
      <c r="A4601" s="15"/>
      <c r="R4601" s="15"/>
    </row>
    <row r="4602" spans="1:18" x14ac:dyDescent="0.25">
      <c r="A4602" s="15"/>
      <c r="R4602" s="15"/>
    </row>
    <row r="4603" spans="1:18" x14ac:dyDescent="0.25">
      <c r="A4603" s="15"/>
      <c r="R4603" s="15"/>
    </row>
    <row r="4604" spans="1:18" x14ac:dyDescent="0.25">
      <c r="A4604" s="15"/>
      <c r="R4604" s="15"/>
    </row>
    <row r="4605" spans="1:18" x14ac:dyDescent="0.25">
      <c r="A4605" s="15"/>
      <c r="R4605" s="15"/>
    </row>
    <row r="4606" spans="1:18" x14ac:dyDescent="0.25">
      <c r="A4606" s="15"/>
      <c r="R4606" s="15"/>
    </row>
    <row r="4607" spans="1:18" x14ac:dyDescent="0.25">
      <c r="A4607" s="15"/>
      <c r="R4607" s="15"/>
    </row>
    <row r="4608" spans="1:18" x14ac:dyDescent="0.25">
      <c r="A4608" s="15"/>
      <c r="R4608" s="15"/>
    </row>
    <row r="4609" spans="1:18" x14ac:dyDescent="0.25">
      <c r="A4609" s="15"/>
      <c r="R4609" s="15"/>
    </row>
    <row r="4610" spans="1:18" x14ac:dyDescent="0.25">
      <c r="A4610" s="15"/>
      <c r="R4610" s="15"/>
    </row>
    <row r="4611" spans="1:18" x14ac:dyDescent="0.25">
      <c r="A4611" s="15"/>
      <c r="R4611" s="15"/>
    </row>
    <row r="4612" spans="1:18" x14ac:dyDescent="0.25">
      <c r="A4612" s="15"/>
      <c r="R4612" s="15"/>
    </row>
    <row r="4613" spans="1:18" x14ac:dyDescent="0.25">
      <c r="A4613" s="15"/>
      <c r="R4613" s="15"/>
    </row>
    <row r="4614" spans="1:18" x14ac:dyDescent="0.25">
      <c r="A4614" s="15"/>
      <c r="R4614" s="15"/>
    </row>
    <row r="4615" spans="1:18" x14ac:dyDescent="0.25">
      <c r="A4615" s="15"/>
      <c r="R4615" s="15"/>
    </row>
    <row r="4616" spans="1:18" x14ac:dyDescent="0.25">
      <c r="A4616" s="15"/>
      <c r="R4616" s="15"/>
    </row>
    <row r="4617" spans="1:18" x14ac:dyDescent="0.25">
      <c r="A4617" s="15"/>
      <c r="R4617" s="15"/>
    </row>
    <row r="4618" spans="1:18" x14ac:dyDescent="0.25">
      <c r="A4618" s="15"/>
      <c r="R4618" s="15"/>
    </row>
    <row r="4619" spans="1:18" x14ac:dyDescent="0.25">
      <c r="A4619" s="15"/>
      <c r="R4619" s="15"/>
    </row>
    <row r="4620" spans="1:18" x14ac:dyDescent="0.25">
      <c r="A4620" s="15"/>
      <c r="R4620" s="15"/>
    </row>
    <row r="4621" spans="1:18" x14ac:dyDescent="0.25">
      <c r="A4621" s="15"/>
      <c r="R4621" s="15"/>
    </row>
    <row r="4622" spans="1:18" x14ac:dyDescent="0.25">
      <c r="A4622" s="15"/>
      <c r="R4622" s="15"/>
    </row>
    <row r="4623" spans="1:18" x14ac:dyDescent="0.25">
      <c r="A4623" s="15"/>
      <c r="R4623" s="15"/>
    </row>
    <row r="4624" spans="1:18" x14ac:dyDescent="0.25">
      <c r="A4624" s="15"/>
      <c r="R4624" s="15"/>
    </row>
    <row r="4625" spans="1:18" x14ac:dyDescent="0.25">
      <c r="A4625" s="15"/>
      <c r="R4625" s="15"/>
    </row>
    <row r="4626" spans="1:18" x14ac:dyDescent="0.25">
      <c r="A4626" s="15"/>
      <c r="R4626" s="15"/>
    </row>
    <row r="4627" spans="1:18" x14ac:dyDescent="0.25">
      <c r="A4627" s="15"/>
      <c r="R4627" s="15"/>
    </row>
    <row r="4628" spans="1:18" x14ac:dyDescent="0.25">
      <c r="A4628" s="15"/>
      <c r="R4628" s="15"/>
    </row>
    <row r="4629" spans="1:18" x14ac:dyDescent="0.25">
      <c r="A4629" s="15"/>
      <c r="R4629" s="15"/>
    </row>
    <row r="4630" spans="1:18" x14ac:dyDescent="0.25">
      <c r="A4630" s="15"/>
      <c r="R4630" s="15"/>
    </row>
    <row r="4631" spans="1:18" x14ac:dyDescent="0.25">
      <c r="A4631" s="15"/>
      <c r="R4631" s="15"/>
    </row>
    <row r="4632" spans="1:18" x14ac:dyDescent="0.25">
      <c r="A4632" s="15"/>
      <c r="R4632" s="15"/>
    </row>
    <row r="4633" spans="1:18" x14ac:dyDescent="0.25">
      <c r="A4633" s="15"/>
      <c r="R4633" s="15"/>
    </row>
    <row r="4634" spans="1:18" x14ac:dyDescent="0.25">
      <c r="A4634" s="15"/>
      <c r="R4634" s="15"/>
    </row>
    <row r="4635" spans="1:18" x14ac:dyDescent="0.25">
      <c r="A4635" s="15"/>
      <c r="R4635" s="15"/>
    </row>
    <row r="4636" spans="1:18" x14ac:dyDescent="0.25">
      <c r="A4636" s="15"/>
      <c r="R4636" s="15"/>
    </row>
    <row r="4637" spans="1:18" x14ac:dyDescent="0.25">
      <c r="A4637" s="15"/>
      <c r="R4637" s="15"/>
    </row>
    <row r="4638" spans="1:18" x14ac:dyDescent="0.25">
      <c r="A4638" s="15"/>
      <c r="R4638" s="15"/>
    </row>
    <row r="4639" spans="1:18" x14ac:dyDescent="0.25">
      <c r="A4639" s="15"/>
      <c r="R4639" s="15"/>
    </row>
    <row r="4640" spans="1:18" x14ac:dyDescent="0.25">
      <c r="A4640" s="15"/>
      <c r="R4640" s="15"/>
    </row>
    <row r="4641" spans="1:18" x14ac:dyDescent="0.25">
      <c r="A4641" s="15"/>
      <c r="R4641" s="15"/>
    </row>
    <row r="4642" spans="1:18" x14ac:dyDescent="0.25">
      <c r="A4642" s="15"/>
      <c r="R4642" s="15"/>
    </row>
    <row r="4643" spans="1:18" x14ac:dyDescent="0.25">
      <c r="A4643" s="15"/>
      <c r="R4643" s="15"/>
    </row>
    <row r="4644" spans="1:18" x14ac:dyDescent="0.25">
      <c r="A4644" s="15"/>
      <c r="R4644" s="15"/>
    </row>
    <row r="4645" spans="1:18" x14ac:dyDescent="0.25">
      <c r="A4645" s="15"/>
      <c r="R4645" s="15"/>
    </row>
    <row r="4646" spans="1:18" x14ac:dyDescent="0.25">
      <c r="A4646" s="15"/>
      <c r="R4646" s="15"/>
    </row>
    <row r="4647" spans="1:18" x14ac:dyDescent="0.25">
      <c r="A4647" s="15"/>
      <c r="R4647" s="15"/>
    </row>
    <row r="4648" spans="1:18" x14ac:dyDescent="0.25">
      <c r="A4648" s="15"/>
      <c r="R4648" s="15"/>
    </row>
    <row r="4649" spans="1:18" x14ac:dyDescent="0.25">
      <c r="A4649" s="15"/>
      <c r="R4649" s="15"/>
    </row>
    <row r="4650" spans="1:18" x14ac:dyDescent="0.25">
      <c r="A4650" s="15"/>
      <c r="R4650" s="15"/>
    </row>
    <row r="4651" spans="1:18" x14ac:dyDescent="0.25">
      <c r="A4651" s="15"/>
      <c r="R4651" s="15"/>
    </row>
    <row r="4652" spans="1:18" x14ac:dyDescent="0.25">
      <c r="A4652" s="15"/>
      <c r="R4652" s="15"/>
    </row>
    <row r="4653" spans="1:18" x14ac:dyDescent="0.25">
      <c r="A4653" s="15"/>
      <c r="R4653" s="15"/>
    </row>
    <row r="4654" spans="1:18" x14ac:dyDescent="0.25">
      <c r="A4654" s="15"/>
      <c r="R4654" s="15"/>
    </row>
    <row r="4655" spans="1:18" x14ac:dyDescent="0.25">
      <c r="A4655" s="15"/>
      <c r="R4655" s="15"/>
    </row>
    <row r="4656" spans="1:18" x14ac:dyDescent="0.25">
      <c r="A4656" s="15"/>
      <c r="R4656" s="15"/>
    </row>
    <row r="4657" spans="1:18" x14ac:dyDescent="0.25">
      <c r="A4657" s="15"/>
      <c r="R4657" s="15"/>
    </row>
    <row r="4658" spans="1:18" x14ac:dyDescent="0.25">
      <c r="A4658" s="15"/>
      <c r="R4658" s="15"/>
    </row>
    <row r="4659" spans="1:18" x14ac:dyDescent="0.25">
      <c r="A4659" s="15"/>
      <c r="R4659" s="15"/>
    </row>
    <row r="4660" spans="1:18" x14ac:dyDescent="0.25">
      <c r="A4660" s="15"/>
      <c r="R4660" s="15"/>
    </row>
    <row r="4661" spans="1:18" x14ac:dyDescent="0.25">
      <c r="A4661" s="15"/>
      <c r="R4661" s="15"/>
    </row>
    <row r="4662" spans="1:18" x14ac:dyDescent="0.25">
      <c r="A4662" s="15"/>
      <c r="R4662" s="15"/>
    </row>
    <row r="4663" spans="1:18" x14ac:dyDescent="0.25">
      <c r="A4663" s="15"/>
      <c r="R4663" s="15"/>
    </row>
    <row r="4664" spans="1:18" x14ac:dyDescent="0.25">
      <c r="A4664" s="15"/>
      <c r="R4664" s="15"/>
    </row>
    <row r="4665" spans="1:18" x14ac:dyDescent="0.25">
      <c r="A4665" s="15"/>
      <c r="R4665" s="15"/>
    </row>
    <row r="4666" spans="1:18" x14ac:dyDescent="0.25">
      <c r="A4666" s="15"/>
      <c r="R4666" s="15"/>
    </row>
    <row r="4667" spans="1:18" x14ac:dyDescent="0.25">
      <c r="A4667" s="15"/>
      <c r="R4667" s="15"/>
    </row>
    <row r="4668" spans="1:18" x14ac:dyDescent="0.25">
      <c r="A4668" s="15"/>
      <c r="R4668" s="15"/>
    </row>
    <row r="4669" spans="1:18" x14ac:dyDescent="0.25">
      <c r="A4669" s="15"/>
      <c r="R4669" s="15"/>
    </row>
    <row r="4670" spans="1:18" x14ac:dyDescent="0.25">
      <c r="A4670" s="15"/>
      <c r="R4670" s="15"/>
    </row>
    <row r="4671" spans="1:18" x14ac:dyDescent="0.25">
      <c r="A4671" s="15"/>
      <c r="R4671" s="15"/>
    </row>
    <row r="4672" spans="1:18" x14ac:dyDescent="0.25">
      <c r="A4672" s="15"/>
      <c r="R4672" s="15"/>
    </row>
    <row r="4673" spans="1:18" x14ac:dyDescent="0.25">
      <c r="A4673" s="15"/>
      <c r="R4673" s="15"/>
    </row>
    <row r="4674" spans="1:18" x14ac:dyDescent="0.25">
      <c r="A4674" s="15"/>
      <c r="R4674" s="15"/>
    </row>
    <row r="4675" spans="1:18" x14ac:dyDescent="0.25">
      <c r="A4675" s="15"/>
      <c r="R4675" s="15"/>
    </row>
    <row r="4676" spans="1:18" x14ac:dyDescent="0.25">
      <c r="A4676" s="15"/>
      <c r="R4676" s="15"/>
    </row>
    <row r="4677" spans="1:18" x14ac:dyDescent="0.25">
      <c r="A4677" s="15"/>
      <c r="R4677" s="15"/>
    </row>
    <row r="4678" spans="1:18" x14ac:dyDescent="0.25">
      <c r="A4678" s="15"/>
      <c r="R4678" s="15"/>
    </row>
    <row r="4679" spans="1:18" x14ac:dyDescent="0.25">
      <c r="A4679" s="15"/>
      <c r="R4679" s="15"/>
    </row>
    <row r="4680" spans="1:18" x14ac:dyDescent="0.25">
      <c r="A4680" s="15"/>
      <c r="R4680" s="15"/>
    </row>
    <row r="4681" spans="1:18" x14ac:dyDescent="0.25">
      <c r="A4681" s="15"/>
      <c r="R4681" s="15"/>
    </row>
    <row r="4682" spans="1:18" x14ac:dyDescent="0.25">
      <c r="A4682" s="15"/>
      <c r="R4682" s="15"/>
    </row>
    <row r="4683" spans="1:18" x14ac:dyDescent="0.25">
      <c r="A4683" s="15"/>
      <c r="R4683" s="15"/>
    </row>
    <row r="4684" spans="1:18" x14ac:dyDescent="0.25">
      <c r="A4684" s="15"/>
      <c r="R4684" s="15"/>
    </row>
    <row r="4685" spans="1:18" x14ac:dyDescent="0.25">
      <c r="A4685" s="15"/>
      <c r="R4685" s="15"/>
    </row>
    <row r="4686" spans="1:18" x14ac:dyDescent="0.25">
      <c r="A4686" s="15"/>
      <c r="R4686" s="15"/>
    </row>
    <row r="4687" spans="1:18" x14ac:dyDescent="0.25">
      <c r="A4687" s="15"/>
      <c r="R4687" s="15"/>
    </row>
    <row r="4688" spans="1:18" x14ac:dyDescent="0.25">
      <c r="A4688" s="15"/>
      <c r="R4688" s="15"/>
    </row>
    <row r="4689" spans="1:18" x14ac:dyDescent="0.25">
      <c r="A4689" s="15"/>
      <c r="R4689" s="15"/>
    </row>
    <row r="4690" spans="1:18" x14ac:dyDescent="0.25">
      <c r="A4690" s="15"/>
      <c r="R4690" s="15"/>
    </row>
    <row r="4691" spans="1:18" x14ac:dyDescent="0.25">
      <c r="A4691" s="15"/>
      <c r="R4691" s="15"/>
    </row>
    <row r="4692" spans="1:18" x14ac:dyDescent="0.25">
      <c r="A4692" s="15"/>
      <c r="R4692" s="15"/>
    </row>
    <row r="4693" spans="1:18" x14ac:dyDescent="0.25">
      <c r="A4693" s="15"/>
      <c r="R4693" s="15"/>
    </row>
    <row r="4694" spans="1:18" x14ac:dyDescent="0.25">
      <c r="A4694" s="15"/>
      <c r="R4694" s="15"/>
    </row>
    <row r="4695" spans="1:18" x14ac:dyDescent="0.25">
      <c r="A4695" s="15"/>
      <c r="R4695" s="15"/>
    </row>
    <row r="4696" spans="1:18" x14ac:dyDescent="0.25">
      <c r="A4696" s="15"/>
      <c r="R4696" s="15"/>
    </row>
    <row r="4697" spans="1:18" x14ac:dyDescent="0.25">
      <c r="A4697" s="15"/>
      <c r="R4697" s="15"/>
    </row>
    <row r="4698" spans="1:18" x14ac:dyDescent="0.25">
      <c r="A4698" s="15"/>
      <c r="R4698" s="15"/>
    </row>
    <row r="4699" spans="1:18" x14ac:dyDescent="0.25">
      <c r="A4699" s="15"/>
      <c r="R4699" s="15"/>
    </row>
    <row r="4700" spans="1:18" x14ac:dyDescent="0.25">
      <c r="A4700" s="15"/>
      <c r="R4700" s="15"/>
    </row>
    <row r="4701" spans="1:18" x14ac:dyDescent="0.25">
      <c r="A4701" s="15"/>
      <c r="R4701" s="15"/>
    </row>
    <row r="4702" spans="1:18" x14ac:dyDescent="0.25">
      <c r="A4702" s="15"/>
      <c r="R4702" s="15"/>
    </row>
    <row r="4703" spans="1:18" x14ac:dyDescent="0.25">
      <c r="A4703" s="15"/>
      <c r="R4703" s="15"/>
    </row>
    <row r="4704" spans="1:18" x14ac:dyDescent="0.25">
      <c r="A4704" s="15"/>
      <c r="R4704" s="15"/>
    </row>
    <row r="4705" spans="1:18" x14ac:dyDescent="0.25">
      <c r="A4705" s="15"/>
      <c r="R4705" s="15"/>
    </row>
    <row r="4706" spans="1:18" x14ac:dyDescent="0.25">
      <c r="A4706" s="15"/>
      <c r="R4706" s="15"/>
    </row>
    <row r="4707" spans="1:18" x14ac:dyDescent="0.25">
      <c r="A4707" s="15"/>
      <c r="R4707" s="15"/>
    </row>
    <row r="4708" spans="1:18" x14ac:dyDescent="0.25">
      <c r="A4708" s="15"/>
      <c r="R4708" s="15"/>
    </row>
    <row r="4709" spans="1:18" x14ac:dyDescent="0.25">
      <c r="A4709" s="15"/>
      <c r="R4709" s="15"/>
    </row>
    <row r="4710" spans="1:18" x14ac:dyDescent="0.25">
      <c r="A4710" s="15"/>
      <c r="R4710" s="15"/>
    </row>
    <row r="4711" spans="1:18" x14ac:dyDescent="0.25">
      <c r="A4711" s="15"/>
      <c r="R4711" s="15"/>
    </row>
    <row r="4712" spans="1:18" x14ac:dyDescent="0.25">
      <c r="A4712" s="15"/>
      <c r="R4712" s="15"/>
    </row>
    <row r="4713" spans="1:18" x14ac:dyDescent="0.25">
      <c r="A4713" s="15"/>
      <c r="R4713" s="15"/>
    </row>
    <row r="4714" spans="1:18" x14ac:dyDescent="0.25">
      <c r="A4714" s="15"/>
      <c r="R4714" s="15"/>
    </row>
    <row r="4715" spans="1:18" x14ac:dyDescent="0.25">
      <c r="A4715" s="15"/>
      <c r="R4715" s="15"/>
    </row>
    <row r="4716" spans="1:18" x14ac:dyDescent="0.25">
      <c r="A4716" s="15"/>
      <c r="R4716" s="15"/>
    </row>
    <row r="4717" spans="1:18" x14ac:dyDescent="0.25">
      <c r="A4717" s="15"/>
      <c r="R4717" s="15"/>
    </row>
    <row r="4718" spans="1:18" x14ac:dyDescent="0.25">
      <c r="A4718" s="15"/>
      <c r="R4718" s="15"/>
    </row>
    <row r="4719" spans="1:18" x14ac:dyDescent="0.25">
      <c r="A4719" s="15"/>
      <c r="R4719" s="15"/>
    </row>
    <row r="4720" spans="1:18" x14ac:dyDescent="0.25">
      <c r="A4720" s="15"/>
      <c r="R4720" s="15"/>
    </row>
    <row r="4721" spans="1:18" x14ac:dyDescent="0.25">
      <c r="A4721" s="15"/>
      <c r="R4721" s="15"/>
    </row>
    <row r="4722" spans="1:18" x14ac:dyDescent="0.25">
      <c r="A4722" s="15"/>
      <c r="R4722" s="15"/>
    </row>
    <row r="4723" spans="1:18" x14ac:dyDescent="0.25">
      <c r="A4723" s="15"/>
      <c r="R4723" s="15"/>
    </row>
    <row r="4724" spans="1:18" x14ac:dyDescent="0.25">
      <c r="A4724" s="15"/>
      <c r="R4724" s="15"/>
    </row>
    <row r="4725" spans="1:18" x14ac:dyDescent="0.25">
      <c r="A4725" s="15"/>
      <c r="R4725" s="15"/>
    </row>
    <row r="4726" spans="1:18" x14ac:dyDescent="0.25">
      <c r="A4726" s="15"/>
      <c r="R4726" s="15"/>
    </row>
    <row r="4727" spans="1:18" x14ac:dyDescent="0.25">
      <c r="A4727" s="15"/>
      <c r="R4727" s="15"/>
    </row>
    <row r="4728" spans="1:18" x14ac:dyDescent="0.25">
      <c r="A4728" s="15"/>
      <c r="R4728" s="15"/>
    </row>
    <row r="4729" spans="1:18" x14ac:dyDescent="0.25">
      <c r="A4729" s="15"/>
      <c r="R4729" s="15"/>
    </row>
    <row r="4730" spans="1:18" x14ac:dyDescent="0.25">
      <c r="A4730" s="15"/>
      <c r="R4730" s="15"/>
    </row>
    <row r="4731" spans="1:18" x14ac:dyDescent="0.25">
      <c r="A4731" s="15"/>
      <c r="R4731" s="15"/>
    </row>
    <row r="4732" spans="1:18" x14ac:dyDescent="0.25">
      <c r="A4732" s="15"/>
      <c r="R4732" s="15"/>
    </row>
    <row r="4733" spans="1:18" x14ac:dyDescent="0.25">
      <c r="A4733" s="15"/>
      <c r="R4733" s="15"/>
    </row>
    <row r="4734" spans="1:18" x14ac:dyDescent="0.25">
      <c r="A4734" s="15"/>
      <c r="R4734" s="15"/>
    </row>
    <row r="4735" spans="1:18" x14ac:dyDescent="0.25">
      <c r="A4735" s="15"/>
      <c r="R4735" s="15"/>
    </row>
    <row r="4736" spans="1:18" x14ac:dyDescent="0.25">
      <c r="A4736" s="15"/>
      <c r="R4736" s="15"/>
    </row>
    <row r="4737" spans="1:18" x14ac:dyDescent="0.25">
      <c r="A4737" s="15"/>
      <c r="R4737" s="15"/>
    </row>
    <row r="4738" spans="1:18" x14ac:dyDescent="0.25">
      <c r="A4738" s="15"/>
      <c r="R4738" s="15"/>
    </row>
    <row r="4739" spans="1:18" x14ac:dyDescent="0.25">
      <c r="A4739" s="15"/>
      <c r="R4739" s="15"/>
    </row>
    <row r="4740" spans="1:18" x14ac:dyDescent="0.25">
      <c r="A4740" s="15"/>
      <c r="R4740" s="15"/>
    </row>
    <row r="4741" spans="1:18" x14ac:dyDescent="0.25">
      <c r="A4741" s="15"/>
      <c r="R4741" s="15"/>
    </row>
    <row r="4742" spans="1:18" x14ac:dyDescent="0.25">
      <c r="A4742" s="15"/>
      <c r="R4742" s="15"/>
    </row>
    <row r="4743" spans="1:18" x14ac:dyDescent="0.25">
      <c r="A4743" s="15"/>
      <c r="R4743" s="15"/>
    </row>
    <row r="4744" spans="1:18" x14ac:dyDescent="0.25">
      <c r="A4744" s="15"/>
      <c r="R4744" s="15"/>
    </row>
    <row r="4745" spans="1:18" x14ac:dyDescent="0.25">
      <c r="A4745" s="15"/>
      <c r="R4745" s="15"/>
    </row>
    <row r="4746" spans="1:18" x14ac:dyDescent="0.25">
      <c r="A4746" s="15"/>
      <c r="R4746" s="15"/>
    </row>
    <row r="4747" spans="1:18" x14ac:dyDescent="0.25">
      <c r="A4747" s="15"/>
      <c r="R4747" s="15"/>
    </row>
    <row r="4748" spans="1:18" x14ac:dyDescent="0.25">
      <c r="A4748" s="15"/>
      <c r="R4748" s="15"/>
    </row>
    <row r="4749" spans="1:18" x14ac:dyDescent="0.25">
      <c r="A4749" s="15"/>
      <c r="R4749" s="15"/>
    </row>
    <row r="4750" spans="1:18" x14ac:dyDescent="0.25">
      <c r="A4750" s="15"/>
      <c r="R4750" s="15"/>
    </row>
    <row r="4751" spans="1:18" x14ac:dyDescent="0.25">
      <c r="A4751" s="15"/>
      <c r="R4751" s="15"/>
    </row>
    <row r="4752" spans="1:18" x14ac:dyDescent="0.25">
      <c r="A4752" s="15"/>
      <c r="R4752" s="15"/>
    </row>
    <row r="4753" spans="1:18" x14ac:dyDescent="0.25">
      <c r="A4753" s="15"/>
      <c r="R4753" s="15"/>
    </row>
    <row r="4754" spans="1:18" x14ac:dyDescent="0.25">
      <c r="A4754" s="15"/>
      <c r="R4754" s="15"/>
    </row>
    <row r="4755" spans="1:18" x14ac:dyDescent="0.25">
      <c r="A4755" s="15"/>
      <c r="R4755" s="15"/>
    </row>
    <row r="4756" spans="1:18" x14ac:dyDescent="0.25">
      <c r="A4756" s="15"/>
      <c r="R4756" s="15"/>
    </row>
    <row r="4757" spans="1:18" x14ac:dyDescent="0.25">
      <c r="A4757" s="15"/>
      <c r="R4757" s="15"/>
    </row>
    <row r="4758" spans="1:18" x14ac:dyDescent="0.25">
      <c r="A4758" s="15"/>
      <c r="R4758" s="15"/>
    </row>
    <row r="4759" spans="1:18" x14ac:dyDescent="0.25">
      <c r="A4759" s="15"/>
      <c r="R4759" s="15"/>
    </row>
    <row r="4760" spans="1:18" x14ac:dyDescent="0.25">
      <c r="A4760" s="15"/>
      <c r="R4760" s="15"/>
    </row>
    <row r="4761" spans="1:18" x14ac:dyDescent="0.25">
      <c r="A4761" s="15"/>
      <c r="R4761" s="15"/>
    </row>
    <row r="4762" spans="1:18" x14ac:dyDescent="0.25">
      <c r="A4762" s="15"/>
      <c r="R4762" s="15"/>
    </row>
    <row r="4763" spans="1:18" x14ac:dyDescent="0.25">
      <c r="A4763" s="15"/>
      <c r="R4763" s="15"/>
    </row>
    <row r="4764" spans="1:18" x14ac:dyDescent="0.25">
      <c r="A4764" s="15"/>
      <c r="R4764" s="15"/>
    </row>
    <row r="4765" spans="1:18" x14ac:dyDescent="0.25">
      <c r="A4765" s="15"/>
      <c r="R4765" s="15"/>
    </row>
    <row r="4766" spans="1:18" x14ac:dyDescent="0.25">
      <c r="A4766" s="15"/>
      <c r="R4766" s="15"/>
    </row>
    <row r="4767" spans="1:18" x14ac:dyDescent="0.25">
      <c r="A4767" s="15"/>
      <c r="R4767" s="15"/>
    </row>
    <row r="4768" spans="1:18" x14ac:dyDescent="0.25">
      <c r="A4768" s="15"/>
      <c r="R4768" s="15"/>
    </row>
    <row r="4769" spans="1:18" x14ac:dyDescent="0.25">
      <c r="A4769" s="15"/>
      <c r="R4769" s="15"/>
    </row>
    <row r="4770" spans="1:18" x14ac:dyDescent="0.25">
      <c r="A4770" s="15"/>
      <c r="R4770" s="15"/>
    </row>
    <row r="4771" spans="1:18" x14ac:dyDescent="0.25">
      <c r="A4771" s="15"/>
      <c r="R4771" s="15"/>
    </row>
    <row r="4772" spans="1:18" x14ac:dyDescent="0.25">
      <c r="A4772" s="15"/>
      <c r="R4772" s="15"/>
    </row>
    <row r="4773" spans="1:18" x14ac:dyDescent="0.25">
      <c r="A4773" s="15"/>
      <c r="R4773" s="15"/>
    </row>
    <row r="4774" spans="1:18" x14ac:dyDescent="0.25">
      <c r="A4774" s="15"/>
      <c r="R4774" s="15"/>
    </row>
    <row r="4775" spans="1:18" x14ac:dyDescent="0.25">
      <c r="A4775" s="15"/>
      <c r="R4775" s="15"/>
    </row>
    <row r="4776" spans="1:18" x14ac:dyDescent="0.25">
      <c r="A4776" s="15"/>
      <c r="R4776" s="15"/>
    </row>
    <row r="4777" spans="1:18" x14ac:dyDescent="0.25">
      <c r="A4777" s="15"/>
      <c r="R4777" s="15"/>
    </row>
    <row r="4778" spans="1:18" x14ac:dyDescent="0.25">
      <c r="A4778" s="15"/>
      <c r="R4778" s="15"/>
    </row>
    <row r="4779" spans="1:18" x14ac:dyDescent="0.25">
      <c r="A4779" s="15"/>
      <c r="R4779" s="15"/>
    </row>
    <row r="4780" spans="1:18" x14ac:dyDescent="0.25">
      <c r="A4780" s="15"/>
      <c r="R4780" s="15"/>
    </row>
    <row r="4781" spans="1:18" x14ac:dyDescent="0.25">
      <c r="A4781" s="15"/>
      <c r="R4781" s="15"/>
    </row>
    <row r="4782" spans="1:18" x14ac:dyDescent="0.25">
      <c r="A4782" s="15"/>
      <c r="R4782" s="15"/>
    </row>
    <row r="4783" spans="1:18" x14ac:dyDescent="0.25">
      <c r="A4783" s="15"/>
      <c r="R4783" s="15"/>
    </row>
    <row r="4784" spans="1:18" x14ac:dyDescent="0.25">
      <c r="A4784" s="15"/>
      <c r="R4784" s="15"/>
    </row>
    <row r="4785" spans="1:18" x14ac:dyDescent="0.25">
      <c r="A4785" s="15"/>
      <c r="R4785" s="15"/>
    </row>
    <row r="4786" spans="1:18" x14ac:dyDescent="0.25">
      <c r="A4786" s="15"/>
      <c r="R4786" s="15"/>
    </row>
    <row r="4787" spans="1:18" x14ac:dyDescent="0.25">
      <c r="A4787" s="15"/>
      <c r="R4787" s="15"/>
    </row>
    <row r="4788" spans="1:18" x14ac:dyDescent="0.25">
      <c r="A4788" s="15"/>
      <c r="R4788" s="15"/>
    </row>
    <row r="4789" spans="1:18" x14ac:dyDescent="0.25">
      <c r="A4789" s="15"/>
      <c r="R4789" s="15"/>
    </row>
    <row r="4790" spans="1:18" x14ac:dyDescent="0.25">
      <c r="A4790" s="15"/>
      <c r="R4790" s="15"/>
    </row>
    <row r="4791" spans="1:18" x14ac:dyDescent="0.25">
      <c r="A4791" s="15"/>
      <c r="R4791" s="15"/>
    </row>
    <row r="4792" spans="1:18" x14ac:dyDescent="0.25">
      <c r="A4792" s="15"/>
      <c r="R4792" s="15"/>
    </row>
    <row r="4793" spans="1:18" x14ac:dyDescent="0.25">
      <c r="A4793" s="15"/>
      <c r="R4793" s="15"/>
    </row>
    <row r="4794" spans="1:18" x14ac:dyDescent="0.25">
      <c r="A4794" s="15"/>
      <c r="R4794" s="15"/>
    </row>
    <row r="4795" spans="1:18" x14ac:dyDescent="0.25">
      <c r="A4795" s="15"/>
      <c r="R4795" s="15"/>
    </row>
    <row r="4796" spans="1:18" x14ac:dyDescent="0.25">
      <c r="A4796" s="15"/>
      <c r="R4796" s="15"/>
    </row>
    <row r="4797" spans="1:18" x14ac:dyDescent="0.25">
      <c r="A4797" s="15"/>
      <c r="R4797" s="15"/>
    </row>
    <row r="4798" spans="1:18" x14ac:dyDescent="0.25">
      <c r="A4798" s="15"/>
      <c r="R4798" s="15"/>
    </row>
    <row r="4799" spans="1:18" x14ac:dyDescent="0.25">
      <c r="A4799" s="15"/>
      <c r="R4799" s="15"/>
    </row>
    <row r="4800" spans="1:18" x14ac:dyDescent="0.25">
      <c r="A4800" s="15"/>
      <c r="R4800" s="15"/>
    </row>
    <row r="4801" spans="1:18" x14ac:dyDescent="0.25">
      <c r="A4801" s="15"/>
      <c r="R4801" s="15"/>
    </row>
    <row r="4802" spans="1:18" x14ac:dyDescent="0.25">
      <c r="A4802" s="15"/>
      <c r="R4802" s="15"/>
    </row>
    <row r="4803" spans="1:18" x14ac:dyDescent="0.25">
      <c r="A4803" s="15"/>
      <c r="R4803" s="15"/>
    </row>
    <row r="4804" spans="1:18" x14ac:dyDescent="0.25">
      <c r="A4804" s="15"/>
      <c r="R4804" s="15"/>
    </row>
    <row r="4805" spans="1:18" x14ac:dyDescent="0.25">
      <c r="A4805" s="15"/>
      <c r="R4805" s="15"/>
    </row>
    <row r="4806" spans="1:18" x14ac:dyDescent="0.25">
      <c r="A4806" s="15"/>
      <c r="R4806" s="15"/>
    </row>
    <row r="4807" spans="1:18" x14ac:dyDescent="0.25">
      <c r="A4807" s="15"/>
      <c r="R4807" s="15"/>
    </row>
    <row r="4808" spans="1:18" x14ac:dyDescent="0.25">
      <c r="A4808" s="15"/>
      <c r="R4808" s="15"/>
    </row>
    <row r="4809" spans="1:18" x14ac:dyDescent="0.25">
      <c r="A4809" s="15"/>
      <c r="R4809" s="15"/>
    </row>
    <row r="4810" spans="1:18" x14ac:dyDescent="0.25">
      <c r="A4810" s="15"/>
      <c r="R4810" s="15"/>
    </row>
    <row r="4811" spans="1:18" x14ac:dyDescent="0.25">
      <c r="A4811" s="15"/>
      <c r="R4811" s="15"/>
    </row>
    <row r="4812" spans="1:18" x14ac:dyDescent="0.25">
      <c r="A4812" s="15"/>
      <c r="R4812" s="15"/>
    </row>
    <row r="4813" spans="1:18" x14ac:dyDescent="0.25">
      <c r="A4813" s="15"/>
      <c r="R4813" s="15"/>
    </row>
    <row r="4814" spans="1:18" x14ac:dyDescent="0.25">
      <c r="A4814" s="15"/>
      <c r="R4814" s="15"/>
    </row>
    <row r="4815" spans="1:18" x14ac:dyDescent="0.25">
      <c r="A4815" s="15"/>
      <c r="R4815" s="15"/>
    </row>
    <row r="4816" spans="1:18" x14ac:dyDescent="0.25">
      <c r="A4816" s="15"/>
      <c r="R4816" s="15"/>
    </row>
    <row r="4817" spans="1:18" x14ac:dyDescent="0.25">
      <c r="A4817" s="15"/>
      <c r="R4817" s="15"/>
    </row>
    <row r="4818" spans="1:18" x14ac:dyDescent="0.25">
      <c r="A4818" s="15"/>
      <c r="R4818" s="15"/>
    </row>
    <row r="4819" spans="1:18" x14ac:dyDescent="0.25">
      <c r="A4819" s="15"/>
      <c r="R4819" s="15"/>
    </row>
    <row r="4820" spans="1:18" x14ac:dyDescent="0.25">
      <c r="A4820" s="15"/>
      <c r="R4820" s="15"/>
    </row>
    <row r="4821" spans="1:18" x14ac:dyDescent="0.25">
      <c r="A4821" s="15"/>
      <c r="R4821" s="15"/>
    </row>
    <row r="4822" spans="1:18" x14ac:dyDescent="0.25">
      <c r="A4822" s="15"/>
      <c r="R4822" s="15"/>
    </row>
    <row r="4823" spans="1:18" x14ac:dyDescent="0.25">
      <c r="A4823" s="15"/>
      <c r="R4823" s="15"/>
    </row>
    <row r="4824" spans="1:18" x14ac:dyDescent="0.25">
      <c r="A4824" s="15"/>
      <c r="R4824" s="15"/>
    </row>
    <row r="4825" spans="1:18" x14ac:dyDescent="0.25">
      <c r="A4825" s="15"/>
      <c r="R4825" s="15"/>
    </row>
    <row r="4826" spans="1:18" x14ac:dyDescent="0.25">
      <c r="A4826" s="15"/>
      <c r="R4826" s="15"/>
    </row>
    <row r="4827" spans="1:18" x14ac:dyDescent="0.25">
      <c r="A4827" s="15"/>
      <c r="R4827" s="15"/>
    </row>
    <row r="4828" spans="1:18" x14ac:dyDescent="0.25">
      <c r="A4828" s="15"/>
      <c r="R4828" s="15"/>
    </row>
    <row r="4829" spans="1:18" x14ac:dyDescent="0.25">
      <c r="A4829" s="15"/>
      <c r="R4829" s="15"/>
    </row>
    <row r="4830" spans="1:18" x14ac:dyDescent="0.25">
      <c r="A4830" s="15"/>
      <c r="R4830" s="15"/>
    </row>
    <row r="4831" spans="1:18" x14ac:dyDescent="0.25">
      <c r="A4831" s="15"/>
      <c r="R4831" s="15"/>
    </row>
    <row r="4832" spans="1:18" x14ac:dyDescent="0.25">
      <c r="A4832" s="15"/>
      <c r="R4832" s="15"/>
    </row>
    <row r="4833" spans="1:18" x14ac:dyDescent="0.25">
      <c r="A4833" s="15"/>
      <c r="R4833" s="15"/>
    </row>
    <row r="4834" spans="1:18" x14ac:dyDescent="0.25">
      <c r="A4834" s="15"/>
      <c r="R4834" s="15"/>
    </row>
    <row r="4835" spans="1:18" x14ac:dyDescent="0.25">
      <c r="A4835" s="15"/>
      <c r="R4835" s="15"/>
    </row>
    <row r="4836" spans="1:18" x14ac:dyDescent="0.25">
      <c r="A4836" s="15"/>
      <c r="R4836" s="15"/>
    </row>
    <row r="4837" spans="1:18" x14ac:dyDescent="0.25">
      <c r="A4837" s="15"/>
      <c r="R4837" s="15"/>
    </row>
    <row r="4838" spans="1:18" x14ac:dyDescent="0.25">
      <c r="A4838" s="15"/>
      <c r="R4838" s="15"/>
    </row>
    <row r="4839" spans="1:18" x14ac:dyDescent="0.25">
      <c r="A4839" s="15"/>
      <c r="R4839" s="15"/>
    </row>
    <row r="4840" spans="1:18" x14ac:dyDescent="0.25">
      <c r="A4840" s="15"/>
      <c r="R4840" s="15"/>
    </row>
    <row r="4841" spans="1:18" x14ac:dyDescent="0.25">
      <c r="A4841" s="15"/>
      <c r="R4841" s="15"/>
    </row>
    <row r="4842" spans="1:18" x14ac:dyDescent="0.25">
      <c r="A4842" s="15"/>
      <c r="R4842" s="15"/>
    </row>
    <row r="4843" spans="1:18" x14ac:dyDescent="0.25">
      <c r="A4843" s="15"/>
      <c r="R4843" s="15"/>
    </row>
    <row r="4844" spans="1:18" x14ac:dyDescent="0.25">
      <c r="A4844" s="15"/>
      <c r="R4844" s="15"/>
    </row>
    <row r="4845" spans="1:18" x14ac:dyDescent="0.25">
      <c r="A4845" s="15"/>
      <c r="R4845" s="15"/>
    </row>
    <row r="4846" spans="1:18" x14ac:dyDescent="0.25">
      <c r="A4846" s="15"/>
      <c r="R4846" s="15"/>
    </row>
    <row r="4847" spans="1:18" x14ac:dyDescent="0.25">
      <c r="A4847" s="15"/>
      <c r="R4847" s="15"/>
    </row>
    <row r="4848" spans="1:18" x14ac:dyDescent="0.25">
      <c r="A4848" s="15"/>
      <c r="R4848" s="15"/>
    </row>
    <row r="4849" spans="1:18" x14ac:dyDescent="0.25">
      <c r="A4849" s="15"/>
      <c r="R4849" s="15"/>
    </row>
    <row r="4850" spans="1:18" x14ac:dyDescent="0.25">
      <c r="A4850" s="15"/>
      <c r="R4850" s="15"/>
    </row>
    <row r="4851" spans="1:18" x14ac:dyDescent="0.25">
      <c r="A4851" s="15"/>
      <c r="R4851" s="15"/>
    </row>
    <row r="4852" spans="1:18" x14ac:dyDescent="0.25">
      <c r="A4852" s="15"/>
      <c r="R4852" s="15"/>
    </row>
    <row r="4853" spans="1:18" x14ac:dyDescent="0.25">
      <c r="A4853" s="15"/>
      <c r="R4853" s="15"/>
    </row>
    <row r="4854" spans="1:18" x14ac:dyDescent="0.25">
      <c r="A4854" s="15"/>
      <c r="R4854" s="15"/>
    </row>
    <row r="4855" spans="1:18" x14ac:dyDescent="0.25">
      <c r="A4855" s="15"/>
      <c r="R4855" s="15"/>
    </row>
    <row r="4856" spans="1:18" x14ac:dyDescent="0.25">
      <c r="A4856" s="15"/>
      <c r="R4856" s="15"/>
    </row>
    <row r="4857" spans="1:18" x14ac:dyDescent="0.25">
      <c r="A4857" s="15"/>
      <c r="R4857" s="15"/>
    </row>
    <row r="4858" spans="1:18" x14ac:dyDescent="0.25">
      <c r="A4858" s="15"/>
      <c r="R4858" s="15"/>
    </row>
    <row r="4859" spans="1:18" x14ac:dyDescent="0.25">
      <c r="A4859" s="15"/>
      <c r="R4859" s="15"/>
    </row>
    <row r="4860" spans="1:18" x14ac:dyDescent="0.25">
      <c r="A4860" s="15"/>
      <c r="R4860" s="15"/>
    </row>
    <row r="4861" spans="1:18" x14ac:dyDescent="0.25">
      <c r="A4861" s="15"/>
      <c r="R4861" s="15"/>
    </row>
    <row r="4862" spans="1:18" x14ac:dyDescent="0.25">
      <c r="A4862" s="15"/>
      <c r="R4862" s="15"/>
    </row>
    <row r="4863" spans="1:18" x14ac:dyDescent="0.25">
      <c r="A4863" s="15"/>
      <c r="R4863" s="15"/>
    </row>
    <row r="4864" spans="1:18" x14ac:dyDescent="0.25">
      <c r="A4864" s="15"/>
      <c r="R4864" s="15"/>
    </row>
    <row r="4865" spans="1:18" x14ac:dyDescent="0.25">
      <c r="A4865" s="15"/>
      <c r="R4865" s="15"/>
    </row>
    <row r="4866" spans="1:18" x14ac:dyDescent="0.25">
      <c r="A4866" s="15"/>
      <c r="R4866" s="15"/>
    </row>
    <row r="4867" spans="1:18" x14ac:dyDescent="0.25">
      <c r="A4867" s="15"/>
      <c r="R4867" s="15"/>
    </row>
    <row r="4868" spans="1:18" x14ac:dyDescent="0.25">
      <c r="A4868" s="15"/>
      <c r="R4868" s="15"/>
    </row>
    <row r="4869" spans="1:18" x14ac:dyDescent="0.25">
      <c r="A4869" s="15"/>
      <c r="R4869" s="15"/>
    </row>
    <row r="4870" spans="1:18" x14ac:dyDescent="0.25">
      <c r="A4870" s="15"/>
      <c r="R4870" s="15"/>
    </row>
    <row r="4871" spans="1:18" x14ac:dyDescent="0.25">
      <c r="A4871" s="15"/>
      <c r="R4871" s="15"/>
    </row>
    <row r="4872" spans="1:18" x14ac:dyDescent="0.25">
      <c r="A4872" s="15"/>
      <c r="R4872" s="15"/>
    </row>
    <row r="4873" spans="1:18" x14ac:dyDescent="0.25">
      <c r="A4873" s="15"/>
      <c r="R4873" s="15"/>
    </row>
    <row r="4874" spans="1:18" x14ac:dyDescent="0.25">
      <c r="A4874" s="15"/>
      <c r="R4874" s="15"/>
    </row>
    <row r="4875" spans="1:18" x14ac:dyDescent="0.25">
      <c r="A4875" s="15"/>
      <c r="R4875" s="15"/>
    </row>
    <row r="4876" spans="1:18" x14ac:dyDescent="0.25">
      <c r="A4876" s="15"/>
      <c r="R4876" s="15"/>
    </row>
    <row r="4877" spans="1:18" x14ac:dyDescent="0.25">
      <c r="A4877" s="15"/>
      <c r="R4877" s="15"/>
    </row>
    <row r="4878" spans="1:18" x14ac:dyDescent="0.25">
      <c r="A4878" s="15"/>
      <c r="R4878" s="15"/>
    </row>
    <row r="4879" spans="1:18" x14ac:dyDescent="0.25">
      <c r="A4879" s="15"/>
      <c r="R4879" s="15"/>
    </row>
    <row r="4880" spans="1:18" x14ac:dyDescent="0.25">
      <c r="A4880" s="15"/>
      <c r="R4880" s="15"/>
    </row>
    <row r="4881" spans="1:18" x14ac:dyDescent="0.25">
      <c r="A4881" s="15"/>
      <c r="R4881" s="15"/>
    </row>
    <row r="4882" spans="1:18" x14ac:dyDescent="0.25">
      <c r="A4882" s="15"/>
      <c r="R4882" s="15"/>
    </row>
    <row r="4883" spans="1:18" x14ac:dyDescent="0.25">
      <c r="A4883" s="15"/>
      <c r="R4883" s="15"/>
    </row>
    <row r="4884" spans="1:18" x14ac:dyDescent="0.25">
      <c r="A4884" s="15"/>
      <c r="R4884" s="15"/>
    </row>
    <row r="4885" spans="1:18" x14ac:dyDescent="0.25">
      <c r="A4885" s="15"/>
      <c r="R4885" s="15"/>
    </row>
    <row r="4886" spans="1:18" x14ac:dyDescent="0.25">
      <c r="A4886" s="15"/>
      <c r="R4886" s="15"/>
    </row>
    <row r="4887" spans="1:18" x14ac:dyDescent="0.25">
      <c r="A4887" s="15"/>
      <c r="R4887" s="15"/>
    </row>
    <row r="4888" spans="1:18" x14ac:dyDescent="0.25">
      <c r="A4888" s="15"/>
      <c r="R4888" s="15"/>
    </row>
    <row r="4889" spans="1:18" x14ac:dyDescent="0.25">
      <c r="A4889" s="15"/>
      <c r="R4889" s="15"/>
    </row>
    <row r="4890" spans="1:18" x14ac:dyDescent="0.25">
      <c r="A4890" s="15"/>
      <c r="R4890" s="15"/>
    </row>
    <row r="4891" spans="1:18" x14ac:dyDescent="0.25">
      <c r="A4891" s="15"/>
      <c r="R4891" s="15"/>
    </row>
    <row r="4892" spans="1:18" x14ac:dyDescent="0.25">
      <c r="A4892" s="15"/>
      <c r="R4892" s="15"/>
    </row>
    <row r="4893" spans="1:18" x14ac:dyDescent="0.25">
      <c r="A4893" s="15"/>
      <c r="R4893" s="15"/>
    </row>
    <row r="4894" spans="1:18" x14ac:dyDescent="0.25">
      <c r="A4894" s="15"/>
      <c r="R4894" s="15"/>
    </row>
    <row r="4895" spans="1:18" x14ac:dyDescent="0.25">
      <c r="A4895" s="15"/>
      <c r="R4895" s="15"/>
    </row>
    <row r="4896" spans="1:18" x14ac:dyDescent="0.25">
      <c r="A4896" s="15"/>
      <c r="R4896" s="15"/>
    </row>
    <row r="4897" spans="1:18" x14ac:dyDescent="0.25">
      <c r="A4897" s="15"/>
      <c r="R4897" s="15"/>
    </row>
    <row r="4898" spans="1:18" x14ac:dyDescent="0.25">
      <c r="A4898" s="15"/>
      <c r="R4898" s="15"/>
    </row>
    <row r="4899" spans="1:18" x14ac:dyDescent="0.25">
      <c r="A4899" s="15"/>
      <c r="R4899" s="15"/>
    </row>
    <row r="4900" spans="1:18" x14ac:dyDescent="0.25">
      <c r="A4900" s="15"/>
      <c r="R4900" s="15"/>
    </row>
    <row r="4901" spans="1:18" x14ac:dyDescent="0.25">
      <c r="A4901" s="15"/>
      <c r="R4901" s="15"/>
    </row>
    <row r="4902" spans="1:18" x14ac:dyDescent="0.25">
      <c r="A4902" s="15"/>
      <c r="R4902" s="15"/>
    </row>
    <row r="4903" spans="1:18" x14ac:dyDescent="0.25">
      <c r="A4903" s="15"/>
      <c r="R4903" s="15"/>
    </row>
    <row r="4904" spans="1:18" x14ac:dyDescent="0.25">
      <c r="A4904" s="15"/>
      <c r="R4904" s="15"/>
    </row>
    <row r="4905" spans="1:18" x14ac:dyDescent="0.25">
      <c r="A4905" s="15"/>
      <c r="R4905" s="15"/>
    </row>
    <row r="4906" spans="1:18" x14ac:dyDescent="0.25">
      <c r="A4906" s="15"/>
      <c r="R4906" s="15"/>
    </row>
    <row r="4907" spans="1:18" x14ac:dyDescent="0.25">
      <c r="A4907" s="15"/>
      <c r="R4907" s="15"/>
    </row>
    <row r="4908" spans="1:18" x14ac:dyDescent="0.25">
      <c r="A4908" s="15"/>
      <c r="R4908" s="15"/>
    </row>
    <row r="4909" spans="1:18" x14ac:dyDescent="0.25">
      <c r="A4909" s="15"/>
      <c r="R4909" s="15"/>
    </row>
    <row r="4910" spans="1:18" x14ac:dyDescent="0.25">
      <c r="A4910" s="15"/>
      <c r="R4910" s="15"/>
    </row>
    <row r="4911" spans="1:18" x14ac:dyDescent="0.25">
      <c r="A4911" s="15"/>
      <c r="R4911" s="15"/>
    </row>
    <row r="4912" spans="1:18" x14ac:dyDescent="0.25">
      <c r="A4912" s="15"/>
      <c r="R4912" s="15"/>
    </row>
    <row r="4913" spans="1:18" x14ac:dyDescent="0.25">
      <c r="A4913" s="15"/>
      <c r="R4913" s="15"/>
    </row>
    <row r="4914" spans="1:18" x14ac:dyDescent="0.25">
      <c r="A4914" s="15"/>
      <c r="R4914" s="15"/>
    </row>
    <row r="4915" spans="1:18" x14ac:dyDescent="0.25">
      <c r="A4915" s="15"/>
      <c r="R4915" s="15"/>
    </row>
    <row r="4916" spans="1:18" x14ac:dyDescent="0.25">
      <c r="A4916" s="15"/>
      <c r="R4916" s="15"/>
    </row>
    <row r="4917" spans="1:18" x14ac:dyDescent="0.25">
      <c r="A4917" s="15"/>
      <c r="R4917" s="15"/>
    </row>
    <row r="4918" spans="1:18" x14ac:dyDescent="0.25">
      <c r="A4918" s="15"/>
      <c r="R4918" s="15"/>
    </row>
    <row r="4919" spans="1:18" x14ac:dyDescent="0.25">
      <c r="A4919" s="15"/>
      <c r="R4919" s="15"/>
    </row>
    <row r="4920" spans="1:18" x14ac:dyDescent="0.25">
      <c r="A4920" s="15"/>
      <c r="R4920" s="15"/>
    </row>
    <row r="4921" spans="1:18" x14ac:dyDescent="0.25">
      <c r="A4921" s="15"/>
      <c r="R4921" s="15"/>
    </row>
    <row r="4922" spans="1:18" x14ac:dyDescent="0.25">
      <c r="A4922" s="15"/>
      <c r="R4922" s="15"/>
    </row>
    <row r="4923" spans="1:18" x14ac:dyDescent="0.25">
      <c r="A4923" s="15"/>
      <c r="R4923" s="15"/>
    </row>
    <row r="4924" spans="1:18" x14ac:dyDescent="0.25">
      <c r="A4924" s="15"/>
      <c r="R4924" s="15"/>
    </row>
    <row r="4925" spans="1:18" x14ac:dyDescent="0.25">
      <c r="A4925" s="15"/>
      <c r="R4925" s="15"/>
    </row>
    <row r="4926" spans="1:18" x14ac:dyDescent="0.25">
      <c r="A4926" s="15"/>
      <c r="R4926" s="15"/>
    </row>
    <row r="4927" spans="1:18" x14ac:dyDescent="0.25">
      <c r="A4927" s="15"/>
      <c r="R4927" s="15"/>
    </row>
    <row r="4928" spans="1:18" x14ac:dyDescent="0.25">
      <c r="A4928" s="15"/>
      <c r="R4928" s="15"/>
    </row>
    <row r="4929" spans="1:18" x14ac:dyDescent="0.25">
      <c r="A4929" s="15"/>
      <c r="R4929" s="15"/>
    </row>
    <row r="4930" spans="1:18" x14ac:dyDescent="0.25">
      <c r="A4930" s="15"/>
      <c r="R4930" s="15"/>
    </row>
    <row r="4931" spans="1:18" x14ac:dyDescent="0.25">
      <c r="A4931" s="15"/>
      <c r="R4931" s="15"/>
    </row>
    <row r="4932" spans="1:18" x14ac:dyDescent="0.25">
      <c r="A4932" s="15"/>
      <c r="R4932" s="15"/>
    </row>
    <row r="4933" spans="1:18" x14ac:dyDescent="0.25">
      <c r="A4933" s="15"/>
      <c r="R4933" s="15"/>
    </row>
    <row r="4934" spans="1:18" x14ac:dyDescent="0.25">
      <c r="A4934" s="15"/>
      <c r="R4934" s="15"/>
    </row>
    <row r="4935" spans="1:18" x14ac:dyDescent="0.25">
      <c r="A4935" s="15"/>
      <c r="R4935" s="15"/>
    </row>
    <row r="4936" spans="1:18" x14ac:dyDescent="0.25">
      <c r="A4936" s="15"/>
      <c r="R4936" s="15"/>
    </row>
    <row r="4937" spans="1:18" x14ac:dyDescent="0.25">
      <c r="A4937" s="15"/>
      <c r="R4937" s="15"/>
    </row>
    <row r="4938" spans="1:18" x14ac:dyDescent="0.25">
      <c r="A4938" s="15"/>
      <c r="R4938" s="15"/>
    </row>
    <row r="4939" spans="1:18" x14ac:dyDescent="0.25">
      <c r="A4939" s="15"/>
      <c r="R4939" s="15"/>
    </row>
    <row r="4940" spans="1:18" x14ac:dyDescent="0.25">
      <c r="A4940" s="15"/>
      <c r="R4940" s="15"/>
    </row>
    <row r="4941" spans="1:18" x14ac:dyDescent="0.25">
      <c r="A4941" s="15"/>
      <c r="R4941" s="15"/>
    </row>
    <row r="4942" spans="1:18" x14ac:dyDescent="0.25">
      <c r="A4942" s="15"/>
      <c r="R4942" s="15"/>
    </row>
    <row r="4943" spans="1:18" x14ac:dyDescent="0.25">
      <c r="A4943" s="15"/>
      <c r="R4943" s="15"/>
    </row>
    <row r="4944" spans="1:18" x14ac:dyDescent="0.25">
      <c r="A4944" s="15"/>
      <c r="R4944" s="15"/>
    </row>
    <row r="4945" spans="1:18" x14ac:dyDescent="0.25">
      <c r="A4945" s="15"/>
      <c r="R4945" s="15"/>
    </row>
    <row r="4946" spans="1:18" x14ac:dyDescent="0.25">
      <c r="A4946" s="15"/>
      <c r="R4946" s="15"/>
    </row>
    <row r="4947" spans="1:18" x14ac:dyDescent="0.25">
      <c r="A4947" s="15"/>
      <c r="R4947" s="15"/>
    </row>
    <row r="4948" spans="1:18" x14ac:dyDescent="0.25">
      <c r="A4948" s="15"/>
      <c r="R4948" s="15"/>
    </row>
    <row r="4949" spans="1:18" x14ac:dyDescent="0.25">
      <c r="A4949" s="15"/>
      <c r="R4949" s="15"/>
    </row>
    <row r="4950" spans="1:18" x14ac:dyDescent="0.25">
      <c r="A4950" s="15"/>
      <c r="R4950" s="15"/>
    </row>
    <row r="4951" spans="1:18" x14ac:dyDescent="0.25">
      <c r="A4951" s="15"/>
      <c r="R4951" s="15"/>
    </row>
    <row r="4952" spans="1:18" x14ac:dyDescent="0.25">
      <c r="A4952" s="15"/>
      <c r="R4952" s="15"/>
    </row>
    <row r="4953" spans="1:18" x14ac:dyDescent="0.25">
      <c r="A4953" s="15"/>
      <c r="R4953" s="15"/>
    </row>
    <row r="4954" spans="1:18" x14ac:dyDescent="0.25">
      <c r="A4954" s="15"/>
      <c r="R4954" s="15"/>
    </row>
    <row r="4955" spans="1:18" x14ac:dyDescent="0.25">
      <c r="A4955" s="15"/>
      <c r="R4955" s="15"/>
    </row>
    <row r="4956" spans="1:18" x14ac:dyDescent="0.25">
      <c r="A4956" s="15"/>
      <c r="R4956" s="15"/>
    </row>
    <row r="4957" spans="1:18" x14ac:dyDescent="0.25">
      <c r="A4957" s="15"/>
      <c r="R4957" s="15"/>
    </row>
    <row r="4958" spans="1:18" x14ac:dyDescent="0.25">
      <c r="A4958" s="15"/>
      <c r="R4958" s="15"/>
    </row>
    <row r="4959" spans="1:18" x14ac:dyDescent="0.25">
      <c r="A4959" s="15"/>
      <c r="R4959" s="15"/>
    </row>
    <row r="4960" spans="1:18" x14ac:dyDescent="0.25">
      <c r="A4960" s="15"/>
      <c r="R4960" s="15"/>
    </row>
    <row r="4961" spans="1:18" x14ac:dyDescent="0.25">
      <c r="A4961" s="15"/>
      <c r="R4961" s="15"/>
    </row>
    <row r="4962" spans="1:18" x14ac:dyDescent="0.25">
      <c r="A4962" s="15"/>
      <c r="R4962" s="15"/>
    </row>
    <row r="4963" spans="1:18" x14ac:dyDescent="0.25">
      <c r="A4963" s="15"/>
      <c r="R4963" s="15"/>
    </row>
    <row r="4964" spans="1:18" x14ac:dyDescent="0.25">
      <c r="A4964" s="15"/>
      <c r="R4964" s="15"/>
    </row>
    <row r="4965" spans="1:18" x14ac:dyDescent="0.25">
      <c r="A4965" s="15"/>
      <c r="R4965" s="15"/>
    </row>
    <row r="4966" spans="1:18" x14ac:dyDescent="0.25">
      <c r="A4966" s="15"/>
      <c r="R4966" s="15"/>
    </row>
    <row r="4967" spans="1:18" x14ac:dyDescent="0.25">
      <c r="A4967" s="15"/>
      <c r="R4967" s="15"/>
    </row>
    <row r="4968" spans="1:18" x14ac:dyDescent="0.25">
      <c r="A4968" s="15"/>
      <c r="R4968" s="15"/>
    </row>
    <row r="4969" spans="1:18" x14ac:dyDescent="0.25">
      <c r="A4969" s="15"/>
      <c r="R4969" s="15"/>
    </row>
    <row r="4970" spans="1:18" x14ac:dyDescent="0.25">
      <c r="A4970" s="15"/>
      <c r="R4970" s="15"/>
    </row>
    <row r="4971" spans="1:18" x14ac:dyDescent="0.25">
      <c r="A4971" s="15"/>
      <c r="R4971" s="15"/>
    </row>
    <row r="4972" spans="1:18" x14ac:dyDescent="0.25">
      <c r="A4972" s="15"/>
      <c r="R4972" s="15"/>
    </row>
    <row r="4973" spans="1:18" x14ac:dyDescent="0.25">
      <c r="A4973" s="15"/>
      <c r="R4973" s="15"/>
    </row>
    <row r="4974" spans="1:18" x14ac:dyDescent="0.25">
      <c r="A4974" s="15"/>
      <c r="R4974" s="15"/>
    </row>
    <row r="4975" spans="1:18" x14ac:dyDescent="0.25">
      <c r="A4975" s="15"/>
      <c r="R4975" s="15"/>
    </row>
    <row r="4976" spans="1:18" x14ac:dyDescent="0.25">
      <c r="A4976" s="15"/>
      <c r="R4976" s="15"/>
    </row>
    <row r="4977" spans="1:18" x14ac:dyDescent="0.25">
      <c r="A4977" s="15"/>
      <c r="R4977" s="15"/>
    </row>
    <row r="4978" spans="1:18" x14ac:dyDescent="0.25">
      <c r="A4978" s="15"/>
      <c r="R4978" s="15"/>
    </row>
    <row r="4979" spans="1:18" x14ac:dyDescent="0.25">
      <c r="A4979" s="15"/>
      <c r="R4979" s="15"/>
    </row>
    <row r="4980" spans="1:18" x14ac:dyDescent="0.25">
      <c r="A4980" s="15"/>
      <c r="R4980" s="15"/>
    </row>
    <row r="4981" spans="1:18" x14ac:dyDescent="0.25">
      <c r="A4981" s="15"/>
      <c r="R4981" s="15"/>
    </row>
    <row r="4982" spans="1:18" x14ac:dyDescent="0.25">
      <c r="A4982" s="15"/>
      <c r="R4982" s="15"/>
    </row>
    <row r="4983" spans="1:18" x14ac:dyDescent="0.25">
      <c r="A4983" s="15"/>
      <c r="R4983" s="15"/>
    </row>
    <row r="4984" spans="1:18" x14ac:dyDescent="0.25">
      <c r="A4984" s="15"/>
      <c r="R4984" s="15"/>
    </row>
    <row r="4985" spans="1:18" x14ac:dyDescent="0.25">
      <c r="A4985" s="15"/>
      <c r="R4985" s="15"/>
    </row>
    <row r="4986" spans="1:18" x14ac:dyDescent="0.25">
      <c r="A4986" s="15"/>
      <c r="R4986" s="15"/>
    </row>
    <row r="4987" spans="1:18" x14ac:dyDescent="0.25">
      <c r="A4987" s="15"/>
      <c r="R4987" s="15"/>
    </row>
    <row r="4988" spans="1:18" x14ac:dyDescent="0.25">
      <c r="A4988" s="15"/>
      <c r="R4988" s="15"/>
    </row>
    <row r="4989" spans="1:18" x14ac:dyDescent="0.25">
      <c r="A4989" s="15"/>
      <c r="R4989" s="15"/>
    </row>
    <row r="4990" spans="1:18" x14ac:dyDescent="0.25">
      <c r="A4990" s="15"/>
      <c r="R4990" s="15"/>
    </row>
    <row r="4991" spans="1:18" x14ac:dyDescent="0.25">
      <c r="A4991" s="15"/>
      <c r="R4991" s="15"/>
    </row>
    <row r="4992" spans="1:18" x14ac:dyDescent="0.25">
      <c r="A4992" s="15"/>
      <c r="R4992" s="15"/>
    </row>
    <row r="4993" spans="1:18" x14ac:dyDescent="0.25">
      <c r="A4993" s="15"/>
      <c r="R4993" s="15"/>
    </row>
    <row r="4994" spans="1:18" x14ac:dyDescent="0.25">
      <c r="A4994" s="15"/>
      <c r="R4994" s="15"/>
    </row>
    <row r="4995" spans="1:18" x14ac:dyDescent="0.25">
      <c r="A4995" s="15"/>
      <c r="R4995" s="15"/>
    </row>
    <row r="4996" spans="1:18" x14ac:dyDescent="0.25">
      <c r="A4996" s="15"/>
      <c r="R4996" s="15"/>
    </row>
    <row r="4997" spans="1:18" x14ac:dyDescent="0.25">
      <c r="A4997" s="15"/>
      <c r="R4997" s="15"/>
    </row>
    <row r="4998" spans="1:18" x14ac:dyDescent="0.25">
      <c r="A4998" s="15"/>
      <c r="R4998" s="15"/>
    </row>
    <row r="4999" spans="1:18" x14ac:dyDescent="0.25">
      <c r="A4999" s="15"/>
      <c r="R4999" s="15"/>
    </row>
    <row r="5000" spans="1:18" x14ac:dyDescent="0.25">
      <c r="A5000" s="15"/>
      <c r="R5000" s="15"/>
    </row>
    <row r="5001" spans="1:18" x14ac:dyDescent="0.25">
      <c r="A5001" s="15"/>
      <c r="R5001" s="15"/>
    </row>
    <row r="5002" spans="1:18" x14ac:dyDescent="0.25">
      <c r="A5002" s="15"/>
      <c r="R5002" s="15"/>
    </row>
    <row r="5003" spans="1:18" x14ac:dyDescent="0.25">
      <c r="A5003" s="15"/>
      <c r="R5003" s="15"/>
    </row>
    <row r="5004" spans="1:18" x14ac:dyDescent="0.25">
      <c r="A5004" s="15"/>
      <c r="R5004" s="15"/>
    </row>
    <row r="5005" spans="1:18" x14ac:dyDescent="0.25">
      <c r="A5005" s="15"/>
      <c r="R5005" s="15"/>
    </row>
    <row r="5006" spans="1:18" x14ac:dyDescent="0.25">
      <c r="A5006" s="15"/>
      <c r="R5006" s="15"/>
    </row>
    <row r="5007" spans="1:18" x14ac:dyDescent="0.25">
      <c r="A5007" s="15"/>
      <c r="R5007" s="15"/>
    </row>
    <row r="5008" spans="1:18" x14ac:dyDescent="0.25">
      <c r="A5008" s="15"/>
      <c r="R5008" s="15"/>
    </row>
    <row r="5009" spans="1:18" x14ac:dyDescent="0.25">
      <c r="A5009" s="15"/>
      <c r="R5009" s="15"/>
    </row>
    <row r="5010" spans="1:18" x14ac:dyDescent="0.25">
      <c r="A5010" s="15"/>
      <c r="R5010" s="15"/>
    </row>
    <row r="5011" spans="1:18" x14ac:dyDescent="0.25">
      <c r="A5011" s="15"/>
      <c r="R5011" s="15"/>
    </row>
    <row r="5012" spans="1:18" x14ac:dyDescent="0.25">
      <c r="A5012" s="15"/>
      <c r="R5012" s="15"/>
    </row>
    <row r="5013" spans="1:18" x14ac:dyDescent="0.25">
      <c r="A5013" s="15"/>
      <c r="R5013" s="15"/>
    </row>
    <row r="5014" spans="1:18" x14ac:dyDescent="0.25">
      <c r="A5014" s="15"/>
      <c r="R5014" s="15"/>
    </row>
    <row r="5015" spans="1:18" x14ac:dyDescent="0.25">
      <c r="A5015" s="15"/>
      <c r="R5015" s="15"/>
    </row>
    <row r="5016" spans="1:18" x14ac:dyDescent="0.25">
      <c r="A5016" s="15"/>
      <c r="R5016" s="15"/>
    </row>
    <row r="5017" spans="1:18" x14ac:dyDescent="0.25">
      <c r="A5017" s="15"/>
      <c r="R5017" s="15"/>
    </row>
    <row r="5018" spans="1:18" x14ac:dyDescent="0.25">
      <c r="A5018" s="15"/>
      <c r="R5018" s="15"/>
    </row>
    <row r="5019" spans="1:18" x14ac:dyDescent="0.25">
      <c r="A5019" s="15"/>
      <c r="R5019" s="15"/>
    </row>
    <row r="5020" spans="1:18" x14ac:dyDescent="0.25">
      <c r="A5020" s="15"/>
      <c r="R5020" s="15"/>
    </row>
    <row r="5021" spans="1:18" x14ac:dyDescent="0.25">
      <c r="A5021" s="15"/>
      <c r="R5021" s="15"/>
    </row>
    <row r="5022" spans="1:18" x14ac:dyDescent="0.25">
      <c r="A5022" s="15"/>
      <c r="R5022" s="15"/>
    </row>
    <row r="5023" spans="1:18" x14ac:dyDescent="0.25">
      <c r="A5023" s="15"/>
      <c r="R5023" s="15"/>
    </row>
    <row r="5024" spans="1:18" x14ac:dyDescent="0.25">
      <c r="A5024" s="15"/>
      <c r="R5024" s="15"/>
    </row>
    <row r="5025" spans="1:18" x14ac:dyDescent="0.25">
      <c r="A5025" s="15"/>
      <c r="R5025" s="15"/>
    </row>
    <row r="5026" spans="1:18" x14ac:dyDescent="0.25">
      <c r="A5026" s="15"/>
      <c r="R5026" s="15"/>
    </row>
    <row r="5027" spans="1:18" x14ac:dyDescent="0.25">
      <c r="A5027" s="15"/>
      <c r="R5027" s="15"/>
    </row>
    <row r="5028" spans="1:18" x14ac:dyDescent="0.25">
      <c r="A5028" s="15"/>
      <c r="R5028" s="15"/>
    </row>
    <row r="5029" spans="1:18" x14ac:dyDescent="0.25">
      <c r="A5029" s="15"/>
      <c r="R5029" s="15"/>
    </row>
    <row r="5030" spans="1:18" x14ac:dyDescent="0.25">
      <c r="A5030" s="15"/>
      <c r="R5030" s="15"/>
    </row>
    <row r="5031" spans="1:18" x14ac:dyDescent="0.25">
      <c r="A5031" s="15"/>
      <c r="R5031" s="15"/>
    </row>
    <row r="5032" spans="1:18" x14ac:dyDescent="0.25">
      <c r="A5032" s="15"/>
      <c r="R5032" s="15"/>
    </row>
    <row r="5033" spans="1:18" x14ac:dyDescent="0.25">
      <c r="A5033" s="15"/>
      <c r="R5033" s="15"/>
    </row>
    <row r="5034" spans="1:18" x14ac:dyDescent="0.25">
      <c r="A5034" s="15"/>
      <c r="R5034" s="15"/>
    </row>
    <row r="5035" spans="1:18" x14ac:dyDescent="0.25">
      <c r="A5035" s="15"/>
      <c r="R5035" s="15"/>
    </row>
    <row r="5036" spans="1:18" x14ac:dyDescent="0.25">
      <c r="A5036" s="15"/>
      <c r="R5036" s="15"/>
    </row>
    <row r="5037" spans="1:18" x14ac:dyDescent="0.25">
      <c r="A5037" s="15"/>
      <c r="R5037" s="15"/>
    </row>
    <row r="5038" spans="1:18" x14ac:dyDescent="0.25">
      <c r="A5038" s="15"/>
      <c r="R5038" s="15"/>
    </row>
    <row r="5039" spans="1:18" x14ac:dyDescent="0.25">
      <c r="A5039" s="15"/>
      <c r="R5039" s="15"/>
    </row>
    <row r="5040" spans="1:18" x14ac:dyDescent="0.25">
      <c r="A5040" s="15"/>
      <c r="R5040" s="15"/>
    </row>
    <row r="5041" spans="1:18" x14ac:dyDescent="0.25">
      <c r="A5041" s="15"/>
      <c r="R5041" s="15"/>
    </row>
    <row r="5042" spans="1:18" x14ac:dyDescent="0.25">
      <c r="A5042" s="15"/>
      <c r="R5042" s="15"/>
    </row>
    <row r="5043" spans="1:18" x14ac:dyDescent="0.25">
      <c r="A5043" s="15"/>
      <c r="R5043" s="15"/>
    </row>
    <row r="5044" spans="1:18" x14ac:dyDescent="0.25">
      <c r="A5044" s="15"/>
      <c r="R5044" s="15"/>
    </row>
    <row r="5045" spans="1:18" x14ac:dyDescent="0.25">
      <c r="A5045" s="15"/>
      <c r="R5045" s="15"/>
    </row>
    <row r="5046" spans="1:18" x14ac:dyDescent="0.25">
      <c r="A5046" s="15"/>
      <c r="R5046" s="15"/>
    </row>
    <row r="5047" spans="1:18" x14ac:dyDescent="0.25">
      <c r="A5047" s="15"/>
      <c r="R5047" s="15"/>
    </row>
    <row r="5048" spans="1:18" x14ac:dyDescent="0.25">
      <c r="A5048" s="15"/>
      <c r="R5048" s="15"/>
    </row>
    <row r="5049" spans="1:18" x14ac:dyDescent="0.25">
      <c r="A5049" s="15"/>
      <c r="R5049" s="15"/>
    </row>
    <row r="5050" spans="1:18" x14ac:dyDescent="0.25">
      <c r="A5050" s="15"/>
      <c r="R5050" s="15"/>
    </row>
    <row r="5051" spans="1:18" x14ac:dyDescent="0.25">
      <c r="A5051" s="15"/>
      <c r="R5051" s="15"/>
    </row>
    <row r="5052" spans="1:18" x14ac:dyDescent="0.25">
      <c r="A5052" s="15"/>
      <c r="R5052" s="15"/>
    </row>
    <row r="5053" spans="1:18" x14ac:dyDescent="0.25">
      <c r="A5053" s="15"/>
      <c r="R5053" s="15"/>
    </row>
    <row r="5054" spans="1:18" x14ac:dyDescent="0.25">
      <c r="A5054" s="15"/>
      <c r="R5054" s="15"/>
    </row>
    <row r="5055" spans="1:18" x14ac:dyDescent="0.25">
      <c r="A5055" s="15"/>
      <c r="R5055" s="15"/>
    </row>
    <row r="5056" spans="1:18" x14ac:dyDescent="0.25">
      <c r="A5056" s="15"/>
      <c r="R5056" s="15"/>
    </row>
    <row r="5057" spans="1:18" x14ac:dyDescent="0.25">
      <c r="A5057" s="15"/>
      <c r="R5057" s="15"/>
    </row>
    <row r="5058" spans="1:18" x14ac:dyDescent="0.25">
      <c r="A5058" s="15"/>
      <c r="R5058" s="15"/>
    </row>
    <row r="5059" spans="1:18" x14ac:dyDescent="0.25">
      <c r="A5059" s="15"/>
      <c r="R5059" s="15"/>
    </row>
    <row r="5060" spans="1:18" x14ac:dyDescent="0.25">
      <c r="A5060" s="15"/>
      <c r="R5060" s="15"/>
    </row>
    <row r="5061" spans="1:18" x14ac:dyDescent="0.25">
      <c r="A5061" s="15"/>
      <c r="R5061" s="15"/>
    </row>
    <row r="5062" spans="1:18" x14ac:dyDescent="0.25">
      <c r="A5062" s="15"/>
      <c r="R5062" s="15"/>
    </row>
    <row r="5063" spans="1:18" x14ac:dyDescent="0.25">
      <c r="A5063" s="15"/>
      <c r="R5063" s="15"/>
    </row>
    <row r="5064" spans="1:18" x14ac:dyDescent="0.25">
      <c r="A5064" s="15"/>
      <c r="R5064" s="15"/>
    </row>
    <row r="5065" spans="1:18" x14ac:dyDescent="0.25">
      <c r="A5065" s="15"/>
      <c r="R5065" s="15"/>
    </row>
    <row r="5066" spans="1:18" x14ac:dyDescent="0.25">
      <c r="A5066" s="15"/>
      <c r="R5066" s="15"/>
    </row>
    <row r="5067" spans="1:18" x14ac:dyDescent="0.25">
      <c r="A5067" s="15"/>
      <c r="R5067" s="15"/>
    </row>
    <row r="5068" spans="1:18" x14ac:dyDescent="0.25">
      <c r="A5068" s="15"/>
      <c r="R5068" s="15"/>
    </row>
    <row r="5069" spans="1:18" x14ac:dyDescent="0.25">
      <c r="A5069" s="15"/>
      <c r="R5069" s="15"/>
    </row>
    <row r="5070" spans="1:18" x14ac:dyDescent="0.25">
      <c r="A5070" s="15"/>
      <c r="R5070" s="15"/>
    </row>
    <row r="5071" spans="1:18" x14ac:dyDescent="0.25">
      <c r="A5071" s="15"/>
      <c r="R5071" s="15"/>
    </row>
    <row r="5072" spans="1:18" x14ac:dyDescent="0.25">
      <c r="A5072" s="15"/>
      <c r="R5072" s="15"/>
    </row>
    <row r="5073" spans="1:18" x14ac:dyDescent="0.25">
      <c r="A5073" s="15"/>
      <c r="R5073" s="15"/>
    </row>
    <row r="5074" spans="1:18" x14ac:dyDescent="0.25">
      <c r="A5074" s="15"/>
      <c r="R5074" s="15"/>
    </row>
    <row r="5075" spans="1:18" x14ac:dyDescent="0.25">
      <c r="A5075" s="15"/>
      <c r="R5075" s="15"/>
    </row>
    <row r="5076" spans="1:18" x14ac:dyDescent="0.25">
      <c r="A5076" s="15"/>
      <c r="R5076" s="15"/>
    </row>
    <row r="5077" spans="1:18" x14ac:dyDescent="0.25">
      <c r="A5077" s="15"/>
      <c r="R5077" s="15"/>
    </row>
    <row r="5078" spans="1:18" x14ac:dyDescent="0.25">
      <c r="A5078" s="15"/>
      <c r="R5078" s="15"/>
    </row>
    <row r="5079" spans="1:18" x14ac:dyDescent="0.25">
      <c r="A5079" s="15"/>
      <c r="R5079" s="15"/>
    </row>
    <row r="5080" spans="1:18" x14ac:dyDescent="0.25">
      <c r="A5080" s="15"/>
      <c r="R5080" s="15"/>
    </row>
    <row r="5081" spans="1:18" x14ac:dyDescent="0.25">
      <c r="A5081" s="15"/>
      <c r="R5081" s="15"/>
    </row>
    <row r="5082" spans="1:18" x14ac:dyDescent="0.25">
      <c r="A5082" s="15"/>
      <c r="R5082" s="15"/>
    </row>
    <row r="5083" spans="1:18" x14ac:dyDescent="0.25">
      <c r="A5083" s="15"/>
      <c r="R5083" s="15"/>
    </row>
    <row r="5084" spans="1:18" x14ac:dyDescent="0.25">
      <c r="A5084" s="15"/>
      <c r="R5084" s="15"/>
    </row>
    <row r="5085" spans="1:18" x14ac:dyDescent="0.25">
      <c r="A5085" s="15"/>
      <c r="R5085" s="15"/>
    </row>
    <row r="5086" spans="1:18" x14ac:dyDescent="0.25">
      <c r="A5086" s="15"/>
      <c r="R5086" s="15"/>
    </row>
    <row r="5087" spans="1:18" x14ac:dyDescent="0.25">
      <c r="A5087" s="15"/>
      <c r="R5087" s="15"/>
    </row>
    <row r="5088" spans="1:18" x14ac:dyDescent="0.25">
      <c r="A5088" s="15"/>
      <c r="R5088" s="15"/>
    </row>
    <row r="5089" spans="1:18" x14ac:dyDescent="0.25">
      <c r="A5089" s="15"/>
      <c r="R5089" s="15"/>
    </row>
    <row r="5090" spans="1:18" x14ac:dyDescent="0.25">
      <c r="A5090" s="15"/>
      <c r="R5090" s="15"/>
    </row>
    <row r="5091" spans="1:18" x14ac:dyDescent="0.25">
      <c r="A5091" s="15"/>
      <c r="R5091" s="15"/>
    </row>
    <row r="5092" spans="1:18" x14ac:dyDescent="0.25">
      <c r="A5092" s="15"/>
      <c r="R5092" s="15"/>
    </row>
    <row r="5093" spans="1:18" x14ac:dyDescent="0.25">
      <c r="A5093" s="15"/>
      <c r="R5093" s="15"/>
    </row>
    <row r="5094" spans="1:18" x14ac:dyDescent="0.25">
      <c r="A5094" s="15"/>
      <c r="R5094" s="15"/>
    </row>
    <row r="5095" spans="1:18" x14ac:dyDescent="0.25">
      <c r="A5095" s="15"/>
      <c r="R5095" s="15"/>
    </row>
    <row r="5096" spans="1:18" x14ac:dyDescent="0.25">
      <c r="A5096" s="15"/>
      <c r="R5096" s="15"/>
    </row>
    <row r="5097" spans="1:18" x14ac:dyDescent="0.25">
      <c r="A5097" s="15"/>
      <c r="R5097" s="15"/>
    </row>
    <row r="5098" spans="1:18" x14ac:dyDescent="0.25">
      <c r="A5098" s="15"/>
      <c r="R5098" s="15"/>
    </row>
    <row r="5099" spans="1:18" x14ac:dyDescent="0.25">
      <c r="A5099" s="15"/>
      <c r="R5099" s="15"/>
    </row>
    <row r="5100" spans="1:18" x14ac:dyDescent="0.25">
      <c r="A5100" s="15"/>
      <c r="R5100" s="15"/>
    </row>
    <row r="5101" spans="1:18" x14ac:dyDescent="0.25">
      <c r="A5101" s="15"/>
      <c r="R5101" s="15"/>
    </row>
    <row r="5102" spans="1:18" x14ac:dyDescent="0.25">
      <c r="A5102" s="15"/>
      <c r="R5102" s="15"/>
    </row>
    <row r="5103" spans="1:18" x14ac:dyDescent="0.25">
      <c r="A5103" s="15"/>
      <c r="R5103" s="15"/>
    </row>
    <row r="5104" spans="1:18" x14ac:dyDescent="0.25">
      <c r="A5104" s="15"/>
      <c r="R5104" s="15"/>
    </row>
    <row r="5105" spans="1:18" x14ac:dyDescent="0.25">
      <c r="A5105" s="15"/>
      <c r="R5105" s="15"/>
    </row>
    <row r="5106" spans="1:18" x14ac:dyDescent="0.25">
      <c r="A5106" s="15"/>
      <c r="R5106" s="15"/>
    </row>
    <row r="5107" spans="1:18" x14ac:dyDescent="0.25">
      <c r="A5107" s="15"/>
      <c r="R5107" s="15"/>
    </row>
    <row r="5108" spans="1:18" x14ac:dyDescent="0.25">
      <c r="A5108" s="15"/>
      <c r="R5108" s="15"/>
    </row>
    <row r="5109" spans="1:18" x14ac:dyDescent="0.25">
      <c r="A5109" s="15"/>
      <c r="R5109" s="15"/>
    </row>
    <row r="5110" spans="1:18" x14ac:dyDescent="0.25">
      <c r="A5110" s="15"/>
      <c r="R5110" s="15"/>
    </row>
    <row r="5111" spans="1:18" x14ac:dyDescent="0.25">
      <c r="A5111" s="15"/>
      <c r="R5111" s="15"/>
    </row>
    <row r="5112" spans="1:18" x14ac:dyDescent="0.25">
      <c r="A5112" s="15"/>
      <c r="R5112" s="15"/>
    </row>
    <row r="5113" spans="1:18" x14ac:dyDescent="0.25">
      <c r="A5113" s="15"/>
      <c r="R5113" s="15"/>
    </row>
    <row r="5114" spans="1:18" x14ac:dyDescent="0.25">
      <c r="A5114" s="15"/>
      <c r="R5114" s="15"/>
    </row>
    <row r="5115" spans="1:18" x14ac:dyDescent="0.25">
      <c r="A5115" s="15"/>
      <c r="R5115" s="15"/>
    </row>
    <row r="5116" spans="1:18" x14ac:dyDescent="0.25">
      <c r="A5116" s="15"/>
      <c r="R5116" s="15"/>
    </row>
    <row r="5117" spans="1:18" x14ac:dyDescent="0.25">
      <c r="A5117" s="15"/>
      <c r="R5117" s="15"/>
    </row>
    <row r="5118" spans="1:18" x14ac:dyDescent="0.25">
      <c r="A5118" s="15"/>
      <c r="R5118" s="15"/>
    </row>
    <row r="5119" spans="1:18" x14ac:dyDescent="0.25">
      <c r="A5119" s="15"/>
      <c r="R5119" s="15"/>
    </row>
    <row r="5120" spans="1:18" x14ac:dyDescent="0.25">
      <c r="A5120" s="15"/>
      <c r="R5120" s="15"/>
    </row>
    <row r="5121" spans="1:18" x14ac:dyDescent="0.25">
      <c r="A5121" s="15"/>
      <c r="R5121" s="15"/>
    </row>
    <row r="5122" spans="1:18" x14ac:dyDescent="0.25">
      <c r="A5122" s="15"/>
      <c r="R5122" s="15"/>
    </row>
    <row r="5123" spans="1:18" x14ac:dyDescent="0.25">
      <c r="A5123" s="15"/>
      <c r="R5123" s="15"/>
    </row>
    <row r="5124" spans="1:18" x14ac:dyDescent="0.25">
      <c r="A5124" s="15"/>
      <c r="R5124" s="15"/>
    </row>
    <row r="5125" spans="1:18" x14ac:dyDescent="0.25">
      <c r="A5125" s="15"/>
      <c r="R5125" s="15"/>
    </row>
    <row r="5126" spans="1:18" x14ac:dyDescent="0.25">
      <c r="A5126" s="15"/>
      <c r="R5126" s="15"/>
    </row>
    <row r="5127" spans="1:18" x14ac:dyDescent="0.25">
      <c r="A5127" s="15"/>
      <c r="R5127" s="15"/>
    </row>
    <row r="5128" spans="1:18" x14ac:dyDescent="0.25">
      <c r="A5128" s="15"/>
      <c r="R5128" s="15"/>
    </row>
    <row r="5129" spans="1:18" x14ac:dyDescent="0.25">
      <c r="A5129" s="15"/>
      <c r="R5129" s="15"/>
    </row>
    <row r="5130" spans="1:18" x14ac:dyDescent="0.25">
      <c r="A5130" s="15"/>
      <c r="R5130" s="15"/>
    </row>
    <row r="5131" spans="1:18" x14ac:dyDescent="0.25">
      <c r="A5131" s="15"/>
      <c r="R5131" s="15"/>
    </row>
    <row r="5132" spans="1:18" x14ac:dyDescent="0.25">
      <c r="A5132" s="15"/>
      <c r="R5132" s="15"/>
    </row>
    <row r="5133" spans="1:18" x14ac:dyDescent="0.25">
      <c r="A5133" s="15"/>
      <c r="R5133" s="15"/>
    </row>
    <row r="5134" spans="1:18" x14ac:dyDescent="0.25">
      <c r="A5134" s="15"/>
      <c r="R5134" s="15"/>
    </row>
    <row r="5135" spans="1:18" x14ac:dyDescent="0.25">
      <c r="A5135" s="15"/>
      <c r="R5135" s="15"/>
    </row>
    <row r="5136" spans="1:18" x14ac:dyDescent="0.25">
      <c r="A5136" s="15"/>
      <c r="R5136" s="15"/>
    </row>
    <row r="5137" spans="1:18" x14ac:dyDescent="0.25">
      <c r="A5137" s="15"/>
      <c r="R5137" s="15"/>
    </row>
    <row r="5138" spans="1:18" x14ac:dyDescent="0.25">
      <c r="A5138" s="15"/>
      <c r="R5138" s="15"/>
    </row>
    <row r="5139" spans="1:18" x14ac:dyDescent="0.25">
      <c r="A5139" s="15"/>
      <c r="R5139" s="15"/>
    </row>
    <row r="5140" spans="1:18" x14ac:dyDescent="0.25">
      <c r="A5140" s="15"/>
      <c r="R5140" s="15"/>
    </row>
    <row r="5141" spans="1:18" x14ac:dyDescent="0.25">
      <c r="A5141" s="15"/>
      <c r="R5141" s="15"/>
    </row>
    <row r="5142" spans="1:18" x14ac:dyDescent="0.25">
      <c r="A5142" s="15"/>
      <c r="R5142" s="15"/>
    </row>
    <row r="5143" spans="1:18" x14ac:dyDescent="0.25">
      <c r="A5143" s="15"/>
      <c r="R5143" s="15"/>
    </row>
    <row r="5144" spans="1:18" x14ac:dyDescent="0.25">
      <c r="A5144" s="15"/>
      <c r="R5144" s="15"/>
    </row>
    <row r="5145" spans="1:18" x14ac:dyDescent="0.25">
      <c r="A5145" s="15"/>
      <c r="R5145" s="15"/>
    </row>
    <row r="5146" spans="1:18" x14ac:dyDescent="0.25">
      <c r="A5146" s="15"/>
      <c r="R5146" s="15"/>
    </row>
    <row r="5147" spans="1:18" x14ac:dyDescent="0.25">
      <c r="A5147" s="15"/>
      <c r="R5147" s="15"/>
    </row>
    <row r="5148" spans="1:18" x14ac:dyDescent="0.25">
      <c r="A5148" s="15"/>
      <c r="R5148" s="15"/>
    </row>
    <row r="5149" spans="1:18" x14ac:dyDescent="0.25">
      <c r="A5149" s="15"/>
      <c r="R5149" s="15"/>
    </row>
    <row r="5150" spans="1:18" x14ac:dyDescent="0.25">
      <c r="A5150" s="15"/>
      <c r="R5150" s="15"/>
    </row>
    <row r="5151" spans="1:18" x14ac:dyDescent="0.25">
      <c r="A5151" s="15"/>
      <c r="R5151" s="15"/>
    </row>
    <row r="5152" spans="1:18" x14ac:dyDescent="0.25">
      <c r="A5152" s="15"/>
      <c r="R5152" s="15"/>
    </row>
    <row r="5153" spans="1:18" x14ac:dyDescent="0.25">
      <c r="A5153" s="15"/>
      <c r="R5153" s="15"/>
    </row>
    <row r="5154" spans="1:18" x14ac:dyDescent="0.25">
      <c r="A5154" s="15"/>
      <c r="R5154" s="15"/>
    </row>
    <row r="5155" spans="1:18" x14ac:dyDescent="0.25">
      <c r="A5155" s="15"/>
      <c r="R5155" s="15"/>
    </row>
    <row r="5156" spans="1:18" x14ac:dyDescent="0.25">
      <c r="A5156" s="15"/>
      <c r="R5156" s="15"/>
    </row>
    <row r="5157" spans="1:18" x14ac:dyDescent="0.25">
      <c r="A5157" s="15"/>
      <c r="R5157" s="15"/>
    </row>
    <row r="5158" spans="1:18" x14ac:dyDescent="0.25">
      <c r="A5158" s="15"/>
      <c r="R5158" s="15"/>
    </row>
    <row r="5159" spans="1:18" x14ac:dyDescent="0.25">
      <c r="A5159" s="15"/>
      <c r="R5159" s="15"/>
    </row>
    <row r="5160" spans="1:18" x14ac:dyDescent="0.25">
      <c r="A5160" s="15"/>
      <c r="R5160" s="15"/>
    </row>
    <row r="5161" spans="1:18" x14ac:dyDescent="0.25">
      <c r="A5161" s="15"/>
      <c r="R5161" s="15"/>
    </row>
    <row r="5162" spans="1:18" x14ac:dyDescent="0.25">
      <c r="A5162" s="15"/>
      <c r="R5162" s="15"/>
    </row>
    <row r="5163" spans="1:18" x14ac:dyDescent="0.25">
      <c r="A5163" s="15"/>
      <c r="R5163" s="15"/>
    </row>
    <row r="5164" spans="1:18" x14ac:dyDescent="0.25">
      <c r="A5164" s="15"/>
      <c r="R5164" s="15"/>
    </row>
    <row r="5165" spans="1:18" x14ac:dyDescent="0.25">
      <c r="A5165" s="15"/>
      <c r="R5165" s="15"/>
    </row>
    <row r="5166" spans="1:18" x14ac:dyDescent="0.25">
      <c r="A5166" s="15"/>
      <c r="R5166" s="15"/>
    </row>
    <row r="5167" spans="1:18" x14ac:dyDescent="0.25">
      <c r="A5167" s="15"/>
      <c r="R5167" s="15"/>
    </row>
    <row r="5168" spans="1:18" x14ac:dyDescent="0.25">
      <c r="A5168" s="15"/>
      <c r="R5168" s="15"/>
    </row>
    <row r="5169" spans="1:18" x14ac:dyDescent="0.25">
      <c r="A5169" s="15"/>
      <c r="R5169" s="15"/>
    </row>
    <row r="5170" spans="1:18" x14ac:dyDescent="0.25">
      <c r="A5170" s="15"/>
      <c r="R5170" s="15"/>
    </row>
    <row r="5171" spans="1:18" x14ac:dyDescent="0.25">
      <c r="A5171" s="15"/>
      <c r="R5171" s="15"/>
    </row>
    <row r="5172" spans="1:18" x14ac:dyDescent="0.25">
      <c r="A5172" s="15"/>
      <c r="R5172" s="15"/>
    </row>
    <row r="5173" spans="1:18" x14ac:dyDescent="0.25">
      <c r="A5173" s="15"/>
      <c r="R5173" s="15"/>
    </row>
    <row r="5174" spans="1:18" x14ac:dyDescent="0.25">
      <c r="A5174" s="15"/>
      <c r="R5174" s="15"/>
    </row>
    <row r="5175" spans="1:18" x14ac:dyDescent="0.25">
      <c r="A5175" s="15"/>
      <c r="R5175" s="15"/>
    </row>
    <row r="5176" spans="1:18" x14ac:dyDescent="0.25">
      <c r="A5176" s="15"/>
      <c r="R5176" s="15"/>
    </row>
    <row r="5177" spans="1:18" x14ac:dyDescent="0.25">
      <c r="A5177" s="15"/>
      <c r="R5177" s="15"/>
    </row>
    <row r="5178" spans="1:18" x14ac:dyDescent="0.25">
      <c r="A5178" s="15"/>
      <c r="R5178" s="15"/>
    </row>
    <row r="5179" spans="1:18" x14ac:dyDescent="0.25">
      <c r="A5179" s="15"/>
      <c r="R5179" s="15"/>
    </row>
    <row r="5180" spans="1:18" x14ac:dyDescent="0.25">
      <c r="A5180" s="15"/>
      <c r="R5180" s="15"/>
    </row>
    <row r="5181" spans="1:18" x14ac:dyDescent="0.25">
      <c r="A5181" s="15"/>
      <c r="R5181" s="15"/>
    </row>
    <row r="5182" spans="1:18" x14ac:dyDescent="0.25">
      <c r="A5182" s="15"/>
      <c r="R5182" s="15"/>
    </row>
    <row r="5183" spans="1:18" x14ac:dyDescent="0.25">
      <c r="A5183" s="15"/>
      <c r="R5183" s="15"/>
    </row>
    <row r="5184" spans="1:18" x14ac:dyDescent="0.25">
      <c r="A5184" s="15"/>
      <c r="R5184" s="15"/>
    </row>
    <row r="5185" spans="1:18" x14ac:dyDescent="0.25">
      <c r="A5185" s="15"/>
      <c r="R5185" s="15"/>
    </row>
    <row r="5186" spans="1:18" x14ac:dyDescent="0.25">
      <c r="A5186" s="15"/>
      <c r="R5186" s="15"/>
    </row>
    <row r="5187" spans="1:18" x14ac:dyDescent="0.25">
      <c r="A5187" s="15"/>
      <c r="R5187" s="15"/>
    </row>
    <row r="5188" spans="1:18" x14ac:dyDescent="0.25">
      <c r="A5188" s="15"/>
      <c r="R5188" s="15"/>
    </row>
    <row r="5189" spans="1:18" x14ac:dyDescent="0.25">
      <c r="A5189" s="15"/>
      <c r="R5189" s="15"/>
    </row>
    <row r="5190" spans="1:18" x14ac:dyDescent="0.25">
      <c r="A5190" s="15"/>
      <c r="R5190" s="15"/>
    </row>
    <row r="5191" spans="1:18" x14ac:dyDescent="0.25">
      <c r="A5191" s="15"/>
      <c r="R5191" s="15"/>
    </row>
    <row r="5192" spans="1:18" x14ac:dyDescent="0.25">
      <c r="A5192" s="15"/>
      <c r="R5192" s="15"/>
    </row>
    <row r="5193" spans="1:18" x14ac:dyDescent="0.25">
      <c r="A5193" s="15"/>
      <c r="R5193" s="15"/>
    </row>
    <row r="5194" spans="1:18" x14ac:dyDescent="0.25">
      <c r="A5194" s="15"/>
      <c r="R5194" s="15"/>
    </row>
    <row r="5195" spans="1:18" x14ac:dyDescent="0.25">
      <c r="A5195" s="15"/>
      <c r="R5195" s="15"/>
    </row>
    <row r="5196" spans="1:18" x14ac:dyDescent="0.25">
      <c r="A5196" s="15"/>
      <c r="R5196" s="15"/>
    </row>
    <row r="5197" spans="1:18" x14ac:dyDescent="0.25">
      <c r="A5197" s="15"/>
      <c r="R5197" s="15"/>
    </row>
    <row r="5198" spans="1:18" x14ac:dyDescent="0.25">
      <c r="A5198" s="15"/>
      <c r="R5198" s="15"/>
    </row>
    <row r="5199" spans="1:18" x14ac:dyDescent="0.25">
      <c r="A5199" s="15"/>
      <c r="R5199" s="15"/>
    </row>
    <row r="5200" spans="1:18" x14ac:dyDescent="0.25">
      <c r="A5200" s="15"/>
      <c r="R5200" s="15"/>
    </row>
    <row r="5201" spans="1:18" x14ac:dyDescent="0.25">
      <c r="A5201" s="15"/>
      <c r="R5201" s="15"/>
    </row>
    <row r="5202" spans="1:18" x14ac:dyDescent="0.25">
      <c r="A5202" s="15"/>
      <c r="R5202" s="15"/>
    </row>
    <row r="5203" spans="1:18" x14ac:dyDescent="0.25">
      <c r="A5203" s="15"/>
      <c r="R5203" s="15"/>
    </row>
    <row r="5204" spans="1:18" x14ac:dyDescent="0.25">
      <c r="A5204" s="15"/>
      <c r="R5204" s="15"/>
    </row>
    <row r="5205" spans="1:18" x14ac:dyDescent="0.25">
      <c r="A5205" s="15"/>
      <c r="R5205" s="15"/>
    </row>
    <row r="5206" spans="1:18" x14ac:dyDescent="0.25">
      <c r="A5206" s="15"/>
      <c r="R5206" s="15"/>
    </row>
    <row r="5207" spans="1:18" x14ac:dyDescent="0.25">
      <c r="A5207" s="15"/>
      <c r="R5207" s="15"/>
    </row>
    <row r="5208" spans="1:18" x14ac:dyDescent="0.25">
      <c r="A5208" s="15"/>
      <c r="R5208" s="15"/>
    </row>
    <row r="5209" spans="1:18" x14ac:dyDescent="0.25">
      <c r="A5209" s="15"/>
      <c r="R5209" s="15"/>
    </row>
    <row r="5210" spans="1:18" x14ac:dyDescent="0.25">
      <c r="A5210" s="15"/>
      <c r="R5210" s="15"/>
    </row>
    <row r="5211" spans="1:18" x14ac:dyDescent="0.25">
      <c r="A5211" s="15"/>
      <c r="R5211" s="15"/>
    </row>
    <row r="5212" spans="1:18" x14ac:dyDescent="0.25">
      <c r="A5212" s="15"/>
      <c r="R5212" s="15"/>
    </row>
    <row r="5213" spans="1:18" x14ac:dyDescent="0.25">
      <c r="A5213" s="15"/>
      <c r="R5213" s="15"/>
    </row>
    <row r="5214" spans="1:18" x14ac:dyDescent="0.25">
      <c r="A5214" s="15"/>
      <c r="R5214" s="15"/>
    </row>
    <row r="5215" spans="1:18" x14ac:dyDescent="0.25">
      <c r="A5215" s="15"/>
      <c r="R5215" s="15"/>
    </row>
    <row r="5216" spans="1:18" x14ac:dyDescent="0.25">
      <c r="A5216" s="15"/>
      <c r="R5216" s="15"/>
    </row>
    <row r="5217" spans="1:18" x14ac:dyDescent="0.25">
      <c r="A5217" s="15"/>
      <c r="R5217" s="15"/>
    </row>
    <row r="5218" spans="1:18" x14ac:dyDescent="0.25">
      <c r="A5218" s="15"/>
      <c r="R5218" s="15"/>
    </row>
    <row r="5219" spans="1:18" x14ac:dyDescent="0.25">
      <c r="A5219" s="15"/>
      <c r="R5219" s="15"/>
    </row>
    <row r="5220" spans="1:18" x14ac:dyDescent="0.25">
      <c r="A5220" s="15"/>
      <c r="R5220" s="15"/>
    </row>
    <row r="5221" spans="1:18" x14ac:dyDescent="0.25">
      <c r="A5221" s="15"/>
      <c r="R5221" s="15"/>
    </row>
    <row r="5222" spans="1:18" x14ac:dyDescent="0.25">
      <c r="A5222" s="15"/>
      <c r="R5222" s="15"/>
    </row>
    <row r="5223" spans="1:18" x14ac:dyDescent="0.25">
      <c r="A5223" s="15"/>
      <c r="R5223" s="15"/>
    </row>
    <row r="5224" spans="1:18" x14ac:dyDescent="0.25">
      <c r="A5224" s="15"/>
      <c r="R5224" s="15"/>
    </row>
    <row r="5225" spans="1:18" x14ac:dyDescent="0.25">
      <c r="A5225" s="15"/>
      <c r="R5225" s="15"/>
    </row>
    <row r="5226" spans="1:18" x14ac:dyDescent="0.25">
      <c r="A5226" s="15"/>
      <c r="R5226" s="15"/>
    </row>
    <row r="5227" spans="1:18" x14ac:dyDescent="0.25">
      <c r="A5227" s="15"/>
      <c r="R5227" s="15"/>
    </row>
    <row r="5228" spans="1:18" x14ac:dyDescent="0.25">
      <c r="A5228" s="15"/>
      <c r="R5228" s="15"/>
    </row>
    <row r="5229" spans="1:18" x14ac:dyDescent="0.25">
      <c r="A5229" s="15"/>
      <c r="R5229" s="15"/>
    </row>
    <row r="5230" spans="1:18" x14ac:dyDescent="0.25">
      <c r="A5230" s="15"/>
      <c r="R5230" s="15"/>
    </row>
    <row r="5231" spans="1:18" x14ac:dyDescent="0.25">
      <c r="A5231" s="15"/>
      <c r="R5231" s="15"/>
    </row>
    <row r="5232" spans="1:18" x14ac:dyDescent="0.25">
      <c r="A5232" s="15"/>
      <c r="R5232" s="15"/>
    </row>
    <row r="5233" spans="1:18" x14ac:dyDescent="0.25">
      <c r="A5233" s="15"/>
      <c r="R5233" s="15"/>
    </row>
    <row r="5234" spans="1:18" x14ac:dyDescent="0.25">
      <c r="A5234" s="15"/>
      <c r="R5234" s="15"/>
    </row>
    <row r="5235" spans="1:18" x14ac:dyDescent="0.25">
      <c r="A5235" s="15"/>
      <c r="R5235" s="15"/>
    </row>
    <row r="5236" spans="1:18" x14ac:dyDescent="0.25">
      <c r="A5236" s="15"/>
      <c r="R5236" s="15"/>
    </row>
    <row r="5237" spans="1:18" x14ac:dyDescent="0.25">
      <c r="A5237" s="15"/>
      <c r="R5237" s="15"/>
    </row>
    <row r="5238" spans="1:18" x14ac:dyDescent="0.25">
      <c r="A5238" s="15"/>
      <c r="R5238" s="15"/>
    </row>
    <row r="5239" spans="1:18" x14ac:dyDescent="0.25">
      <c r="A5239" s="15"/>
      <c r="R5239" s="15"/>
    </row>
    <row r="5240" spans="1:18" x14ac:dyDescent="0.25">
      <c r="A5240" s="15"/>
      <c r="R5240" s="15"/>
    </row>
    <row r="5241" spans="1:18" x14ac:dyDescent="0.25">
      <c r="A5241" s="15"/>
      <c r="R5241" s="15"/>
    </row>
    <row r="5242" spans="1:18" x14ac:dyDescent="0.25">
      <c r="A5242" s="15"/>
      <c r="R5242" s="15"/>
    </row>
    <row r="5243" spans="1:18" x14ac:dyDescent="0.25">
      <c r="A5243" s="15"/>
      <c r="R5243" s="15"/>
    </row>
    <row r="5244" spans="1:18" x14ac:dyDescent="0.25">
      <c r="A5244" s="15"/>
      <c r="R5244" s="15"/>
    </row>
    <row r="5245" spans="1:18" x14ac:dyDescent="0.25">
      <c r="A5245" s="15"/>
      <c r="R5245" s="15"/>
    </row>
    <row r="5246" spans="1:18" x14ac:dyDescent="0.25">
      <c r="A5246" s="15"/>
      <c r="R5246" s="15"/>
    </row>
    <row r="5247" spans="1:18" x14ac:dyDescent="0.25">
      <c r="A5247" s="15"/>
      <c r="R5247" s="15"/>
    </row>
    <row r="5248" spans="1:18" x14ac:dyDescent="0.25">
      <c r="A5248" s="15"/>
      <c r="R5248" s="15"/>
    </row>
    <row r="5249" spans="1:18" x14ac:dyDescent="0.25">
      <c r="A5249" s="15"/>
      <c r="R5249" s="15"/>
    </row>
    <row r="5250" spans="1:18" x14ac:dyDescent="0.25">
      <c r="A5250" s="15"/>
      <c r="R5250" s="15"/>
    </row>
    <row r="5251" spans="1:18" x14ac:dyDescent="0.25">
      <c r="A5251" s="15"/>
      <c r="R5251" s="15"/>
    </row>
    <row r="5252" spans="1:18" x14ac:dyDescent="0.25">
      <c r="A5252" s="15"/>
      <c r="R5252" s="15"/>
    </row>
    <row r="5253" spans="1:18" x14ac:dyDescent="0.25">
      <c r="A5253" s="15"/>
      <c r="R5253" s="15"/>
    </row>
    <row r="5254" spans="1:18" x14ac:dyDescent="0.25">
      <c r="A5254" s="15"/>
      <c r="R5254" s="15"/>
    </row>
    <row r="5255" spans="1:18" x14ac:dyDescent="0.25">
      <c r="A5255" s="15"/>
      <c r="R5255" s="15"/>
    </row>
    <row r="5256" spans="1:18" x14ac:dyDescent="0.25">
      <c r="A5256" s="15"/>
      <c r="R5256" s="15"/>
    </row>
    <row r="5257" spans="1:18" x14ac:dyDescent="0.25">
      <c r="A5257" s="15"/>
      <c r="R5257" s="15"/>
    </row>
    <row r="5258" spans="1:18" x14ac:dyDescent="0.25">
      <c r="A5258" s="15"/>
      <c r="R5258" s="15"/>
    </row>
    <row r="5259" spans="1:18" x14ac:dyDescent="0.25">
      <c r="A5259" s="15"/>
      <c r="R5259" s="15"/>
    </row>
    <row r="5260" spans="1:18" x14ac:dyDescent="0.25">
      <c r="A5260" s="15"/>
      <c r="R5260" s="15"/>
    </row>
    <row r="5261" spans="1:18" x14ac:dyDescent="0.25">
      <c r="A5261" s="15"/>
      <c r="R5261" s="15"/>
    </row>
    <row r="5262" spans="1:18" x14ac:dyDescent="0.25">
      <c r="A5262" s="15"/>
      <c r="R5262" s="15"/>
    </row>
    <row r="5263" spans="1:18" x14ac:dyDescent="0.25">
      <c r="A5263" s="15"/>
      <c r="R5263" s="15"/>
    </row>
    <row r="5264" spans="1:18" x14ac:dyDescent="0.25">
      <c r="A5264" s="15"/>
      <c r="R5264" s="15"/>
    </row>
    <row r="5265" spans="1:18" x14ac:dyDescent="0.25">
      <c r="A5265" s="15"/>
      <c r="R5265" s="15"/>
    </row>
    <row r="5266" spans="1:18" x14ac:dyDescent="0.25">
      <c r="A5266" s="15"/>
      <c r="R5266" s="15"/>
    </row>
    <row r="5267" spans="1:18" x14ac:dyDescent="0.25">
      <c r="A5267" s="15"/>
      <c r="R5267" s="15"/>
    </row>
    <row r="5268" spans="1:18" x14ac:dyDescent="0.25">
      <c r="A5268" s="15"/>
      <c r="R5268" s="15"/>
    </row>
    <row r="5269" spans="1:18" x14ac:dyDescent="0.25">
      <c r="A5269" s="15"/>
      <c r="R5269" s="15"/>
    </row>
    <row r="5270" spans="1:18" x14ac:dyDescent="0.25">
      <c r="A5270" s="15"/>
      <c r="R5270" s="15"/>
    </row>
    <row r="5271" spans="1:18" x14ac:dyDescent="0.25">
      <c r="A5271" s="15"/>
      <c r="R5271" s="15"/>
    </row>
    <row r="5272" spans="1:18" x14ac:dyDescent="0.25">
      <c r="A5272" s="15"/>
      <c r="R5272" s="15"/>
    </row>
    <row r="5273" spans="1:18" x14ac:dyDescent="0.25">
      <c r="A5273" s="15"/>
      <c r="R5273" s="15"/>
    </row>
    <row r="5274" spans="1:18" x14ac:dyDescent="0.25">
      <c r="A5274" s="15"/>
      <c r="R5274" s="15"/>
    </row>
    <row r="5275" spans="1:18" x14ac:dyDescent="0.25">
      <c r="A5275" s="15"/>
      <c r="R5275" s="15"/>
    </row>
    <row r="5276" spans="1:18" x14ac:dyDescent="0.25">
      <c r="A5276" s="15"/>
      <c r="R5276" s="15"/>
    </row>
    <row r="5277" spans="1:18" x14ac:dyDescent="0.25">
      <c r="A5277" s="15"/>
      <c r="R5277" s="15"/>
    </row>
    <row r="5278" spans="1:18" x14ac:dyDescent="0.25">
      <c r="A5278" s="15"/>
      <c r="R5278" s="15"/>
    </row>
    <row r="5279" spans="1:18" x14ac:dyDescent="0.25">
      <c r="A5279" s="15"/>
      <c r="R5279" s="15"/>
    </row>
    <row r="5280" spans="1:18" x14ac:dyDescent="0.25">
      <c r="A5280" s="15"/>
      <c r="R5280" s="15"/>
    </row>
    <row r="5281" spans="1:18" x14ac:dyDescent="0.25">
      <c r="A5281" s="15"/>
      <c r="R5281" s="15"/>
    </row>
    <row r="5282" spans="1:18" x14ac:dyDescent="0.25">
      <c r="A5282" s="15"/>
      <c r="R5282" s="15"/>
    </row>
    <row r="5283" spans="1:18" x14ac:dyDescent="0.25">
      <c r="A5283" s="15"/>
      <c r="R5283" s="15"/>
    </row>
    <row r="5284" spans="1:18" x14ac:dyDescent="0.25">
      <c r="A5284" s="15"/>
      <c r="R5284" s="15"/>
    </row>
    <row r="5285" spans="1:18" x14ac:dyDescent="0.25">
      <c r="A5285" s="15"/>
      <c r="R5285" s="15"/>
    </row>
    <row r="5286" spans="1:18" x14ac:dyDescent="0.25">
      <c r="A5286" s="15"/>
      <c r="R5286" s="15"/>
    </row>
    <row r="5287" spans="1:18" x14ac:dyDescent="0.25">
      <c r="A5287" s="15"/>
      <c r="R5287" s="15"/>
    </row>
    <row r="5288" spans="1:18" x14ac:dyDescent="0.25">
      <c r="A5288" s="15"/>
      <c r="R5288" s="15"/>
    </row>
    <row r="5289" spans="1:18" x14ac:dyDescent="0.25">
      <c r="A5289" s="15"/>
      <c r="R5289" s="15"/>
    </row>
    <row r="5290" spans="1:18" x14ac:dyDescent="0.25">
      <c r="A5290" s="15"/>
      <c r="R5290" s="15"/>
    </row>
    <row r="5291" spans="1:18" x14ac:dyDescent="0.25">
      <c r="A5291" s="15"/>
      <c r="R5291" s="15"/>
    </row>
    <row r="5292" spans="1:18" x14ac:dyDescent="0.25">
      <c r="A5292" s="15"/>
      <c r="R5292" s="15"/>
    </row>
    <row r="5293" spans="1:18" x14ac:dyDescent="0.25">
      <c r="A5293" s="15"/>
      <c r="R5293" s="15"/>
    </row>
    <row r="5294" spans="1:18" x14ac:dyDescent="0.25">
      <c r="A5294" s="15"/>
      <c r="R5294" s="15"/>
    </row>
    <row r="5295" spans="1:18" x14ac:dyDescent="0.25">
      <c r="A5295" s="15"/>
      <c r="R5295" s="15"/>
    </row>
    <row r="5296" spans="1:18" x14ac:dyDescent="0.25">
      <c r="A5296" s="15"/>
      <c r="R5296" s="15"/>
    </row>
    <row r="5297" spans="1:18" x14ac:dyDescent="0.25">
      <c r="A5297" s="15"/>
      <c r="R5297" s="15"/>
    </row>
    <row r="5298" spans="1:18" x14ac:dyDescent="0.25">
      <c r="A5298" s="15"/>
      <c r="R5298" s="15"/>
    </row>
    <row r="5299" spans="1:18" x14ac:dyDescent="0.25">
      <c r="A5299" s="15"/>
      <c r="R5299" s="15"/>
    </row>
    <row r="5300" spans="1:18" x14ac:dyDescent="0.25">
      <c r="A5300" s="15"/>
      <c r="R5300" s="15"/>
    </row>
    <row r="5301" spans="1:18" x14ac:dyDescent="0.25">
      <c r="A5301" s="15"/>
      <c r="R5301" s="15"/>
    </row>
    <row r="5302" spans="1:18" x14ac:dyDescent="0.25">
      <c r="A5302" s="15"/>
      <c r="R5302" s="15"/>
    </row>
    <row r="5303" spans="1:18" x14ac:dyDescent="0.25">
      <c r="A5303" s="15"/>
      <c r="R5303" s="15"/>
    </row>
    <row r="5304" spans="1:18" x14ac:dyDescent="0.25">
      <c r="A5304" s="15"/>
      <c r="R5304" s="15"/>
    </row>
    <row r="5305" spans="1:18" x14ac:dyDescent="0.25">
      <c r="A5305" s="15"/>
      <c r="R5305" s="15"/>
    </row>
    <row r="5306" spans="1:18" x14ac:dyDescent="0.25">
      <c r="A5306" s="15"/>
      <c r="R5306" s="15"/>
    </row>
    <row r="5307" spans="1:18" x14ac:dyDescent="0.25">
      <c r="A5307" s="15"/>
      <c r="R5307" s="15"/>
    </row>
    <row r="5308" spans="1:18" x14ac:dyDescent="0.25">
      <c r="A5308" s="15"/>
      <c r="R5308" s="15"/>
    </row>
    <row r="5309" spans="1:18" x14ac:dyDescent="0.25">
      <c r="A5309" s="15"/>
      <c r="R5309" s="15"/>
    </row>
    <row r="5310" spans="1:18" x14ac:dyDescent="0.25">
      <c r="A5310" s="15"/>
      <c r="R5310" s="15"/>
    </row>
    <row r="5311" spans="1:18" x14ac:dyDescent="0.25">
      <c r="A5311" s="15"/>
      <c r="R5311" s="15"/>
    </row>
    <row r="5312" spans="1:18" x14ac:dyDescent="0.25">
      <c r="A5312" s="15"/>
      <c r="R5312" s="15"/>
    </row>
    <row r="5313" spans="1:18" x14ac:dyDescent="0.25">
      <c r="A5313" s="15"/>
      <c r="R5313" s="15"/>
    </row>
    <row r="5314" spans="1:18" x14ac:dyDescent="0.25">
      <c r="A5314" s="15"/>
      <c r="R5314" s="15"/>
    </row>
    <row r="5315" spans="1:18" x14ac:dyDescent="0.25">
      <c r="A5315" s="15"/>
      <c r="R5315" s="15"/>
    </row>
    <row r="5316" spans="1:18" x14ac:dyDescent="0.25">
      <c r="A5316" s="15"/>
      <c r="R5316" s="15"/>
    </row>
    <row r="5317" spans="1:18" x14ac:dyDescent="0.25">
      <c r="A5317" s="15"/>
      <c r="R5317" s="15"/>
    </row>
    <row r="5318" spans="1:18" x14ac:dyDescent="0.25">
      <c r="A5318" s="15"/>
      <c r="R5318" s="15"/>
    </row>
    <row r="5319" spans="1:18" x14ac:dyDescent="0.25">
      <c r="A5319" s="15"/>
      <c r="R5319" s="15"/>
    </row>
    <row r="5320" spans="1:18" x14ac:dyDescent="0.25">
      <c r="A5320" s="15"/>
      <c r="R5320" s="15"/>
    </row>
    <row r="5321" spans="1:18" x14ac:dyDescent="0.25">
      <c r="A5321" s="15"/>
      <c r="R5321" s="15"/>
    </row>
    <row r="5322" spans="1:18" x14ac:dyDescent="0.25">
      <c r="A5322" s="15"/>
      <c r="R5322" s="15"/>
    </row>
    <row r="5323" spans="1:18" x14ac:dyDescent="0.25">
      <c r="A5323" s="15"/>
      <c r="R5323" s="15"/>
    </row>
    <row r="5324" spans="1:18" x14ac:dyDescent="0.25">
      <c r="A5324" s="15"/>
      <c r="R5324" s="15"/>
    </row>
    <row r="5325" spans="1:18" x14ac:dyDescent="0.25">
      <c r="A5325" s="15"/>
      <c r="R5325" s="15"/>
    </row>
    <row r="5326" spans="1:18" x14ac:dyDescent="0.25">
      <c r="A5326" s="15"/>
      <c r="R5326" s="15"/>
    </row>
    <row r="5327" spans="1:18" x14ac:dyDescent="0.25">
      <c r="A5327" s="15"/>
      <c r="R5327" s="15"/>
    </row>
    <row r="5328" spans="1:18" x14ac:dyDescent="0.25">
      <c r="A5328" s="15"/>
      <c r="R5328" s="15"/>
    </row>
    <row r="5329" spans="1:18" x14ac:dyDescent="0.25">
      <c r="A5329" s="15"/>
      <c r="R5329" s="15"/>
    </row>
    <row r="5330" spans="1:18" x14ac:dyDescent="0.25">
      <c r="A5330" s="15"/>
      <c r="R5330" s="15"/>
    </row>
    <row r="5331" spans="1:18" x14ac:dyDescent="0.25">
      <c r="A5331" s="15"/>
      <c r="R5331" s="15"/>
    </row>
    <row r="5332" spans="1:18" x14ac:dyDescent="0.25">
      <c r="A5332" s="15"/>
      <c r="R5332" s="15"/>
    </row>
    <row r="5333" spans="1:18" x14ac:dyDescent="0.25">
      <c r="A5333" s="15"/>
      <c r="R5333" s="15"/>
    </row>
    <row r="5334" spans="1:18" x14ac:dyDescent="0.25">
      <c r="A5334" s="15"/>
      <c r="R5334" s="15"/>
    </row>
    <row r="5335" spans="1:18" x14ac:dyDescent="0.25">
      <c r="A5335" s="15"/>
      <c r="R5335" s="15"/>
    </row>
    <row r="5336" spans="1:18" x14ac:dyDescent="0.25">
      <c r="A5336" s="15"/>
      <c r="R5336" s="15"/>
    </row>
    <row r="5337" spans="1:18" x14ac:dyDescent="0.25">
      <c r="A5337" s="15"/>
      <c r="R5337" s="15"/>
    </row>
    <row r="5338" spans="1:18" x14ac:dyDescent="0.25">
      <c r="A5338" s="15"/>
      <c r="R5338" s="15"/>
    </row>
    <row r="5339" spans="1:18" x14ac:dyDescent="0.25">
      <c r="A5339" s="15"/>
      <c r="R5339" s="15"/>
    </row>
    <row r="5340" spans="1:18" x14ac:dyDescent="0.25">
      <c r="A5340" s="15"/>
      <c r="R5340" s="15"/>
    </row>
    <row r="5341" spans="1:18" x14ac:dyDescent="0.25">
      <c r="A5341" s="15"/>
      <c r="R5341" s="15"/>
    </row>
    <row r="5342" spans="1:18" x14ac:dyDescent="0.25">
      <c r="A5342" s="15"/>
      <c r="R5342" s="15"/>
    </row>
    <row r="5343" spans="1:18" x14ac:dyDescent="0.25">
      <c r="A5343" s="15"/>
      <c r="R5343" s="15"/>
    </row>
    <row r="5344" spans="1:18" x14ac:dyDescent="0.25">
      <c r="A5344" s="15"/>
      <c r="R5344" s="15"/>
    </row>
    <row r="5345" spans="1:18" x14ac:dyDescent="0.25">
      <c r="A5345" s="15"/>
      <c r="R5345" s="15"/>
    </row>
    <row r="5346" spans="1:18" x14ac:dyDescent="0.25">
      <c r="A5346" s="15"/>
      <c r="R5346" s="15"/>
    </row>
    <row r="5347" spans="1:18" x14ac:dyDescent="0.25">
      <c r="A5347" s="15"/>
      <c r="R5347" s="15"/>
    </row>
    <row r="5348" spans="1:18" x14ac:dyDescent="0.25">
      <c r="A5348" s="15"/>
      <c r="R5348" s="15"/>
    </row>
    <row r="5349" spans="1:18" x14ac:dyDescent="0.25">
      <c r="A5349" s="15"/>
      <c r="R5349" s="15"/>
    </row>
    <row r="5350" spans="1:18" x14ac:dyDescent="0.25">
      <c r="A5350" s="15"/>
      <c r="R5350" s="15"/>
    </row>
    <row r="5351" spans="1:18" x14ac:dyDescent="0.25">
      <c r="A5351" s="15"/>
      <c r="R5351" s="15"/>
    </row>
    <row r="5352" spans="1:18" x14ac:dyDescent="0.25">
      <c r="A5352" s="15"/>
      <c r="R5352" s="15"/>
    </row>
    <row r="5353" spans="1:18" x14ac:dyDescent="0.25">
      <c r="A5353" s="15"/>
      <c r="R5353" s="15"/>
    </row>
    <row r="5354" spans="1:18" x14ac:dyDescent="0.25">
      <c r="A5354" s="15"/>
      <c r="R5354" s="15"/>
    </row>
    <row r="5355" spans="1:18" x14ac:dyDescent="0.25">
      <c r="A5355" s="15"/>
      <c r="R5355" s="15"/>
    </row>
    <row r="5356" spans="1:18" x14ac:dyDescent="0.25">
      <c r="A5356" s="15"/>
      <c r="R5356" s="15"/>
    </row>
    <row r="5357" spans="1:18" x14ac:dyDescent="0.25">
      <c r="A5357" s="15"/>
      <c r="R5357" s="15"/>
    </row>
    <row r="5358" spans="1:18" x14ac:dyDescent="0.25">
      <c r="A5358" s="15"/>
      <c r="R5358" s="15"/>
    </row>
    <row r="5359" spans="1:18" x14ac:dyDescent="0.25">
      <c r="A5359" s="15"/>
      <c r="R5359" s="15"/>
    </row>
    <row r="5360" spans="1:18" x14ac:dyDescent="0.25">
      <c r="A5360" s="15"/>
      <c r="R5360" s="15"/>
    </row>
    <row r="5361" spans="1:18" x14ac:dyDescent="0.25">
      <c r="A5361" s="15"/>
      <c r="R5361" s="15"/>
    </row>
    <row r="5362" spans="1:18" x14ac:dyDescent="0.25">
      <c r="A5362" s="15"/>
      <c r="R5362" s="15"/>
    </row>
    <row r="5363" spans="1:18" x14ac:dyDescent="0.25">
      <c r="A5363" s="15"/>
      <c r="R5363" s="15"/>
    </row>
    <row r="5364" spans="1:18" x14ac:dyDescent="0.25">
      <c r="A5364" s="15"/>
      <c r="R5364" s="15"/>
    </row>
    <row r="5365" spans="1:18" x14ac:dyDescent="0.25">
      <c r="A5365" s="15"/>
      <c r="R5365" s="15"/>
    </row>
    <row r="5366" spans="1:18" x14ac:dyDescent="0.25">
      <c r="A5366" s="15"/>
      <c r="R5366" s="15"/>
    </row>
    <row r="5367" spans="1:18" x14ac:dyDescent="0.25">
      <c r="A5367" s="15"/>
      <c r="R5367" s="15"/>
    </row>
    <row r="5368" spans="1:18" x14ac:dyDescent="0.25">
      <c r="A5368" s="15"/>
      <c r="R5368" s="15"/>
    </row>
    <row r="5369" spans="1:18" x14ac:dyDescent="0.25">
      <c r="A5369" s="15"/>
      <c r="R5369" s="15"/>
    </row>
    <row r="5370" spans="1:18" x14ac:dyDescent="0.25">
      <c r="A5370" s="15"/>
      <c r="R5370" s="15"/>
    </row>
    <row r="5371" spans="1:18" x14ac:dyDescent="0.25">
      <c r="A5371" s="15"/>
      <c r="R5371" s="15"/>
    </row>
    <row r="5372" spans="1:18" x14ac:dyDescent="0.25">
      <c r="A5372" s="15"/>
      <c r="R5372" s="15"/>
    </row>
    <row r="5373" spans="1:18" x14ac:dyDescent="0.25">
      <c r="A5373" s="15"/>
      <c r="R5373" s="15"/>
    </row>
    <row r="5374" spans="1:18" x14ac:dyDescent="0.25">
      <c r="A5374" s="15"/>
      <c r="R5374" s="15"/>
    </row>
    <row r="5375" spans="1:18" x14ac:dyDescent="0.25">
      <c r="A5375" s="15"/>
      <c r="R5375" s="15"/>
    </row>
    <row r="5376" spans="1:18" x14ac:dyDescent="0.25">
      <c r="A5376" s="15"/>
      <c r="R5376" s="15"/>
    </row>
    <row r="5377" spans="1:18" x14ac:dyDescent="0.25">
      <c r="A5377" s="15"/>
      <c r="R5377" s="15"/>
    </row>
    <row r="5378" spans="1:18" x14ac:dyDescent="0.25">
      <c r="A5378" s="15"/>
      <c r="R5378" s="15"/>
    </row>
    <row r="5379" spans="1:18" x14ac:dyDescent="0.25">
      <c r="A5379" s="15"/>
      <c r="R5379" s="15"/>
    </row>
    <row r="5380" spans="1:18" x14ac:dyDescent="0.25">
      <c r="A5380" s="15"/>
      <c r="R5380" s="15"/>
    </row>
    <row r="5381" spans="1:18" x14ac:dyDescent="0.25">
      <c r="A5381" s="15"/>
      <c r="R5381" s="15"/>
    </row>
    <row r="5382" spans="1:18" x14ac:dyDescent="0.25">
      <c r="A5382" s="15"/>
      <c r="R5382" s="15"/>
    </row>
    <row r="5383" spans="1:18" x14ac:dyDescent="0.25">
      <c r="A5383" s="15"/>
      <c r="R5383" s="15"/>
    </row>
    <row r="5384" spans="1:18" x14ac:dyDescent="0.25">
      <c r="A5384" s="15"/>
      <c r="R5384" s="15"/>
    </row>
    <row r="5385" spans="1:18" x14ac:dyDescent="0.25">
      <c r="A5385" s="15"/>
      <c r="R5385" s="15"/>
    </row>
    <row r="5386" spans="1:18" x14ac:dyDescent="0.25">
      <c r="A5386" s="15"/>
      <c r="R5386" s="15"/>
    </row>
    <row r="5387" spans="1:18" x14ac:dyDescent="0.25">
      <c r="A5387" s="15"/>
      <c r="R5387" s="15"/>
    </row>
    <row r="5388" spans="1:18" x14ac:dyDescent="0.25">
      <c r="A5388" s="15"/>
      <c r="R5388" s="15"/>
    </row>
    <row r="5389" spans="1:18" x14ac:dyDescent="0.25">
      <c r="A5389" s="15"/>
      <c r="R5389" s="15"/>
    </row>
    <row r="5390" spans="1:18" x14ac:dyDescent="0.25">
      <c r="A5390" s="15"/>
      <c r="R5390" s="15"/>
    </row>
    <row r="5391" spans="1:18" x14ac:dyDescent="0.25">
      <c r="A5391" s="15"/>
      <c r="R5391" s="15"/>
    </row>
    <row r="5392" spans="1:18" x14ac:dyDescent="0.25">
      <c r="A5392" s="15"/>
      <c r="R5392" s="15"/>
    </row>
    <row r="5393" spans="1:18" x14ac:dyDescent="0.25">
      <c r="A5393" s="15"/>
      <c r="R5393" s="15"/>
    </row>
    <row r="5394" spans="1:18" x14ac:dyDescent="0.25">
      <c r="A5394" s="15"/>
      <c r="R5394" s="15"/>
    </row>
    <row r="5395" spans="1:18" x14ac:dyDescent="0.25">
      <c r="A5395" s="15"/>
      <c r="R5395" s="15"/>
    </row>
    <row r="5396" spans="1:18" x14ac:dyDescent="0.25">
      <c r="A5396" s="15"/>
      <c r="R5396" s="15"/>
    </row>
    <row r="5397" spans="1:18" x14ac:dyDescent="0.25">
      <c r="A5397" s="15"/>
      <c r="R5397" s="15"/>
    </row>
    <row r="5398" spans="1:18" x14ac:dyDescent="0.25">
      <c r="A5398" s="15"/>
      <c r="R5398" s="15"/>
    </row>
    <row r="5399" spans="1:18" x14ac:dyDescent="0.25">
      <c r="A5399" s="15"/>
      <c r="R5399" s="15"/>
    </row>
    <row r="5400" spans="1:18" x14ac:dyDescent="0.25">
      <c r="A5400" s="15"/>
      <c r="R5400" s="15"/>
    </row>
    <row r="5401" spans="1:18" x14ac:dyDescent="0.25">
      <c r="A5401" s="15"/>
      <c r="R5401" s="15"/>
    </row>
    <row r="5402" spans="1:18" x14ac:dyDescent="0.25">
      <c r="A5402" s="15"/>
      <c r="R5402" s="15"/>
    </row>
    <row r="5403" spans="1:18" x14ac:dyDescent="0.25">
      <c r="A5403" s="15"/>
      <c r="R5403" s="15"/>
    </row>
    <row r="5404" spans="1:18" x14ac:dyDescent="0.25">
      <c r="A5404" s="15"/>
      <c r="R5404" s="15"/>
    </row>
    <row r="5405" spans="1:18" x14ac:dyDescent="0.25">
      <c r="A5405" s="15"/>
      <c r="R5405" s="15"/>
    </row>
    <row r="5406" spans="1:18" x14ac:dyDescent="0.25">
      <c r="A5406" s="15"/>
      <c r="R5406" s="15"/>
    </row>
    <row r="5407" spans="1:18" x14ac:dyDescent="0.25">
      <c r="A5407" s="15"/>
      <c r="R5407" s="15"/>
    </row>
    <row r="5408" spans="1:18" x14ac:dyDescent="0.25">
      <c r="A5408" s="15"/>
      <c r="R5408" s="15"/>
    </row>
    <row r="5409" spans="1:18" x14ac:dyDescent="0.25">
      <c r="A5409" s="15"/>
      <c r="R5409" s="15"/>
    </row>
    <row r="5410" spans="1:18" x14ac:dyDescent="0.25">
      <c r="A5410" s="15"/>
      <c r="R5410" s="15"/>
    </row>
    <row r="5411" spans="1:18" x14ac:dyDescent="0.25">
      <c r="A5411" s="15"/>
      <c r="R5411" s="15"/>
    </row>
    <row r="5412" spans="1:18" x14ac:dyDescent="0.25">
      <c r="A5412" s="15"/>
      <c r="R5412" s="15"/>
    </row>
    <row r="5413" spans="1:18" x14ac:dyDescent="0.25">
      <c r="A5413" s="15"/>
      <c r="R5413" s="15"/>
    </row>
    <row r="5414" spans="1:18" x14ac:dyDescent="0.25">
      <c r="A5414" s="15"/>
      <c r="R5414" s="15"/>
    </row>
    <row r="5415" spans="1:18" x14ac:dyDescent="0.25">
      <c r="A5415" s="15"/>
      <c r="R5415" s="15"/>
    </row>
    <row r="5416" spans="1:18" x14ac:dyDescent="0.25">
      <c r="A5416" s="15"/>
      <c r="R5416" s="15"/>
    </row>
    <row r="5417" spans="1:18" x14ac:dyDescent="0.25">
      <c r="A5417" s="15"/>
      <c r="R5417" s="15"/>
    </row>
    <row r="5418" spans="1:18" x14ac:dyDescent="0.25">
      <c r="A5418" s="15"/>
      <c r="R5418" s="15"/>
    </row>
    <row r="5419" spans="1:18" x14ac:dyDescent="0.25">
      <c r="A5419" s="15"/>
      <c r="R5419" s="15"/>
    </row>
    <row r="5420" spans="1:18" x14ac:dyDescent="0.25">
      <c r="A5420" s="15"/>
      <c r="R5420" s="15"/>
    </row>
    <row r="5421" spans="1:18" x14ac:dyDescent="0.25">
      <c r="A5421" s="15"/>
      <c r="R5421" s="15"/>
    </row>
    <row r="5422" spans="1:18" x14ac:dyDescent="0.25">
      <c r="A5422" s="15"/>
      <c r="R5422" s="15"/>
    </row>
    <row r="5423" spans="1:18" x14ac:dyDescent="0.25">
      <c r="A5423" s="15"/>
      <c r="R5423" s="15"/>
    </row>
    <row r="5424" spans="1:18" x14ac:dyDescent="0.25">
      <c r="A5424" s="15"/>
      <c r="R5424" s="15"/>
    </row>
    <row r="5425" spans="1:18" x14ac:dyDescent="0.25">
      <c r="A5425" s="15"/>
      <c r="R5425" s="15"/>
    </row>
    <row r="5426" spans="1:18" x14ac:dyDescent="0.25">
      <c r="A5426" s="15"/>
      <c r="R5426" s="15"/>
    </row>
    <row r="5427" spans="1:18" x14ac:dyDescent="0.25">
      <c r="A5427" s="15"/>
      <c r="R5427" s="15"/>
    </row>
    <row r="5428" spans="1:18" x14ac:dyDescent="0.25">
      <c r="A5428" s="15"/>
      <c r="R5428" s="15"/>
    </row>
    <row r="5429" spans="1:18" x14ac:dyDescent="0.25">
      <c r="A5429" s="15"/>
      <c r="R5429" s="15"/>
    </row>
    <row r="5430" spans="1:18" x14ac:dyDescent="0.25">
      <c r="A5430" s="15"/>
      <c r="R5430" s="15"/>
    </row>
    <row r="5431" spans="1:18" x14ac:dyDescent="0.25">
      <c r="A5431" s="15"/>
      <c r="R5431" s="15"/>
    </row>
    <row r="5432" spans="1:18" x14ac:dyDescent="0.25">
      <c r="A5432" s="15"/>
      <c r="R5432" s="15"/>
    </row>
    <row r="5433" spans="1:18" x14ac:dyDescent="0.25">
      <c r="A5433" s="15"/>
      <c r="R5433" s="15"/>
    </row>
    <row r="5434" spans="1:18" x14ac:dyDescent="0.25">
      <c r="A5434" s="15"/>
      <c r="R5434" s="15"/>
    </row>
    <row r="5435" spans="1:18" x14ac:dyDescent="0.25">
      <c r="A5435" s="15"/>
      <c r="R5435" s="15"/>
    </row>
    <row r="5436" spans="1:18" x14ac:dyDescent="0.25">
      <c r="A5436" s="15"/>
      <c r="R5436" s="15"/>
    </row>
    <row r="5437" spans="1:18" x14ac:dyDescent="0.25">
      <c r="A5437" s="15"/>
      <c r="R5437" s="15"/>
    </row>
    <row r="5438" spans="1:18" x14ac:dyDescent="0.25">
      <c r="A5438" s="15"/>
      <c r="R5438" s="15"/>
    </row>
    <row r="5439" spans="1:18" x14ac:dyDescent="0.25">
      <c r="A5439" s="15"/>
      <c r="R5439" s="15"/>
    </row>
    <row r="5440" spans="1:18" x14ac:dyDescent="0.25">
      <c r="A5440" s="15"/>
      <c r="R5440" s="15"/>
    </row>
    <row r="5441" spans="1:18" x14ac:dyDescent="0.25">
      <c r="A5441" s="15"/>
      <c r="R5441" s="15"/>
    </row>
    <row r="5442" spans="1:18" x14ac:dyDescent="0.25">
      <c r="A5442" s="15"/>
      <c r="R5442" s="15"/>
    </row>
    <row r="5443" spans="1:18" x14ac:dyDescent="0.25">
      <c r="A5443" s="15"/>
      <c r="R5443" s="15"/>
    </row>
    <row r="5444" spans="1:18" x14ac:dyDescent="0.25">
      <c r="A5444" s="15"/>
      <c r="R5444" s="15"/>
    </row>
    <row r="5445" spans="1:18" x14ac:dyDescent="0.25">
      <c r="A5445" s="15"/>
      <c r="R5445" s="15"/>
    </row>
    <row r="5446" spans="1:18" x14ac:dyDescent="0.25">
      <c r="A5446" s="15"/>
      <c r="R5446" s="15"/>
    </row>
    <row r="5447" spans="1:18" x14ac:dyDescent="0.25">
      <c r="A5447" s="15"/>
      <c r="R5447" s="15"/>
    </row>
    <row r="5448" spans="1:18" x14ac:dyDescent="0.25">
      <c r="A5448" s="15"/>
      <c r="R5448" s="15"/>
    </row>
    <row r="5449" spans="1:18" x14ac:dyDescent="0.25">
      <c r="A5449" s="15"/>
      <c r="R5449" s="15"/>
    </row>
    <row r="5450" spans="1:18" x14ac:dyDescent="0.25">
      <c r="A5450" s="15"/>
      <c r="R5450" s="15"/>
    </row>
    <row r="5451" spans="1:18" x14ac:dyDescent="0.25">
      <c r="A5451" s="15"/>
      <c r="R5451" s="15"/>
    </row>
    <row r="5452" spans="1:18" x14ac:dyDescent="0.25">
      <c r="A5452" s="15"/>
      <c r="R5452" s="15"/>
    </row>
    <row r="5453" spans="1:18" x14ac:dyDescent="0.25">
      <c r="A5453" s="15"/>
      <c r="R5453" s="15"/>
    </row>
    <row r="5454" spans="1:18" x14ac:dyDescent="0.25">
      <c r="A5454" s="15"/>
      <c r="R5454" s="15"/>
    </row>
    <row r="5455" spans="1:18" x14ac:dyDescent="0.25">
      <c r="A5455" s="15"/>
      <c r="R5455" s="15"/>
    </row>
    <row r="5456" spans="1:18" x14ac:dyDescent="0.25">
      <c r="A5456" s="15"/>
      <c r="R5456" s="15"/>
    </row>
    <row r="5457" spans="1:18" x14ac:dyDescent="0.25">
      <c r="A5457" s="15"/>
      <c r="R5457" s="15"/>
    </row>
    <row r="5458" spans="1:18" x14ac:dyDescent="0.25">
      <c r="A5458" s="15"/>
      <c r="R5458" s="15"/>
    </row>
    <row r="5459" spans="1:18" x14ac:dyDescent="0.25">
      <c r="A5459" s="15"/>
      <c r="R5459" s="15"/>
    </row>
    <row r="5460" spans="1:18" x14ac:dyDescent="0.25">
      <c r="A5460" s="15"/>
      <c r="R5460" s="15"/>
    </row>
    <row r="5461" spans="1:18" x14ac:dyDescent="0.25">
      <c r="A5461" s="15"/>
      <c r="R5461" s="15"/>
    </row>
    <row r="5462" spans="1:18" x14ac:dyDescent="0.25">
      <c r="A5462" s="15"/>
      <c r="R5462" s="15"/>
    </row>
    <row r="5463" spans="1:18" x14ac:dyDescent="0.25">
      <c r="A5463" s="15"/>
      <c r="R5463" s="15"/>
    </row>
    <row r="5464" spans="1:18" x14ac:dyDescent="0.25">
      <c r="A5464" s="15"/>
      <c r="R5464" s="15"/>
    </row>
    <row r="5465" spans="1:18" x14ac:dyDescent="0.25">
      <c r="A5465" s="15"/>
      <c r="R5465" s="15"/>
    </row>
    <row r="5466" spans="1:18" x14ac:dyDescent="0.25">
      <c r="A5466" s="15"/>
      <c r="R5466" s="15"/>
    </row>
    <row r="5467" spans="1:18" x14ac:dyDescent="0.25">
      <c r="A5467" s="15"/>
      <c r="R5467" s="15"/>
    </row>
    <row r="5468" spans="1:18" x14ac:dyDescent="0.25">
      <c r="A5468" s="15"/>
      <c r="R5468" s="15"/>
    </row>
    <row r="5469" spans="1:18" x14ac:dyDescent="0.25">
      <c r="A5469" s="15"/>
      <c r="R5469" s="15"/>
    </row>
    <row r="5470" spans="1:18" x14ac:dyDescent="0.25">
      <c r="A5470" s="15"/>
      <c r="R5470" s="15"/>
    </row>
    <row r="5471" spans="1:18" x14ac:dyDescent="0.25">
      <c r="A5471" s="15"/>
      <c r="R5471" s="15"/>
    </row>
    <row r="5472" spans="1:18" x14ac:dyDescent="0.25">
      <c r="A5472" s="15"/>
      <c r="R5472" s="15"/>
    </row>
    <row r="5473" spans="1:18" x14ac:dyDescent="0.25">
      <c r="A5473" s="15"/>
      <c r="R5473" s="15"/>
    </row>
    <row r="5474" spans="1:18" x14ac:dyDescent="0.25">
      <c r="A5474" s="15"/>
      <c r="R5474" s="15"/>
    </row>
    <row r="5475" spans="1:18" x14ac:dyDescent="0.25">
      <c r="A5475" s="15"/>
      <c r="R5475" s="15"/>
    </row>
    <row r="5476" spans="1:18" x14ac:dyDescent="0.25">
      <c r="A5476" s="15"/>
      <c r="R5476" s="15"/>
    </row>
    <row r="5477" spans="1:18" x14ac:dyDescent="0.25">
      <c r="A5477" s="15"/>
      <c r="R5477" s="15"/>
    </row>
    <row r="5478" spans="1:18" x14ac:dyDescent="0.25">
      <c r="A5478" s="15"/>
      <c r="R5478" s="15"/>
    </row>
    <row r="5479" spans="1:18" x14ac:dyDescent="0.25">
      <c r="A5479" s="15"/>
      <c r="R5479" s="15"/>
    </row>
    <row r="5480" spans="1:18" x14ac:dyDescent="0.25">
      <c r="A5480" s="15"/>
      <c r="R5480" s="15"/>
    </row>
    <row r="5481" spans="1:18" x14ac:dyDescent="0.25">
      <c r="A5481" s="15"/>
      <c r="R5481" s="15"/>
    </row>
    <row r="5482" spans="1:18" x14ac:dyDescent="0.25">
      <c r="A5482" s="15"/>
      <c r="R5482" s="15"/>
    </row>
    <row r="5483" spans="1:18" x14ac:dyDescent="0.25">
      <c r="A5483" s="15"/>
      <c r="R5483" s="15"/>
    </row>
    <row r="5484" spans="1:18" x14ac:dyDescent="0.25">
      <c r="A5484" s="15"/>
      <c r="R5484" s="15"/>
    </row>
    <row r="5485" spans="1:18" x14ac:dyDescent="0.25">
      <c r="A5485" s="15"/>
      <c r="R5485" s="15"/>
    </row>
    <row r="5486" spans="1:18" x14ac:dyDescent="0.25">
      <c r="A5486" s="15"/>
      <c r="R5486" s="15"/>
    </row>
    <row r="5487" spans="1:18" x14ac:dyDescent="0.25">
      <c r="A5487" s="15"/>
      <c r="R5487" s="15"/>
    </row>
    <row r="5488" spans="1:18" x14ac:dyDescent="0.25">
      <c r="A5488" s="15"/>
      <c r="R5488" s="15"/>
    </row>
    <row r="5489" spans="1:18" x14ac:dyDescent="0.25">
      <c r="A5489" s="15"/>
      <c r="R5489" s="15"/>
    </row>
    <row r="5490" spans="1:18" x14ac:dyDescent="0.25">
      <c r="A5490" s="15"/>
      <c r="R5490" s="15"/>
    </row>
    <row r="5491" spans="1:18" x14ac:dyDescent="0.25">
      <c r="A5491" s="15"/>
      <c r="R5491" s="15"/>
    </row>
    <row r="5492" spans="1:18" x14ac:dyDescent="0.25">
      <c r="A5492" s="15"/>
      <c r="R5492" s="15"/>
    </row>
    <row r="5493" spans="1:18" x14ac:dyDescent="0.25">
      <c r="A5493" s="15"/>
      <c r="R5493" s="15"/>
    </row>
    <row r="5494" spans="1:18" x14ac:dyDescent="0.25">
      <c r="A5494" s="15"/>
      <c r="R5494" s="15"/>
    </row>
    <row r="5495" spans="1:18" x14ac:dyDescent="0.25">
      <c r="A5495" s="15"/>
      <c r="R5495" s="15"/>
    </row>
    <row r="5496" spans="1:18" x14ac:dyDescent="0.25">
      <c r="A5496" s="15"/>
      <c r="R5496" s="15"/>
    </row>
    <row r="5497" spans="1:18" x14ac:dyDescent="0.25">
      <c r="A5497" s="15"/>
      <c r="R5497" s="15"/>
    </row>
    <row r="5498" spans="1:18" x14ac:dyDescent="0.25">
      <c r="A5498" s="15"/>
      <c r="R5498" s="15"/>
    </row>
    <row r="5499" spans="1:18" x14ac:dyDescent="0.25">
      <c r="A5499" s="15"/>
      <c r="R5499" s="15"/>
    </row>
    <row r="5500" spans="1:18" x14ac:dyDescent="0.25">
      <c r="A5500" s="15"/>
      <c r="R5500" s="15"/>
    </row>
    <row r="5501" spans="1:18" x14ac:dyDescent="0.25">
      <c r="A5501" s="15"/>
      <c r="R5501" s="15"/>
    </row>
    <row r="5502" spans="1:18" x14ac:dyDescent="0.25">
      <c r="A5502" s="15"/>
      <c r="R5502" s="15"/>
    </row>
    <row r="5503" spans="1:18" x14ac:dyDescent="0.25">
      <c r="A5503" s="15"/>
      <c r="R5503" s="15"/>
    </row>
    <row r="5504" spans="1:18" x14ac:dyDescent="0.25">
      <c r="A5504" s="15"/>
      <c r="R5504" s="15"/>
    </row>
    <row r="5505" spans="1:18" x14ac:dyDescent="0.25">
      <c r="A5505" s="15"/>
      <c r="R5505" s="15"/>
    </row>
    <row r="5506" spans="1:18" x14ac:dyDescent="0.25">
      <c r="A5506" s="15"/>
      <c r="R5506" s="15"/>
    </row>
    <row r="5507" spans="1:18" x14ac:dyDescent="0.25">
      <c r="A5507" s="15"/>
      <c r="R5507" s="15"/>
    </row>
    <row r="5508" spans="1:18" x14ac:dyDescent="0.25">
      <c r="A5508" s="15"/>
      <c r="R5508" s="15"/>
    </row>
    <row r="5509" spans="1:18" x14ac:dyDescent="0.25">
      <c r="A5509" s="15"/>
      <c r="R5509" s="15"/>
    </row>
    <row r="5510" spans="1:18" x14ac:dyDescent="0.25">
      <c r="A5510" s="15"/>
      <c r="R5510" s="15"/>
    </row>
    <row r="5511" spans="1:18" x14ac:dyDescent="0.25">
      <c r="A5511" s="15"/>
      <c r="R5511" s="15"/>
    </row>
    <row r="5512" spans="1:18" x14ac:dyDescent="0.25">
      <c r="A5512" s="15"/>
      <c r="R5512" s="15"/>
    </row>
    <row r="5513" spans="1:18" x14ac:dyDescent="0.25">
      <c r="A5513" s="15"/>
      <c r="R5513" s="15"/>
    </row>
    <row r="5514" spans="1:18" x14ac:dyDescent="0.25">
      <c r="A5514" s="15"/>
      <c r="R5514" s="15"/>
    </row>
    <row r="5515" spans="1:18" x14ac:dyDescent="0.25">
      <c r="A5515" s="15"/>
      <c r="R5515" s="15"/>
    </row>
    <row r="5516" spans="1:18" x14ac:dyDescent="0.25">
      <c r="A5516" s="15"/>
      <c r="R5516" s="15"/>
    </row>
    <row r="5517" spans="1:18" x14ac:dyDescent="0.25">
      <c r="A5517" s="15"/>
      <c r="R5517" s="15"/>
    </row>
    <row r="5518" spans="1:18" x14ac:dyDescent="0.25">
      <c r="A5518" s="15"/>
      <c r="R5518" s="15"/>
    </row>
    <row r="5519" spans="1:18" x14ac:dyDescent="0.25">
      <c r="A5519" s="15"/>
      <c r="R5519" s="15"/>
    </row>
    <row r="5520" spans="1:18" x14ac:dyDescent="0.25">
      <c r="A5520" s="15"/>
      <c r="R5520" s="15"/>
    </row>
    <row r="5521" spans="1:18" x14ac:dyDescent="0.25">
      <c r="A5521" s="15"/>
      <c r="R5521" s="15"/>
    </row>
    <row r="5522" spans="1:18" x14ac:dyDescent="0.25">
      <c r="A5522" s="15"/>
      <c r="R5522" s="15"/>
    </row>
    <row r="5523" spans="1:18" x14ac:dyDescent="0.25">
      <c r="A5523" s="15"/>
      <c r="R5523" s="15"/>
    </row>
    <row r="5524" spans="1:18" x14ac:dyDescent="0.25">
      <c r="A5524" s="15"/>
      <c r="R5524" s="15"/>
    </row>
    <row r="5525" spans="1:18" x14ac:dyDescent="0.25">
      <c r="A5525" s="15"/>
      <c r="R5525" s="15"/>
    </row>
    <row r="5526" spans="1:18" x14ac:dyDescent="0.25">
      <c r="A5526" s="15"/>
      <c r="R5526" s="15"/>
    </row>
    <row r="5527" spans="1:18" x14ac:dyDescent="0.25">
      <c r="A5527" s="15"/>
      <c r="R5527" s="15"/>
    </row>
    <row r="5528" spans="1:18" x14ac:dyDescent="0.25">
      <c r="A5528" s="15"/>
      <c r="R5528" s="15"/>
    </row>
    <row r="5529" spans="1:18" x14ac:dyDescent="0.25">
      <c r="A5529" s="15"/>
      <c r="R5529" s="15"/>
    </row>
    <row r="5530" spans="1:18" x14ac:dyDescent="0.25">
      <c r="A5530" s="15"/>
      <c r="R5530" s="15"/>
    </row>
    <row r="5531" spans="1:18" x14ac:dyDescent="0.25">
      <c r="A5531" s="15"/>
      <c r="R5531" s="15"/>
    </row>
    <row r="5532" spans="1:18" x14ac:dyDescent="0.25">
      <c r="A5532" s="15"/>
      <c r="R5532" s="15"/>
    </row>
    <row r="5533" spans="1:18" x14ac:dyDescent="0.25">
      <c r="A5533" s="15"/>
      <c r="R5533" s="15"/>
    </row>
    <row r="5534" spans="1:18" x14ac:dyDescent="0.25">
      <c r="A5534" s="15"/>
      <c r="R5534" s="15"/>
    </row>
    <row r="5535" spans="1:18" x14ac:dyDescent="0.25">
      <c r="A5535" s="15"/>
      <c r="R5535" s="15"/>
    </row>
    <row r="5536" spans="1:18" x14ac:dyDescent="0.25">
      <c r="A5536" s="15"/>
      <c r="R5536" s="15"/>
    </row>
    <row r="5537" spans="1:18" x14ac:dyDescent="0.25">
      <c r="A5537" s="15"/>
      <c r="R5537" s="15"/>
    </row>
    <row r="5538" spans="1:18" x14ac:dyDescent="0.25">
      <c r="A5538" s="15"/>
      <c r="R5538" s="15"/>
    </row>
    <row r="5539" spans="1:18" x14ac:dyDescent="0.25">
      <c r="A5539" s="15"/>
      <c r="R5539" s="15"/>
    </row>
    <row r="5540" spans="1:18" x14ac:dyDescent="0.25">
      <c r="A5540" s="15"/>
      <c r="R5540" s="15"/>
    </row>
    <row r="5541" spans="1:18" x14ac:dyDescent="0.25">
      <c r="A5541" s="15"/>
      <c r="R5541" s="15"/>
    </row>
    <row r="5542" spans="1:18" x14ac:dyDescent="0.25">
      <c r="A5542" s="15"/>
      <c r="R5542" s="15"/>
    </row>
    <row r="5543" spans="1:18" x14ac:dyDescent="0.25">
      <c r="A5543" s="15"/>
      <c r="R5543" s="15"/>
    </row>
    <row r="5544" spans="1:18" x14ac:dyDescent="0.25">
      <c r="A5544" s="15"/>
      <c r="R5544" s="15"/>
    </row>
    <row r="5545" spans="1:18" x14ac:dyDescent="0.25">
      <c r="A5545" s="15"/>
      <c r="R5545" s="15"/>
    </row>
    <row r="5546" spans="1:18" x14ac:dyDescent="0.25">
      <c r="A5546" s="15"/>
      <c r="R5546" s="15"/>
    </row>
    <row r="5547" spans="1:18" x14ac:dyDescent="0.25">
      <c r="A5547" s="15"/>
      <c r="R5547" s="15"/>
    </row>
    <row r="5548" spans="1:18" x14ac:dyDescent="0.25">
      <c r="A5548" s="15"/>
      <c r="R5548" s="15"/>
    </row>
    <row r="5549" spans="1:18" x14ac:dyDescent="0.25">
      <c r="A5549" s="15"/>
      <c r="R5549" s="15"/>
    </row>
    <row r="5550" spans="1:18" x14ac:dyDescent="0.25">
      <c r="A5550" s="15"/>
      <c r="R5550" s="15"/>
    </row>
    <row r="5551" spans="1:18" x14ac:dyDescent="0.25">
      <c r="A5551" s="15"/>
      <c r="R5551" s="15"/>
    </row>
    <row r="5552" spans="1:18" x14ac:dyDescent="0.25">
      <c r="A5552" s="15"/>
      <c r="R5552" s="15"/>
    </row>
    <row r="5553" spans="1:18" x14ac:dyDescent="0.25">
      <c r="A5553" s="15"/>
      <c r="R5553" s="15"/>
    </row>
    <row r="5554" spans="1:18" x14ac:dyDescent="0.25">
      <c r="A5554" s="15"/>
      <c r="R5554" s="15"/>
    </row>
    <row r="5555" spans="1:18" x14ac:dyDescent="0.25">
      <c r="A5555" s="15"/>
      <c r="R5555" s="15"/>
    </row>
    <row r="5556" spans="1:18" x14ac:dyDescent="0.25">
      <c r="A5556" s="15"/>
      <c r="R5556" s="15"/>
    </row>
    <row r="5557" spans="1:18" x14ac:dyDescent="0.25">
      <c r="A5557" s="15"/>
      <c r="R5557" s="15"/>
    </row>
    <row r="5558" spans="1:18" x14ac:dyDescent="0.25">
      <c r="A5558" s="15"/>
      <c r="R5558" s="15"/>
    </row>
    <row r="5559" spans="1:18" x14ac:dyDescent="0.25">
      <c r="A5559" s="15"/>
      <c r="R5559" s="15"/>
    </row>
    <row r="5560" spans="1:18" x14ac:dyDescent="0.25">
      <c r="A5560" s="15"/>
      <c r="R5560" s="15"/>
    </row>
    <row r="5561" spans="1:18" x14ac:dyDescent="0.25">
      <c r="A5561" s="15"/>
      <c r="R5561" s="15"/>
    </row>
    <row r="5562" spans="1:18" x14ac:dyDescent="0.25">
      <c r="A5562" s="15"/>
      <c r="R5562" s="15"/>
    </row>
    <row r="5563" spans="1:18" x14ac:dyDescent="0.25">
      <c r="A5563" s="15"/>
      <c r="R5563" s="15"/>
    </row>
    <row r="5564" spans="1:18" x14ac:dyDescent="0.25">
      <c r="A5564" s="15"/>
      <c r="R5564" s="15"/>
    </row>
    <row r="5565" spans="1:18" x14ac:dyDescent="0.25">
      <c r="A5565" s="15"/>
      <c r="R5565" s="15"/>
    </row>
    <row r="5566" spans="1:18" x14ac:dyDescent="0.25">
      <c r="A5566" s="15"/>
      <c r="R5566" s="15"/>
    </row>
    <row r="5567" spans="1:18" x14ac:dyDescent="0.25">
      <c r="A5567" s="15"/>
      <c r="R5567" s="15"/>
    </row>
    <row r="5568" spans="1:18" x14ac:dyDescent="0.25">
      <c r="A5568" s="15"/>
      <c r="R5568" s="15"/>
    </row>
    <row r="5569" spans="1:18" x14ac:dyDescent="0.25">
      <c r="A5569" s="15"/>
      <c r="R5569" s="15"/>
    </row>
    <row r="5570" spans="1:18" x14ac:dyDescent="0.25">
      <c r="A5570" s="15"/>
      <c r="R5570" s="15"/>
    </row>
    <row r="5571" spans="1:18" x14ac:dyDescent="0.25">
      <c r="A5571" s="15"/>
      <c r="R5571" s="15"/>
    </row>
    <row r="5572" spans="1:18" x14ac:dyDescent="0.25">
      <c r="A5572" s="15"/>
      <c r="R5572" s="15"/>
    </row>
    <row r="5573" spans="1:18" x14ac:dyDescent="0.25">
      <c r="A5573" s="15"/>
      <c r="R5573" s="15"/>
    </row>
    <row r="5574" spans="1:18" x14ac:dyDescent="0.25">
      <c r="A5574" s="15"/>
      <c r="R5574" s="15"/>
    </row>
    <row r="5575" spans="1:18" x14ac:dyDescent="0.25">
      <c r="A5575" s="15"/>
      <c r="R5575" s="15"/>
    </row>
    <row r="5576" spans="1:18" x14ac:dyDescent="0.25">
      <c r="A5576" s="15"/>
      <c r="R5576" s="15"/>
    </row>
    <row r="5577" spans="1:18" x14ac:dyDescent="0.25">
      <c r="A5577" s="15"/>
      <c r="R5577" s="15"/>
    </row>
    <row r="5578" spans="1:18" x14ac:dyDescent="0.25">
      <c r="A5578" s="15"/>
      <c r="R5578" s="15"/>
    </row>
    <row r="5579" spans="1:18" x14ac:dyDescent="0.25">
      <c r="A5579" s="15"/>
      <c r="R5579" s="15"/>
    </row>
    <row r="5580" spans="1:18" x14ac:dyDescent="0.25">
      <c r="A5580" s="15"/>
      <c r="R5580" s="15"/>
    </row>
    <row r="5581" spans="1:18" x14ac:dyDescent="0.25">
      <c r="A5581" s="15"/>
      <c r="R5581" s="15"/>
    </row>
    <row r="5582" spans="1:18" x14ac:dyDescent="0.25">
      <c r="A5582" s="15"/>
      <c r="R5582" s="15"/>
    </row>
    <row r="5583" spans="1:18" x14ac:dyDescent="0.25">
      <c r="A5583" s="15"/>
      <c r="R5583" s="15"/>
    </row>
    <row r="5584" spans="1:18" x14ac:dyDescent="0.25">
      <c r="A5584" s="15"/>
      <c r="R5584" s="15"/>
    </row>
    <row r="5585" spans="1:18" x14ac:dyDescent="0.25">
      <c r="A5585" s="15"/>
      <c r="R5585" s="15"/>
    </row>
    <row r="5586" spans="1:18" x14ac:dyDescent="0.25">
      <c r="A5586" s="15"/>
      <c r="R5586" s="15"/>
    </row>
    <row r="5587" spans="1:18" x14ac:dyDescent="0.25">
      <c r="A5587" s="15"/>
      <c r="R5587" s="15"/>
    </row>
    <row r="5588" spans="1:18" x14ac:dyDescent="0.25">
      <c r="A5588" s="15"/>
      <c r="R5588" s="15"/>
    </row>
    <row r="5589" spans="1:18" x14ac:dyDescent="0.25">
      <c r="A5589" s="15"/>
      <c r="R5589" s="15"/>
    </row>
    <row r="5590" spans="1:18" x14ac:dyDescent="0.25">
      <c r="A5590" s="15"/>
      <c r="R5590" s="15"/>
    </row>
    <row r="5591" spans="1:18" x14ac:dyDescent="0.25">
      <c r="A5591" s="15"/>
      <c r="R5591" s="15"/>
    </row>
    <row r="5592" spans="1:18" x14ac:dyDescent="0.25">
      <c r="A5592" s="15"/>
      <c r="R5592" s="15"/>
    </row>
    <row r="5593" spans="1:18" x14ac:dyDescent="0.25">
      <c r="A5593" s="15"/>
      <c r="R5593" s="15"/>
    </row>
    <row r="5594" spans="1:18" x14ac:dyDescent="0.25">
      <c r="A5594" s="15"/>
      <c r="R5594" s="15"/>
    </row>
    <row r="5595" spans="1:18" x14ac:dyDescent="0.25">
      <c r="A5595" s="15"/>
      <c r="R5595" s="15"/>
    </row>
    <row r="5596" spans="1:18" x14ac:dyDescent="0.25">
      <c r="A5596" s="15"/>
      <c r="R5596" s="15"/>
    </row>
    <row r="5597" spans="1:18" x14ac:dyDescent="0.25">
      <c r="A5597" s="15"/>
      <c r="R5597" s="15"/>
    </row>
    <row r="5598" spans="1:18" x14ac:dyDescent="0.25">
      <c r="A5598" s="15"/>
      <c r="R5598" s="15"/>
    </row>
    <row r="5599" spans="1:18" x14ac:dyDescent="0.25">
      <c r="A5599" s="15"/>
      <c r="R5599" s="15"/>
    </row>
    <row r="5600" spans="1:18" x14ac:dyDescent="0.25">
      <c r="A5600" s="15"/>
      <c r="R5600" s="15"/>
    </row>
    <row r="5601" spans="1:18" x14ac:dyDescent="0.25">
      <c r="A5601" s="15"/>
      <c r="R5601" s="15"/>
    </row>
    <row r="5602" spans="1:18" x14ac:dyDescent="0.25">
      <c r="A5602" s="15"/>
      <c r="R5602" s="15"/>
    </row>
    <row r="5603" spans="1:18" x14ac:dyDescent="0.25">
      <c r="A5603" s="15"/>
      <c r="R5603" s="15"/>
    </row>
    <row r="5604" spans="1:18" x14ac:dyDescent="0.25">
      <c r="A5604" s="15"/>
      <c r="R5604" s="15"/>
    </row>
    <row r="5605" spans="1:18" x14ac:dyDescent="0.25">
      <c r="A5605" s="15"/>
      <c r="R5605" s="15"/>
    </row>
    <row r="5606" spans="1:18" x14ac:dyDescent="0.25">
      <c r="A5606" s="15"/>
      <c r="R5606" s="15"/>
    </row>
    <row r="5607" spans="1:18" x14ac:dyDescent="0.25">
      <c r="A5607" s="15"/>
      <c r="R5607" s="15"/>
    </row>
    <row r="5608" spans="1:18" x14ac:dyDescent="0.25">
      <c r="A5608" s="15"/>
      <c r="R5608" s="15"/>
    </row>
    <row r="5609" spans="1:18" x14ac:dyDescent="0.25">
      <c r="A5609" s="15"/>
      <c r="R5609" s="15"/>
    </row>
    <row r="5610" spans="1:18" x14ac:dyDescent="0.25">
      <c r="A5610" s="15"/>
      <c r="R5610" s="15"/>
    </row>
    <row r="5611" spans="1:18" x14ac:dyDescent="0.25">
      <c r="A5611" s="15"/>
      <c r="R5611" s="15"/>
    </row>
    <row r="5612" spans="1:18" x14ac:dyDescent="0.25">
      <c r="A5612" s="15"/>
      <c r="R5612" s="15"/>
    </row>
    <row r="5613" spans="1:18" x14ac:dyDescent="0.25">
      <c r="A5613" s="15"/>
      <c r="R5613" s="15"/>
    </row>
    <row r="5614" spans="1:18" x14ac:dyDescent="0.25">
      <c r="A5614" s="15"/>
      <c r="R5614" s="15"/>
    </row>
    <row r="5615" spans="1:18" x14ac:dyDescent="0.25">
      <c r="A5615" s="15"/>
      <c r="R5615" s="15"/>
    </row>
    <row r="5616" spans="1:18" x14ac:dyDescent="0.25">
      <c r="A5616" s="15"/>
      <c r="R5616" s="15"/>
    </row>
    <row r="5617" spans="1:18" x14ac:dyDescent="0.25">
      <c r="A5617" s="15"/>
      <c r="R5617" s="15"/>
    </row>
    <row r="5618" spans="1:18" x14ac:dyDescent="0.25">
      <c r="A5618" s="15"/>
      <c r="R5618" s="15"/>
    </row>
    <row r="5619" spans="1:18" x14ac:dyDescent="0.25">
      <c r="A5619" s="15"/>
      <c r="R5619" s="15"/>
    </row>
    <row r="5620" spans="1:18" x14ac:dyDescent="0.25">
      <c r="A5620" s="15"/>
      <c r="R5620" s="15"/>
    </row>
    <row r="5621" spans="1:18" x14ac:dyDescent="0.25">
      <c r="A5621" s="15"/>
      <c r="R5621" s="15"/>
    </row>
    <row r="5622" spans="1:18" x14ac:dyDescent="0.25">
      <c r="A5622" s="15"/>
      <c r="R5622" s="15"/>
    </row>
    <row r="5623" spans="1:18" x14ac:dyDescent="0.25">
      <c r="A5623" s="15"/>
      <c r="R5623" s="15"/>
    </row>
    <row r="5624" spans="1:18" x14ac:dyDescent="0.25">
      <c r="A5624" s="15"/>
      <c r="R5624" s="15"/>
    </row>
    <row r="5625" spans="1:18" x14ac:dyDescent="0.25">
      <c r="A5625" s="15"/>
      <c r="R5625" s="15"/>
    </row>
    <row r="5626" spans="1:18" x14ac:dyDescent="0.25">
      <c r="A5626" s="15"/>
      <c r="R5626" s="15"/>
    </row>
    <row r="5627" spans="1:18" x14ac:dyDescent="0.25">
      <c r="A5627" s="15"/>
      <c r="R5627" s="15"/>
    </row>
    <row r="5628" spans="1:18" x14ac:dyDescent="0.25">
      <c r="A5628" s="15"/>
      <c r="R5628" s="15"/>
    </row>
    <row r="5629" spans="1:18" x14ac:dyDescent="0.25">
      <c r="A5629" s="15"/>
      <c r="R5629" s="15"/>
    </row>
    <row r="5630" spans="1:18" x14ac:dyDescent="0.25">
      <c r="A5630" s="15"/>
      <c r="R5630" s="15"/>
    </row>
    <row r="5631" spans="1:18" x14ac:dyDescent="0.25">
      <c r="A5631" s="15"/>
      <c r="R5631" s="15"/>
    </row>
    <row r="5632" spans="1:18" x14ac:dyDescent="0.25">
      <c r="A5632" s="15"/>
      <c r="R5632" s="15"/>
    </row>
    <row r="5633" spans="1:18" x14ac:dyDescent="0.25">
      <c r="A5633" s="15"/>
      <c r="R5633" s="15"/>
    </row>
    <row r="5634" spans="1:18" x14ac:dyDescent="0.25">
      <c r="A5634" s="15"/>
      <c r="R5634" s="15"/>
    </row>
    <row r="5635" spans="1:18" x14ac:dyDescent="0.25">
      <c r="A5635" s="15"/>
      <c r="R5635" s="15"/>
    </row>
    <row r="5636" spans="1:18" x14ac:dyDescent="0.25">
      <c r="A5636" s="15"/>
      <c r="R5636" s="15"/>
    </row>
    <row r="5637" spans="1:18" x14ac:dyDescent="0.25">
      <c r="A5637" s="15"/>
      <c r="R5637" s="15"/>
    </row>
    <row r="5638" spans="1:18" x14ac:dyDescent="0.25">
      <c r="A5638" s="15"/>
      <c r="R5638" s="15"/>
    </row>
    <row r="5639" spans="1:18" x14ac:dyDescent="0.25">
      <c r="A5639" s="15"/>
      <c r="R5639" s="15"/>
    </row>
    <row r="5640" spans="1:18" x14ac:dyDescent="0.25">
      <c r="A5640" s="15"/>
      <c r="R5640" s="15"/>
    </row>
    <row r="5641" spans="1:18" x14ac:dyDescent="0.25">
      <c r="A5641" s="15"/>
      <c r="R5641" s="15"/>
    </row>
    <row r="5642" spans="1:18" x14ac:dyDescent="0.25">
      <c r="A5642" s="15"/>
      <c r="R5642" s="15"/>
    </row>
    <row r="5643" spans="1:18" x14ac:dyDescent="0.25">
      <c r="A5643" s="15"/>
      <c r="R5643" s="15"/>
    </row>
    <row r="5644" spans="1:18" x14ac:dyDescent="0.25">
      <c r="A5644" s="15"/>
      <c r="R5644" s="15"/>
    </row>
    <row r="5645" spans="1:18" x14ac:dyDescent="0.25">
      <c r="A5645" s="15"/>
      <c r="R5645" s="15"/>
    </row>
    <row r="5646" spans="1:18" x14ac:dyDescent="0.25">
      <c r="A5646" s="15"/>
      <c r="R5646" s="15"/>
    </row>
    <row r="5647" spans="1:18" x14ac:dyDescent="0.25">
      <c r="A5647" s="15"/>
      <c r="R5647" s="15"/>
    </row>
    <row r="5648" spans="1:18" x14ac:dyDescent="0.25">
      <c r="A5648" s="15"/>
      <c r="R5648" s="15"/>
    </row>
    <row r="5649" spans="1:18" x14ac:dyDescent="0.25">
      <c r="A5649" s="15"/>
      <c r="R5649" s="15"/>
    </row>
    <row r="5650" spans="1:18" x14ac:dyDescent="0.25">
      <c r="A5650" s="15"/>
      <c r="R5650" s="15"/>
    </row>
    <row r="5651" spans="1:18" x14ac:dyDescent="0.25">
      <c r="A5651" s="15"/>
      <c r="R5651" s="15"/>
    </row>
    <row r="5652" spans="1:18" x14ac:dyDescent="0.25">
      <c r="A5652" s="15"/>
      <c r="R5652" s="15"/>
    </row>
    <row r="5653" spans="1:18" x14ac:dyDescent="0.25">
      <c r="A5653" s="15"/>
      <c r="R5653" s="15"/>
    </row>
    <row r="5654" spans="1:18" x14ac:dyDescent="0.25">
      <c r="A5654" s="15"/>
      <c r="R5654" s="15"/>
    </row>
    <row r="5655" spans="1:18" x14ac:dyDescent="0.25">
      <c r="A5655" s="15"/>
      <c r="R5655" s="15"/>
    </row>
    <row r="5656" spans="1:18" x14ac:dyDescent="0.25">
      <c r="A5656" s="15"/>
      <c r="R5656" s="15"/>
    </row>
    <row r="5657" spans="1:18" x14ac:dyDescent="0.25">
      <c r="A5657" s="15"/>
      <c r="R5657" s="15"/>
    </row>
    <row r="5658" spans="1:18" x14ac:dyDescent="0.25">
      <c r="A5658" s="15"/>
      <c r="R5658" s="15"/>
    </row>
    <row r="5659" spans="1:18" x14ac:dyDescent="0.25">
      <c r="A5659" s="15"/>
      <c r="R5659" s="15"/>
    </row>
    <row r="5660" spans="1:18" x14ac:dyDescent="0.25">
      <c r="A5660" s="15"/>
      <c r="R5660" s="15"/>
    </row>
    <row r="5661" spans="1:18" x14ac:dyDescent="0.25">
      <c r="A5661" s="15"/>
      <c r="R5661" s="15"/>
    </row>
    <row r="5662" spans="1:18" x14ac:dyDescent="0.25">
      <c r="A5662" s="15"/>
      <c r="R5662" s="15"/>
    </row>
    <row r="5663" spans="1:18" x14ac:dyDescent="0.25">
      <c r="A5663" s="15"/>
      <c r="R5663" s="15"/>
    </row>
    <row r="5664" spans="1:18" x14ac:dyDescent="0.25">
      <c r="A5664" s="15"/>
      <c r="R5664" s="15"/>
    </row>
    <row r="5665" spans="1:18" x14ac:dyDescent="0.25">
      <c r="A5665" s="15"/>
      <c r="R5665" s="15"/>
    </row>
    <row r="5666" spans="1:18" x14ac:dyDescent="0.25">
      <c r="A5666" s="15"/>
      <c r="R5666" s="15"/>
    </row>
    <row r="5667" spans="1:18" x14ac:dyDescent="0.25">
      <c r="A5667" s="15"/>
      <c r="R5667" s="15"/>
    </row>
    <row r="5668" spans="1:18" x14ac:dyDescent="0.25">
      <c r="A5668" s="15"/>
      <c r="R5668" s="15"/>
    </row>
    <row r="5669" spans="1:18" x14ac:dyDescent="0.25">
      <c r="A5669" s="15"/>
      <c r="R5669" s="15"/>
    </row>
    <row r="5670" spans="1:18" x14ac:dyDescent="0.25">
      <c r="A5670" s="15"/>
      <c r="R5670" s="15"/>
    </row>
    <row r="5671" spans="1:18" x14ac:dyDescent="0.25">
      <c r="A5671" s="15"/>
      <c r="R5671" s="15"/>
    </row>
    <row r="5672" spans="1:18" x14ac:dyDescent="0.25">
      <c r="A5672" s="15"/>
      <c r="R5672" s="15"/>
    </row>
    <row r="5673" spans="1:18" x14ac:dyDescent="0.25">
      <c r="A5673" s="15"/>
      <c r="R5673" s="15"/>
    </row>
    <row r="5674" spans="1:18" x14ac:dyDescent="0.25">
      <c r="A5674" s="15"/>
      <c r="R5674" s="15"/>
    </row>
    <row r="5675" spans="1:18" x14ac:dyDescent="0.25">
      <c r="A5675" s="15"/>
      <c r="R5675" s="15"/>
    </row>
    <row r="5676" spans="1:18" x14ac:dyDescent="0.25">
      <c r="A5676" s="15"/>
      <c r="R5676" s="15"/>
    </row>
    <row r="5677" spans="1:18" x14ac:dyDescent="0.25">
      <c r="A5677" s="15"/>
      <c r="R5677" s="15"/>
    </row>
    <row r="5678" spans="1:18" x14ac:dyDescent="0.25">
      <c r="A5678" s="15"/>
      <c r="R5678" s="15"/>
    </row>
    <row r="5679" spans="1:18" x14ac:dyDescent="0.25">
      <c r="A5679" s="15"/>
      <c r="R5679" s="15"/>
    </row>
    <row r="5680" spans="1:18" x14ac:dyDescent="0.25">
      <c r="A5680" s="15"/>
      <c r="R5680" s="15"/>
    </row>
    <row r="5681" spans="1:18" x14ac:dyDescent="0.25">
      <c r="A5681" s="15"/>
      <c r="R5681" s="15"/>
    </row>
    <row r="5682" spans="1:18" x14ac:dyDescent="0.25">
      <c r="A5682" s="15"/>
      <c r="R5682" s="15"/>
    </row>
    <row r="5683" spans="1:18" x14ac:dyDescent="0.25">
      <c r="A5683" s="15"/>
      <c r="R5683" s="15"/>
    </row>
    <row r="5684" spans="1:18" x14ac:dyDescent="0.25">
      <c r="A5684" s="15"/>
      <c r="R5684" s="15"/>
    </row>
    <row r="5685" spans="1:18" x14ac:dyDescent="0.25">
      <c r="A5685" s="15"/>
      <c r="R5685" s="15"/>
    </row>
    <row r="5686" spans="1:18" x14ac:dyDescent="0.25">
      <c r="A5686" s="15"/>
      <c r="R5686" s="15"/>
    </row>
    <row r="5687" spans="1:18" x14ac:dyDescent="0.25">
      <c r="A5687" s="15"/>
      <c r="R5687" s="15"/>
    </row>
    <row r="5688" spans="1:18" x14ac:dyDescent="0.25">
      <c r="A5688" s="15"/>
      <c r="R5688" s="15"/>
    </row>
    <row r="5689" spans="1:18" x14ac:dyDescent="0.25">
      <c r="A5689" s="15"/>
      <c r="R5689" s="15"/>
    </row>
    <row r="5690" spans="1:18" x14ac:dyDescent="0.25">
      <c r="A5690" s="15"/>
      <c r="R5690" s="15"/>
    </row>
    <row r="5691" spans="1:18" x14ac:dyDescent="0.25">
      <c r="A5691" s="15"/>
      <c r="R5691" s="15"/>
    </row>
    <row r="5692" spans="1:18" x14ac:dyDescent="0.25">
      <c r="A5692" s="15"/>
      <c r="R5692" s="15"/>
    </row>
    <row r="5693" spans="1:18" x14ac:dyDescent="0.25">
      <c r="A5693" s="15"/>
      <c r="R5693" s="15"/>
    </row>
    <row r="5694" spans="1:18" x14ac:dyDescent="0.25">
      <c r="A5694" s="15"/>
      <c r="R5694" s="15"/>
    </row>
    <row r="5695" spans="1:18" x14ac:dyDescent="0.25">
      <c r="A5695" s="15"/>
      <c r="R5695" s="15"/>
    </row>
    <row r="5696" spans="1:18" x14ac:dyDescent="0.25">
      <c r="A5696" s="15"/>
      <c r="R5696" s="15"/>
    </row>
    <row r="5697" spans="1:18" x14ac:dyDescent="0.25">
      <c r="A5697" s="15"/>
      <c r="R5697" s="15"/>
    </row>
    <row r="5698" spans="1:18" x14ac:dyDescent="0.25">
      <c r="A5698" s="15"/>
      <c r="R5698" s="15"/>
    </row>
    <row r="5699" spans="1:18" x14ac:dyDescent="0.25">
      <c r="A5699" s="15"/>
      <c r="R5699" s="15"/>
    </row>
    <row r="5700" spans="1:18" x14ac:dyDescent="0.25">
      <c r="A5700" s="15"/>
      <c r="R5700" s="15"/>
    </row>
    <row r="5701" spans="1:18" x14ac:dyDescent="0.25">
      <c r="A5701" s="15"/>
      <c r="R5701" s="15"/>
    </row>
    <row r="5702" spans="1:18" x14ac:dyDescent="0.25">
      <c r="A5702" s="15"/>
      <c r="R5702" s="15"/>
    </row>
    <row r="5703" spans="1:18" x14ac:dyDescent="0.25">
      <c r="A5703" s="15"/>
      <c r="R5703" s="15"/>
    </row>
    <row r="5704" spans="1:18" x14ac:dyDescent="0.25">
      <c r="A5704" s="15"/>
      <c r="R5704" s="15"/>
    </row>
    <row r="5705" spans="1:18" x14ac:dyDescent="0.25">
      <c r="A5705" s="15"/>
      <c r="R5705" s="15"/>
    </row>
    <row r="5706" spans="1:18" x14ac:dyDescent="0.25">
      <c r="A5706" s="15"/>
      <c r="R5706" s="15"/>
    </row>
    <row r="5707" spans="1:18" x14ac:dyDescent="0.25">
      <c r="A5707" s="15"/>
      <c r="R5707" s="15"/>
    </row>
    <row r="5708" spans="1:18" x14ac:dyDescent="0.25">
      <c r="A5708" s="15"/>
      <c r="R5708" s="15"/>
    </row>
    <row r="5709" spans="1:18" x14ac:dyDescent="0.25">
      <c r="A5709" s="15"/>
      <c r="R5709" s="15"/>
    </row>
    <row r="5710" spans="1:18" x14ac:dyDescent="0.25">
      <c r="A5710" s="15"/>
      <c r="R5710" s="15"/>
    </row>
    <row r="5711" spans="1:18" x14ac:dyDescent="0.25">
      <c r="A5711" s="15"/>
      <c r="R5711" s="15"/>
    </row>
    <row r="5712" spans="1:18" x14ac:dyDescent="0.25">
      <c r="A5712" s="15"/>
      <c r="R5712" s="15"/>
    </row>
    <row r="5713" spans="1:18" x14ac:dyDescent="0.25">
      <c r="A5713" s="15"/>
      <c r="R5713" s="15"/>
    </row>
    <row r="5714" spans="1:18" x14ac:dyDescent="0.25">
      <c r="A5714" s="15"/>
      <c r="R5714" s="15"/>
    </row>
    <row r="5715" spans="1:18" x14ac:dyDescent="0.25">
      <c r="A5715" s="15"/>
      <c r="R5715" s="15"/>
    </row>
    <row r="5716" spans="1:18" x14ac:dyDescent="0.25">
      <c r="A5716" s="15"/>
      <c r="R5716" s="15"/>
    </row>
    <row r="5717" spans="1:18" x14ac:dyDescent="0.25">
      <c r="A5717" s="15"/>
      <c r="R5717" s="15"/>
    </row>
    <row r="5718" spans="1:18" x14ac:dyDescent="0.25">
      <c r="A5718" s="15"/>
      <c r="R5718" s="15"/>
    </row>
    <row r="5719" spans="1:18" x14ac:dyDescent="0.25">
      <c r="A5719" s="15"/>
      <c r="R5719" s="15"/>
    </row>
    <row r="5720" spans="1:18" x14ac:dyDescent="0.25">
      <c r="A5720" s="15"/>
      <c r="R5720" s="15"/>
    </row>
    <row r="5721" spans="1:18" x14ac:dyDescent="0.25">
      <c r="A5721" s="15"/>
      <c r="R5721" s="15"/>
    </row>
    <row r="5722" spans="1:18" x14ac:dyDescent="0.25">
      <c r="A5722" s="15"/>
      <c r="R5722" s="15"/>
    </row>
    <row r="5723" spans="1:18" x14ac:dyDescent="0.25">
      <c r="A5723" s="15"/>
      <c r="R5723" s="15"/>
    </row>
    <row r="5724" spans="1:18" x14ac:dyDescent="0.25">
      <c r="A5724" s="15"/>
      <c r="R5724" s="15"/>
    </row>
    <row r="5725" spans="1:18" x14ac:dyDescent="0.25">
      <c r="A5725" s="15"/>
      <c r="R5725" s="15"/>
    </row>
    <row r="5726" spans="1:18" x14ac:dyDescent="0.25">
      <c r="A5726" s="15"/>
      <c r="R5726" s="15"/>
    </row>
    <row r="5727" spans="1:18" x14ac:dyDescent="0.25">
      <c r="A5727" s="15"/>
      <c r="R5727" s="15"/>
    </row>
    <row r="5728" spans="1:18" x14ac:dyDescent="0.25">
      <c r="A5728" s="15"/>
      <c r="R5728" s="15"/>
    </row>
    <row r="5729" spans="1:18" x14ac:dyDescent="0.25">
      <c r="A5729" s="15"/>
      <c r="R5729" s="15"/>
    </row>
    <row r="5730" spans="1:18" x14ac:dyDescent="0.25">
      <c r="A5730" s="15"/>
      <c r="R5730" s="15"/>
    </row>
    <row r="5731" spans="1:18" x14ac:dyDescent="0.25">
      <c r="A5731" s="15"/>
      <c r="R5731" s="15"/>
    </row>
    <row r="5732" spans="1:18" x14ac:dyDescent="0.25">
      <c r="A5732" s="15"/>
      <c r="R5732" s="15"/>
    </row>
    <row r="5733" spans="1:18" x14ac:dyDescent="0.25">
      <c r="A5733" s="15"/>
      <c r="R5733" s="15"/>
    </row>
    <row r="5734" spans="1:18" x14ac:dyDescent="0.25">
      <c r="A5734" s="15"/>
      <c r="R5734" s="15"/>
    </row>
    <row r="5735" spans="1:18" x14ac:dyDescent="0.25">
      <c r="A5735" s="15"/>
      <c r="R5735" s="15"/>
    </row>
    <row r="5736" spans="1:18" x14ac:dyDescent="0.25">
      <c r="A5736" s="15"/>
      <c r="R5736" s="15"/>
    </row>
    <row r="5737" spans="1:18" x14ac:dyDescent="0.25">
      <c r="A5737" s="15"/>
      <c r="R5737" s="15"/>
    </row>
    <row r="5738" spans="1:18" x14ac:dyDescent="0.25">
      <c r="A5738" s="15"/>
      <c r="R5738" s="15"/>
    </row>
    <row r="5739" spans="1:18" x14ac:dyDescent="0.25">
      <c r="A5739" s="15"/>
      <c r="R5739" s="15"/>
    </row>
    <row r="5740" spans="1:18" x14ac:dyDescent="0.25">
      <c r="A5740" s="15"/>
      <c r="R5740" s="15"/>
    </row>
    <row r="5741" spans="1:18" x14ac:dyDescent="0.25">
      <c r="A5741" s="15"/>
      <c r="R5741" s="15"/>
    </row>
    <row r="5742" spans="1:18" x14ac:dyDescent="0.25">
      <c r="A5742" s="15"/>
      <c r="R5742" s="15"/>
    </row>
    <row r="5743" spans="1:18" x14ac:dyDescent="0.25">
      <c r="A5743" s="15"/>
      <c r="R5743" s="15"/>
    </row>
    <row r="5744" spans="1:18" x14ac:dyDescent="0.25">
      <c r="A5744" s="15"/>
      <c r="R5744" s="15"/>
    </row>
    <row r="5745" spans="1:18" x14ac:dyDescent="0.25">
      <c r="A5745" s="15"/>
      <c r="R5745" s="15"/>
    </row>
    <row r="5746" spans="1:18" x14ac:dyDescent="0.25">
      <c r="A5746" s="15"/>
      <c r="R5746" s="15"/>
    </row>
    <row r="5747" spans="1:18" x14ac:dyDescent="0.25">
      <c r="A5747" s="15"/>
      <c r="R5747" s="15"/>
    </row>
    <row r="5748" spans="1:18" x14ac:dyDescent="0.25">
      <c r="A5748" s="15"/>
      <c r="R5748" s="15"/>
    </row>
    <row r="5749" spans="1:18" x14ac:dyDescent="0.25">
      <c r="A5749" s="15"/>
      <c r="R5749" s="15"/>
    </row>
    <row r="5750" spans="1:18" x14ac:dyDescent="0.25">
      <c r="A5750" s="15"/>
      <c r="R5750" s="15"/>
    </row>
    <row r="5751" spans="1:18" x14ac:dyDescent="0.25">
      <c r="A5751" s="15"/>
      <c r="R5751" s="15"/>
    </row>
    <row r="5752" spans="1:18" x14ac:dyDescent="0.25">
      <c r="A5752" s="15"/>
      <c r="R5752" s="15"/>
    </row>
    <row r="5753" spans="1:18" x14ac:dyDescent="0.25">
      <c r="A5753" s="15"/>
      <c r="R5753" s="15"/>
    </row>
    <row r="5754" spans="1:18" x14ac:dyDescent="0.25">
      <c r="A5754" s="15"/>
      <c r="R5754" s="15"/>
    </row>
    <row r="5755" spans="1:18" x14ac:dyDescent="0.25">
      <c r="A5755" s="15"/>
      <c r="R5755" s="15"/>
    </row>
    <row r="5756" spans="1:18" x14ac:dyDescent="0.25">
      <c r="A5756" s="15"/>
      <c r="R5756" s="15"/>
    </row>
    <row r="5757" spans="1:18" x14ac:dyDescent="0.25">
      <c r="A5757" s="15"/>
      <c r="R5757" s="15"/>
    </row>
    <row r="5758" spans="1:18" x14ac:dyDescent="0.25">
      <c r="A5758" s="15"/>
      <c r="R5758" s="15"/>
    </row>
    <row r="5759" spans="1:18" x14ac:dyDescent="0.25">
      <c r="A5759" s="15"/>
      <c r="R5759" s="15"/>
    </row>
    <row r="5760" spans="1:18" x14ac:dyDescent="0.25">
      <c r="A5760" s="15"/>
      <c r="R5760" s="15"/>
    </row>
    <row r="5761" spans="1:18" x14ac:dyDescent="0.25">
      <c r="A5761" s="15"/>
      <c r="R5761" s="15"/>
    </row>
    <row r="5762" spans="1:18" x14ac:dyDescent="0.25">
      <c r="A5762" s="15"/>
      <c r="R5762" s="15"/>
    </row>
    <row r="5763" spans="1:18" x14ac:dyDescent="0.25">
      <c r="A5763" s="15"/>
      <c r="R5763" s="15"/>
    </row>
    <row r="5764" spans="1:18" x14ac:dyDescent="0.25">
      <c r="A5764" s="15"/>
      <c r="R5764" s="15"/>
    </row>
    <row r="5765" spans="1:18" x14ac:dyDescent="0.25">
      <c r="A5765" s="15"/>
      <c r="R5765" s="15"/>
    </row>
    <row r="5766" spans="1:18" x14ac:dyDescent="0.25">
      <c r="A5766" s="15"/>
      <c r="R5766" s="15"/>
    </row>
    <row r="5767" spans="1:18" x14ac:dyDescent="0.25">
      <c r="A5767" s="15"/>
      <c r="R5767" s="15"/>
    </row>
    <row r="5768" spans="1:18" x14ac:dyDescent="0.25">
      <c r="A5768" s="15"/>
      <c r="R5768" s="15"/>
    </row>
    <row r="5769" spans="1:18" x14ac:dyDescent="0.25">
      <c r="A5769" s="15"/>
      <c r="R5769" s="15"/>
    </row>
    <row r="5770" spans="1:18" x14ac:dyDescent="0.25">
      <c r="A5770" s="15"/>
      <c r="R5770" s="15"/>
    </row>
    <row r="5771" spans="1:18" x14ac:dyDescent="0.25">
      <c r="A5771" s="15"/>
      <c r="R5771" s="15"/>
    </row>
    <row r="5772" spans="1:18" x14ac:dyDescent="0.25">
      <c r="A5772" s="15"/>
      <c r="R5772" s="15"/>
    </row>
    <row r="5773" spans="1:18" x14ac:dyDescent="0.25">
      <c r="A5773" s="15"/>
      <c r="R5773" s="15"/>
    </row>
    <row r="5774" spans="1:18" x14ac:dyDescent="0.25">
      <c r="A5774" s="15"/>
      <c r="R5774" s="15"/>
    </row>
    <row r="5775" spans="1:18" x14ac:dyDescent="0.25">
      <c r="A5775" s="15"/>
      <c r="R5775" s="15"/>
    </row>
    <row r="5776" spans="1:18" x14ac:dyDescent="0.25">
      <c r="A5776" s="15"/>
      <c r="R5776" s="15"/>
    </row>
    <row r="5777" spans="1:18" x14ac:dyDescent="0.25">
      <c r="A5777" s="15"/>
      <c r="R5777" s="15"/>
    </row>
    <row r="5778" spans="1:18" x14ac:dyDescent="0.25">
      <c r="A5778" s="15"/>
      <c r="R5778" s="15"/>
    </row>
    <row r="5779" spans="1:18" x14ac:dyDescent="0.25">
      <c r="A5779" s="15"/>
      <c r="R5779" s="15"/>
    </row>
    <row r="5780" spans="1:18" x14ac:dyDescent="0.25">
      <c r="A5780" s="15"/>
      <c r="R5780" s="15"/>
    </row>
    <row r="5781" spans="1:18" x14ac:dyDescent="0.25">
      <c r="A5781" s="15"/>
      <c r="R5781" s="15"/>
    </row>
    <row r="5782" spans="1:18" x14ac:dyDescent="0.25">
      <c r="A5782" s="15"/>
      <c r="R5782" s="15"/>
    </row>
    <row r="5783" spans="1:18" x14ac:dyDescent="0.25">
      <c r="A5783" s="15"/>
      <c r="R5783" s="15"/>
    </row>
    <row r="5784" spans="1:18" x14ac:dyDescent="0.25">
      <c r="A5784" s="15"/>
      <c r="R5784" s="15"/>
    </row>
    <row r="5785" spans="1:18" x14ac:dyDescent="0.25">
      <c r="A5785" s="15"/>
      <c r="R5785" s="15"/>
    </row>
    <row r="5786" spans="1:18" x14ac:dyDescent="0.25">
      <c r="A5786" s="15"/>
      <c r="R5786" s="15"/>
    </row>
    <row r="5787" spans="1:18" x14ac:dyDescent="0.25">
      <c r="A5787" s="15"/>
      <c r="R5787" s="15"/>
    </row>
    <row r="5788" spans="1:18" x14ac:dyDescent="0.25">
      <c r="A5788" s="15"/>
      <c r="R5788" s="15"/>
    </row>
    <row r="5789" spans="1:18" x14ac:dyDescent="0.25">
      <c r="A5789" s="15"/>
      <c r="R5789" s="15"/>
    </row>
    <row r="5790" spans="1:18" x14ac:dyDescent="0.25">
      <c r="A5790" s="15"/>
      <c r="R5790" s="15"/>
    </row>
    <row r="5791" spans="1:18" x14ac:dyDescent="0.25">
      <c r="A5791" s="15"/>
      <c r="R5791" s="15"/>
    </row>
    <row r="5792" spans="1:18" x14ac:dyDescent="0.25">
      <c r="A5792" s="15"/>
      <c r="R5792" s="15"/>
    </row>
    <row r="5793" spans="1:18" x14ac:dyDescent="0.25">
      <c r="A5793" s="15"/>
      <c r="R5793" s="15"/>
    </row>
    <row r="5794" spans="1:18" x14ac:dyDescent="0.25">
      <c r="A5794" s="15"/>
      <c r="R5794" s="15"/>
    </row>
    <row r="5795" spans="1:18" x14ac:dyDescent="0.25">
      <c r="A5795" s="15"/>
      <c r="R5795" s="15"/>
    </row>
    <row r="5796" spans="1:18" x14ac:dyDescent="0.25">
      <c r="A5796" s="15"/>
      <c r="R5796" s="15"/>
    </row>
    <row r="5797" spans="1:18" x14ac:dyDescent="0.25">
      <c r="A5797" s="15"/>
      <c r="R5797" s="15"/>
    </row>
    <row r="5798" spans="1:18" x14ac:dyDescent="0.25">
      <c r="A5798" s="15"/>
      <c r="R5798" s="15"/>
    </row>
    <row r="5799" spans="1:18" x14ac:dyDescent="0.25">
      <c r="A5799" s="15"/>
      <c r="R5799" s="15"/>
    </row>
    <row r="5800" spans="1:18" x14ac:dyDescent="0.25">
      <c r="A5800" s="15"/>
      <c r="R5800" s="15"/>
    </row>
    <row r="5801" spans="1:18" x14ac:dyDescent="0.25">
      <c r="A5801" s="15"/>
      <c r="R5801" s="15"/>
    </row>
    <row r="5802" spans="1:18" x14ac:dyDescent="0.25">
      <c r="A5802" s="15"/>
      <c r="R5802" s="15"/>
    </row>
    <row r="5803" spans="1:18" x14ac:dyDescent="0.25">
      <c r="A5803" s="15"/>
      <c r="R5803" s="15"/>
    </row>
    <row r="5804" spans="1:18" x14ac:dyDescent="0.25">
      <c r="A5804" s="15"/>
      <c r="R5804" s="15"/>
    </row>
    <row r="5805" spans="1:18" x14ac:dyDescent="0.25">
      <c r="A5805" s="15"/>
      <c r="R5805" s="15"/>
    </row>
    <row r="5806" spans="1:18" x14ac:dyDescent="0.25">
      <c r="A5806" s="15"/>
      <c r="R5806" s="15"/>
    </row>
    <row r="5807" spans="1:18" x14ac:dyDescent="0.25">
      <c r="A5807" s="15"/>
      <c r="R5807" s="15"/>
    </row>
    <row r="5808" spans="1:18" x14ac:dyDescent="0.25">
      <c r="A5808" s="15"/>
      <c r="R5808" s="15"/>
    </row>
    <row r="5809" spans="1:18" x14ac:dyDescent="0.25">
      <c r="A5809" s="15"/>
      <c r="R5809" s="15"/>
    </row>
    <row r="5810" spans="1:18" x14ac:dyDescent="0.25">
      <c r="A5810" s="15"/>
      <c r="R5810" s="15"/>
    </row>
    <row r="5811" spans="1:18" x14ac:dyDescent="0.25">
      <c r="A5811" s="15"/>
      <c r="R5811" s="15"/>
    </row>
    <row r="5812" spans="1:18" x14ac:dyDescent="0.25">
      <c r="A5812" s="15"/>
      <c r="R5812" s="15"/>
    </row>
    <row r="5813" spans="1:18" x14ac:dyDescent="0.25">
      <c r="A5813" s="15"/>
      <c r="R5813" s="15"/>
    </row>
    <row r="5814" spans="1:18" x14ac:dyDescent="0.25">
      <c r="A5814" s="15"/>
      <c r="R5814" s="15"/>
    </row>
    <row r="5815" spans="1:18" x14ac:dyDescent="0.25">
      <c r="A5815" s="15"/>
      <c r="R5815" s="15"/>
    </row>
    <row r="5816" spans="1:18" x14ac:dyDescent="0.25">
      <c r="A5816" s="15"/>
      <c r="R5816" s="15"/>
    </row>
    <row r="5817" spans="1:18" x14ac:dyDescent="0.25">
      <c r="A5817" s="15"/>
      <c r="R5817" s="15"/>
    </row>
    <row r="5818" spans="1:18" x14ac:dyDescent="0.25">
      <c r="A5818" s="15"/>
      <c r="R5818" s="15"/>
    </row>
    <row r="5819" spans="1:18" x14ac:dyDescent="0.25">
      <c r="A5819" s="15"/>
      <c r="R5819" s="15"/>
    </row>
    <row r="5820" spans="1:18" x14ac:dyDescent="0.25">
      <c r="A5820" s="15"/>
      <c r="R5820" s="15"/>
    </row>
    <row r="5821" spans="1:18" x14ac:dyDescent="0.25">
      <c r="A5821" s="15"/>
      <c r="R5821" s="15"/>
    </row>
    <row r="5822" spans="1:18" x14ac:dyDescent="0.25">
      <c r="A5822" s="15"/>
      <c r="R5822" s="15"/>
    </row>
    <row r="5823" spans="1:18" x14ac:dyDescent="0.25">
      <c r="A5823" s="15"/>
      <c r="R5823" s="15"/>
    </row>
    <row r="5824" spans="1:18" x14ac:dyDescent="0.25">
      <c r="A5824" s="15"/>
      <c r="R5824" s="15"/>
    </row>
    <row r="5825" spans="1:18" x14ac:dyDescent="0.25">
      <c r="A5825" s="15"/>
      <c r="R5825" s="15"/>
    </row>
    <row r="5826" spans="1:18" x14ac:dyDescent="0.25">
      <c r="A5826" s="15"/>
      <c r="R5826" s="15"/>
    </row>
    <row r="5827" spans="1:18" x14ac:dyDescent="0.25">
      <c r="A5827" s="15"/>
      <c r="R5827" s="15"/>
    </row>
    <row r="5828" spans="1:18" x14ac:dyDescent="0.25">
      <c r="A5828" s="15"/>
      <c r="R5828" s="15"/>
    </row>
    <row r="5829" spans="1:18" x14ac:dyDescent="0.25">
      <c r="A5829" s="15"/>
      <c r="R5829" s="15"/>
    </row>
    <row r="5830" spans="1:18" x14ac:dyDescent="0.25">
      <c r="A5830" s="15"/>
      <c r="R5830" s="15"/>
    </row>
    <row r="5831" spans="1:18" x14ac:dyDescent="0.25">
      <c r="A5831" s="15"/>
      <c r="R5831" s="15"/>
    </row>
    <row r="5832" spans="1:18" x14ac:dyDescent="0.25">
      <c r="A5832" s="15"/>
      <c r="R5832" s="15"/>
    </row>
    <row r="5833" spans="1:18" x14ac:dyDescent="0.25">
      <c r="A5833" s="15"/>
      <c r="R5833" s="15"/>
    </row>
    <row r="5834" spans="1:18" x14ac:dyDescent="0.25">
      <c r="A5834" s="15"/>
      <c r="R5834" s="15"/>
    </row>
    <row r="5835" spans="1:18" x14ac:dyDescent="0.25">
      <c r="A5835" s="15"/>
      <c r="R5835" s="15"/>
    </row>
    <row r="5836" spans="1:18" x14ac:dyDescent="0.25">
      <c r="A5836" s="15"/>
      <c r="R5836" s="15"/>
    </row>
    <row r="5837" spans="1:18" x14ac:dyDescent="0.25">
      <c r="A5837" s="15"/>
      <c r="R5837" s="15"/>
    </row>
    <row r="5838" spans="1:18" x14ac:dyDescent="0.25">
      <c r="A5838" s="15"/>
      <c r="R5838" s="15"/>
    </row>
    <row r="5839" spans="1:18" x14ac:dyDescent="0.25">
      <c r="A5839" s="15"/>
      <c r="R5839" s="15"/>
    </row>
    <row r="5840" spans="1:18" x14ac:dyDescent="0.25">
      <c r="A5840" s="15"/>
      <c r="R5840" s="15"/>
    </row>
    <row r="5841" spans="1:18" x14ac:dyDescent="0.25">
      <c r="A5841" s="15"/>
      <c r="R5841" s="15"/>
    </row>
    <row r="5842" spans="1:18" x14ac:dyDescent="0.25">
      <c r="A5842" s="15"/>
      <c r="R5842" s="15"/>
    </row>
    <row r="5843" spans="1:18" x14ac:dyDescent="0.25">
      <c r="A5843" s="15"/>
      <c r="R5843" s="15"/>
    </row>
    <row r="5844" spans="1:18" x14ac:dyDescent="0.25">
      <c r="A5844" s="15"/>
      <c r="R5844" s="15"/>
    </row>
    <row r="5845" spans="1:18" x14ac:dyDescent="0.25">
      <c r="A5845" s="15"/>
      <c r="R5845" s="15"/>
    </row>
    <row r="5846" spans="1:18" x14ac:dyDescent="0.25">
      <c r="A5846" s="15"/>
      <c r="R5846" s="15"/>
    </row>
    <row r="5847" spans="1:18" x14ac:dyDescent="0.25">
      <c r="A5847" s="15"/>
      <c r="R5847" s="15"/>
    </row>
    <row r="5848" spans="1:18" x14ac:dyDescent="0.25">
      <c r="A5848" s="15"/>
      <c r="R5848" s="15"/>
    </row>
    <row r="5849" spans="1:18" x14ac:dyDescent="0.25">
      <c r="A5849" s="15"/>
      <c r="R5849" s="15"/>
    </row>
    <row r="5850" spans="1:18" x14ac:dyDescent="0.25">
      <c r="A5850" s="15"/>
      <c r="R5850" s="15"/>
    </row>
    <row r="5851" spans="1:18" x14ac:dyDescent="0.25">
      <c r="A5851" s="15"/>
      <c r="R5851" s="15"/>
    </row>
    <row r="5852" spans="1:18" x14ac:dyDescent="0.25">
      <c r="A5852" s="15"/>
      <c r="R5852" s="15"/>
    </row>
    <row r="5853" spans="1:18" x14ac:dyDescent="0.25">
      <c r="A5853" s="15"/>
      <c r="R5853" s="15"/>
    </row>
    <row r="5854" spans="1:18" x14ac:dyDescent="0.25">
      <c r="A5854" s="15"/>
      <c r="R5854" s="15"/>
    </row>
    <row r="5855" spans="1:18" x14ac:dyDescent="0.25">
      <c r="A5855" s="15"/>
      <c r="R5855" s="15"/>
    </row>
    <row r="5856" spans="1:18" x14ac:dyDescent="0.25">
      <c r="A5856" s="15"/>
      <c r="R5856" s="15"/>
    </row>
    <row r="5857" spans="1:18" x14ac:dyDescent="0.25">
      <c r="A5857" s="15"/>
      <c r="R5857" s="15"/>
    </row>
    <row r="5858" spans="1:18" x14ac:dyDescent="0.25">
      <c r="A5858" s="15"/>
      <c r="R5858" s="15"/>
    </row>
    <row r="5859" spans="1:18" x14ac:dyDescent="0.25">
      <c r="A5859" s="15"/>
      <c r="R5859" s="15"/>
    </row>
    <row r="5860" spans="1:18" x14ac:dyDescent="0.25">
      <c r="A5860" s="15"/>
      <c r="R5860" s="15"/>
    </row>
    <row r="5861" spans="1:18" x14ac:dyDescent="0.25">
      <c r="A5861" s="15"/>
      <c r="R5861" s="15"/>
    </row>
    <row r="5862" spans="1:18" x14ac:dyDescent="0.25">
      <c r="A5862" s="15"/>
      <c r="R5862" s="15"/>
    </row>
    <row r="5863" spans="1:18" x14ac:dyDescent="0.25">
      <c r="A5863" s="15"/>
      <c r="R5863" s="15"/>
    </row>
    <row r="5864" spans="1:18" x14ac:dyDescent="0.25">
      <c r="A5864" s="15"/>
      <c r="R5864" s="15"/>
    </row>
    <row r="5865" spans="1:18" x14ac:dyDescent="0.25">
      <c r="A5865" s="15"/>
      <c r="R5865" s="15"/>
    </row>
    <row r="5866" spans="1:18" x14ac:dyDescent="0.25">
      <c r="A5866" s="15"/>
      <c r="R5866" s="15"/>
    </row>
    <row r="5867" spans="1:18" x14ac:dyDescent="0.25">
      <c r="A5867" s="15"/>
      <c r="R5867" s="15"/>
    </row>
    <row r="5868" spans="1:18" x14ac:dyDescent="0.25">
      <c r="A5868" s="15"/>
      <c r="R5868" s="15"/>
    </row>
    <row r="5869" spans="1:18" x14ac:dyDescent="0.25">
      <c r="A5869" s="15"/>
      <c r="R5869" s="15"/>
    </row>
    <row r="5870" spans="1:18" x14ac:dyDescent="0.25">
      <c r="A5870" s="15"/>
      <c r="R5870" s="15"/>
    </row>
    <row r="5871" spans="1:18" x14ac:dyDescent="0.25">
      <c r="A5871" s="15"/>
      <c r="R5871" s="15"/>
    </row>
    <row r="5872" spans="1:18" x14ac:dyDescent="0.25">
      <c r="A5872" s="15"/>
      <c r="R5872" s="15"/>
    </row>
    <row r="5873" spans="1:18" x14ac:dyDescent="0.25">
      <c r="A5873" s="15"/>
      <c r="R5873" s="15"/>
    </row>
    <row r="5874" spans="1:18" x14ac:dyDescent="0.25">
      <c r="A5874" s="15"/>
      <c r="R5874" s="15"/>
    </row>
    <row r="5875" spans="1:18" x14ac:dyDescent="0.25">
      <c r="A5875" s="15"/>
      <c r="R5875" s="15"/>
    </row>
    <row r="5876" spans="1:18" x14ac:dyDescent="0.25">
      <c r="A5876" s="15"/>
      <c r="R5876" s="15"/>
    </row>
    <row r="5877" spans="1:18" x14ac:dyDescent="0.25">
      <c r="A5877" s="15"/>
      <c r="R5877" s="15"/>
    </row>
    <row r="5878" spans="1:18" x14ac:dyDescent="0.25">
      <c r="A5878" s="15"/>
      <c r="R5878" s="15"/>
    </row>
    <row r="5879" spans="1:18" x14ac:dyDescent="0.25">
      <c r="A5879" s="15"/>
      <c r="R5879" s="15"/>
    </row>
    <row r="5880" spans="1:18" x14ac:dyDescent="0.25">
      <c r="A5880" s="15"/>
      <c r="R5880" s="15"/>
    </row>
    <row r="5881" spans="1:18" x14ac:dyDescent="0.25">
      <c r="A5881" s="15"/>
      <c r="R5881" s="15"/>
    </row>
    <row r="5882" spans="1:18" x14ac:dyDescent="0.25">
      <c r="A5882" s="15"/>
      <c r="R5882" s="15"/>
    </row>
    <row r="5883" spans="1:18" x14ac:dyDescent="0.25">
      <c r="A5883" s="15"/>
      <c r="R5883" s="15"/>
    </row>
    <row r="5884" spans="1:18" x14ac:dyDescent="0.25">
      <c r="A5884" s="15"/>
      <c r="R5884" s="15"/>
    </row>
    <row r="5885" spans="1:18" x14ac:dyDescent="0.25">
      <c r="A5885" s="15"/>
      <c r="R5885" s="15"/>
    </row>
    <row r="5886" spans="1:18" x14ac:dyDescent="0.25">
      <c r="A5886" s="15"/>
      <c r="R5886" s="15"/>
    </row>
    <row r="5887" spans="1:18" x14ac:dyDescent="0.25">
      <c r="A5887" s="15"/>
      <c r="R5887" s="15"/>
    </row>
    <row r="5888" spans="1:18" x14ac:dyDescent="0.25">
      <c r="A5888" s="15"/>
      <c r="R5888" s="15"/>
    </row>
    <row r="5889" spans="1:18" x14ac:dyDescent="0.25">
      <c r="A5889" s="15"/>
      <c r="R5889" s="15"/>
    </row>
    <row r="5890" spans="1:18" x14ac:dyDescent="0.25">
      <c r="A5890" s="15"/>
      <c r="R5890" s="15"/>
    </row>
    <row r="5891" spans="1:18" x14ac:dyDescent="0.25">
      <c r="A5891" s="15"/>
      <c r="R5891" s="15"/>
    </row>
    <row r="5892" spans="1:18" x14ac:dyDescent="0.25">
      <c r="A5892" s="15"/>
      <c r="R5892" s="15"/>
    </row>
    <row r="5893" spans="1:18" x14ac:dyDescent="0.25">
      <c r="A5893" s="15"/>
      <c r="R5893" s="15"/>
    </row>
    <row r="5894" spans="1:18" x14ac:dyDescent="0.25">
      <c r="A5894" s="15"/>
      <c r="R5894" s="15"/>
    </row>
    <row r="5895" spans="1:18" x14ac:dyDescent="0.25">
      <c r="A5895" s="15"/>
      <c r="R5895" s="15"/>
    </row>
    <row r="5896" spans="1:18" x14ac:dyDescent="0.25">
      <c r="A5896" s="15"/>
      <c r="R5896" s="15"/>
    </row>
    <row r="5897" spans="1:18" x14ac:dyDescent="0.25">
      <c r="A5897" s="15"/>
      <c r="R5897" s="15"/>
    </row>
    <row r="5898" spans="1:18" x14ac:dyDescent="0.25">
      <c r="A5898" s="15"/>
      <c r="R5898" s="15"/>
    </row>
    <row r="5899" spans="1:18" x14ac:dyDescent="0.25">
      <c r="A5899" s="15"/>
      <c r="R5899" s="15"/>
    </row>
    <row r="5900" spans="1:18" x14ac:dyDescent="0.25">
      <c r="A5900" s="15"/>
      <c r="R5900" s="15"/>
    </row>
    <row r="5901" spans="1:18" x14ac:dyDescent="0.25">
      <c r="A5901" s="15"/>
      <c r="R5901" s="15"/>
    </row>
    <row r="5902" spans="1:18" x14ac:dyDescent="0.25">
      <c r="A5902" s="15"/>
      <c r="R5902" s="15"/>
    </row>
    <row r="5903" spans="1:18" x14ac:dyDescent="0.25">
      <c r="A5903" s="15"/>
      <c r="R5903" s="15"/>
    </row>
    <row r="5904" spans="1:18" x14ac:dyDescent="0.25">
      <c r="A5904" s="15"/>
      <c r="R5904" s="15"/>
    </row>
    <row r="5905" spans="1:18" x14ac:dyDescent="0.25">
      <c r="A5905" s="15"/>
      <c r="R5905" s="15"/>
    </row>
    <row r="5906" spans="1:18" x14ac:dyDescent="0.25">
      <c r="A5906" s="15"/>
      <c r="R5906" s="15"/>
    </row>
    <row r="5907" spans="1:18" x14ac:dyDescent="0.25">
      <c r="A5907" s="15"/>
      <c r="R5907" s="15"/>
    </row>
    <row r="5908" spans="1:18" x14ac:dyDescent="0.25">
      <c r="A5908" s="15"/>
      <c r="R5908" s="15"/>
    </row>
    <row r="5909" spans="1:18" x14ac:dyDescent="0.25">
      <c r="A5909" s="15"/>
      <c r="R5909" s="15"/>
    </row>
    <row r="5910" spans="1:18" x14ac:dyDescent="0.25">
      <c r="A5910" s="15"/>
      <c r="R5910" s="15"/>
    </row>
    <row r="5911" spans="1:18" x14ac:dyDescent="0.25">
      <c r="A5911" s="15"/>
      <c r="R5911" s="15"/>
    </row>
    <row r="5912" spans="1:18" x14ac:dyDescent="0.25">
      <c r="A5912" s="15"/>
      <c r="R5912" s="15"/>
    </row>
    <row r="5913" spans="1:18" x14ac:dyDescent="0.25">
      <c r="A5913" s="15"/>
      <c r="R5913" s="15"/>
    </row>
    <row r="5914" spans="1:18" x14ac:dyDescent="0.25">
      <c r="A5914" s="15"/>
      <c r="R5914" s="15"/>
    </row>
    <row r="5915" spans="1:18" x14ac:dyDescent="0.25">
      <c r="A5915" s="15"/>
      <c r="R5915" s="15"/>
    </row>
    <row r="5916" spans="1:18" x14ac:dyDescent="0.25">
      <c r="A5916" s="15"/>
      <c r="R5916" s="15"/>
    </row>
    <row r="5917" spans="1:18" x14ac:dyDescent="0.25">
      <c r="A5917" s="15"/>
      <c r="R5917" s="15"/>
    </row>
    <row r="5918" spans="1:18" x14ac:dyDescent="0.25">
      <c r="A5918" s="15"/>
      <c r="R5918" s="15"/>
    </row>
    <row r="5919" spans="1:18" x14ac:dyDescent="0.25">
      <c r="A5919" s="15"/>
      <c r="R5919" s="15"/>
    </row>
    <row r="5920" spans="1:18" x14ac:dyDescent="0.25">
      <c r="A5920" s="15"/>
      <c r="R5920" s="15"/>
    </row>
    <row r="5921" spans="1:18" x14ac:dyDescent="0.25">
      <c r="A5921" s="15"/>
      <c r="R5921" s="15"/>
    </row>
    <row r="5922" spans="1:18" x14ac:dyDescent="0.25">
      <c r="A5922" s="15"/>
      <c r="R5922" s="15"/>
    </row>
    <row r="5923" spans="1:18" x14ac:dyDescent="0.25">
      <c r="A5923" s="15"/>
      <c r="R5923" s="15"/>
    </row>
    <row r="5924" spans="1:18" x14ac:dyDescent="0.25">
      <c r="A5924" s="15"/>
      <c r="R5924" s="15"/>
    </row>
    <row r="5925" spans="1:18" x14ac:dyDescent="0.25">
      <c r="A5925" s="15"/>
      <c r="R5925" s="15"/>
    </row>
    <row r="5926" spans="1:18" x14ac:dyDescent="0.25">
      <c r="A5926" s="15"/>
      <c r="R5926" s="15"/>
    </row>
    <row r="5927" spans="1:18" x14ac:dyDescent="0.25">
      <c r="A5927" s="15"/>
      <c r="R5927" s="15"/>
    </row>
    <row r="5928" spans="1:18" x14ac:dyDescent="0.25">
      <c r="A5928" s="15"/>
      <c r="R5928" s="15"/>
    </row>
    <row r="5929" spans="1:18" x14ac:dyDescent="0.25">
      <c r="A5929" s="15"/>
      <c r="R5929" s="15"/>
    </row>
    <row r="5930" spans="1:18" x14ac:dyDescent="0.25">
      <c r="A5930" s="15"/>
      <c r="R5930" s="15"/>
    </row>
    <row r="5931" spans="1:18" x14ac:dyDescent="0.25">
      <c r="A5931" s="15"/>
      <c r="R5931" s="15"/>
    </row>
    <row r="5932" spans="1:18" x14ac:dyDescent="0.25">
      <c r="A5932" s="15"/>
      <c r="R5932" s="15"/>
    </row>
    <row r="5933" spans="1:18" x14ac:dyDescent="0.25">
      <c r="A5933" s="15"/>
      <c r="R5933" s="15"/>
    </row>
    <row r="5934" spans="1:18" x14ac:dyDescent="0.25">
      <c r="A5934" s="15"/>
      <c r="R5934" s="15"/>
    </row>
    <row r="5935" spans="1:18" x14ac:dyDescent="0.25">
      <c r="A5935" s="15"/>
      <c r="R5935" s="15"/>
    </row>
    <row r="5936" spans="1:18" x14ac:dyDescent="0.25">
      <c r="A5936" s="15"/>
      <c r="R5936" s="15"/>
    </row>
    <row r="5937" spans="1:18" x14ac:dyDescent="0.25">
      <c r="A5937" s="15"/>
      <c r="R5937" s="15"/>
    </row>
    <row r="5938" spans="1:18" x14ac:dyDescent="0.25">
      <c r="A5938" s="15"/>
      <c r="R5938" s="15"/>
    </row>
    <row r="5939" spans="1:18" x14ac:dyDescent="0.25">
      <c r="A5939" s="15"/>
      <c r="R5939" s="15"/>
    </row>
    <row r="5940" spans="1:18" x14ac:dyDescent="0.25">
      <c r="A5940" s="15"/>
      <c r="R5940" s="15"/>
    </row>
    <row r="5941" spans="1:18" x14ac:dyDescent="0.25">
      <c r="A5941" s="15"/>
      <c r="R5941" s="15"/>
    </row>
    <row r="5942" spans="1:18" x14ac:dyDescent="0.25">
      <c r="A5942" s="15"/>
      <c r="R5942" s="15"/>
    </row>
    <row r="5943" spans="1:18" x14ac:dyDescent="0.25">
      <c r="A5943" s="15"/>
      <c r="R5943" s="15"/>
    </row>
    <row r="5944" spans="1:18" x14ac:dyDescent="0.25">
      <c r="A5944" s="15"/>
      <c r="R5944" s="15"/>
    </row>
    <row r="5945" spans="1:18" x14ac:dyDescent="0.25">
      <c r="A5945" s="15"/>
      <c r="R5945" s="15"/>
    </row>
    <row r="5946" spans="1:18" x14ac:dyDescent="0.25">
      <c r="A5946" s="15"/>
      <c r="R5946" s="15"/>
    </row>
    <row r="5947" spans="1:18" x14ac:dyDescent="0.25">
      <c r="A5947" s="15"/>
      <c r="R5947" s="15"/>
    </row>
    <row r="5948" spans="1:18" x14ac:dyDescent="0.25">
      <c r="A5948" s="15"/>
      <c r="R5948" s="15"/>
    </row>
    <row r="5949" spans="1:18" x14ac:dyDescent="0.25">
      <c r="A5949" s="15"/>
      <c r="R5949" s="15"/>
    </row>
    <row r="5950" spans="1:18" x14ac:dyDescent="0.25">
      <c r="A5950" s="15"/>
      <c r="R5950" s="15"/>
    </row>
    <row r="5951" spans="1:18" x14ac:dyDescent="0.25">
      <c r="A5951" s="15"/>
      <c r="R5951" s="15"/>
    </row>
    <row r="5952" spans="1:18" x14ac:dyDescent="0.25">
      <c r="A5952" s="15"/>
      <c r="R5952" s="15"/>
    </row>
    <row r="5953" spans="1:18" x14ac:dyDescent="0.25">
      <c r="A5953" s="15"/>
      <c r="R5953" s="15"/>
    </row>
    <row r="5954" spans="1:18" x14ac:dyDescent="0.25">
      <c r="A5954" s="15"/>
      <c r="R5954" s="15"/>
    </row>
    <row r="5955" spans="1:18" x14ac:dyDescent="0.25">
      <c r="A5955" s="15"/>
      <c r="R5955" s="15"/>
    </row>
    <row r="5956" spans="1:18" x14ac:dyDescent="0.25">
      <c r="A5956" s="15"/>
      <c r="R5956" s="15"/>
    </row>
    <row r="5957" spans="1:18" x14ac:dyDescent="0.25">
      <c r="A5957" s="15"/>
      <c r="R5957" s="15"/>
    </row>
    <row r="5958" spans="1:18" x14ac:dyDescent="0.25">
      <c r="A5958" s="15"/>
      <c r="R5958" s="15"/>
    </row>
    <row r="5959" spans="1:18" x14ac:dyDescent="0.25">
      <c r="A5959" s="15"/>
      <c r="R5959" s="15"/>
    </row>
    <row r="5960" spans="1:18" x14ac:dyDescent="0.25">
      <c r="A5960" s="15"/>
      <c r="R5960" s="15"/>
    </row>
    <row r="5961" spans="1:18" x14ac:dyDescent="0.25">
      <c r="A5961" s="15"/>
      <c r="R5961" s="15"/>
    </row>
    <row r="5962" spans="1:18" x14ac:dyDescent="0.25">
      <c r="A5962" s="15"/>
      <c r="R5962" s="15"/>
    </row>
    <row r="5963" spans="1:18" x14ac:dyDescent="0.25">
      <c r="A5963" s="15"/>
      <c r="R5963" s="15"/>
    </row>
    <row r="5964" spans="1:18" x14ac:dyDescent="0.25">
      <c r="A5964" s="15"/>
      <c r="R5964" s="15"/>
    </row>
    <row r="5965" spans="1:18" x14ac:dyDescent="0.25">
      <c r="A5965" s="15"/>
      <c r="R5965" s="15"/>
    </row>
    <row r="5966" spans="1:18" x14ac:dyDescent="0.25">
      <c r="A5966" s="15"/>
      <c r="R5966" s="15"/>
    </row>
    <row r="5967" spans="1:18" x14ac:dyDescent="0.25">
      <c r="A5967" s="15"/>
      <c r="R5967" s="15"/>
    </row>
    <row r="5968" spans="1:18" x14ac:dyDescent="0.25">
      <c r="A5968" s="15"/>
      <c r="R5968" s="15"/>
    </row>
    <row r="5969" spans="1:18" x14ac:dyDescent="0.25">
      <c r="A5969" s="15"/>
      <c r="R5969" s="15"/>
    </row>
    <row r="5970" spans="1:18" x14ac:dyDescent="0.25">
      <c r="A5970" s="15"/>
      <c r="R5970" s="15"/>
    </row>
    <row r="5971" spans="1:18" x14ac:dyDescent="0.25">
      <c r="A5971" s="15"/>
      <c r="R5971" s="15"/>
    </row>
    <row r="5972" spans="1:18" x14ac:dyDescent="0.25">
      <c r="A5972" s="15"/>
      <c r="R5972" s="15"/>
    </row>
    <row r="5973" spans="1:18" x14ac:dyDescent="0.25">
      <c r="A5973" s="15"/>
      <c r="R5973" s="15"/>
    </row>
    <row r="5974" spans="1:18" x14ac:dyDescent="0.25">
      <c r="A5974" s="15"/>
      <c r="R5974" s="15"/>
    </row>
    <row r="5975" spans="1:18" x14ac:dyDescent="0.25">
      <c r="A5975" s="15"/>
      <c r="R5975" s="15"/>
    </row>
    <row r="5976" spans="1:18" x14ac:dyDescent="0.25">
      <c r="A5976" s="15"/>
      <c r="R5976" s="15"/>
    </row>
    <row r="5977" spans="1:18" x14ac:dyDescent="0.25">
      <c r="A5977" s="15"/>
      <c r="R5977" s="15"/>
    </row>
    <row r="5978" spans="1:18" x14ac:dyDescent="0.25">
      <c r="A5978" s="15"/>
      <c r="R5978" s="15"/>
    </row>
    <row r="5979" spans="1:18" x14ac:dyDescent="0.25">
      <c r="A5979" s="15"/>
      <c r="R5979" s="15"/>
    </row>
    <row r="5980" spans="1:18" x14ac:dyDescent="0.25">
      <c r="A5980" s="15"/>
      <c r="R5980" s="15"/>
    </row>
    <row r="5981" spans="1:18" x14ac:dyDescent="0.25">
      <c r="A5981" s="15"/>
      <c r="R5981" s="15"/>
    </row>
    <row r="5982" spans="1:18" x14ac:dyDescent="0.25">
      <c r="A5982" s="15"/>
      <c r="R5982" s="15"/>
    </row>
    <row r="5983" spans="1:18" x14ac:dyDescent="0.25">
      <c r="A5983" s="15"/>
      <c r="R5983" s="15"/>
    </row>
    <row r="5984" spans="1:18" x14ac:dyDescent="0.25">
      <c r="A5984" s="15"/>
      <c r="R5984" s="15"/>
    </row>
    <row r="5985" spans="1:18" x14ac:dyDescent="0.25">
      <c r="A5985" s="15"/>
      <c r="R5985" s="15"/>
    </row>
    <row r="5986" spans="1:18" x14ac:dyDescent="0.25">
      <c r="A5986" s="15"/>
      <c r="R5986" s="15"/>
    </row>
    <row r="5987" spans="1:18" x14ac:dyDescent="0.25">
      <c r="A5987" s="15"/>
      <c r="R5987" s="15"/>
    </row>
    <row r="5988" spans="1:18" x14ac:dyDescent="0.25">
      <c r="A5988" s="15"/>
      <c r="R5988" s="15"/>
    </row>
    <row r="5989" spans="1:18" x14ac:dyDescent="0.25">
      <c r="A5989" s="15"/>
      <c r="R5989" s="15"/>
    </row>
    <row r="5990" spans="1:18" x14ac:dyDescent="0.25">
      <c r="A5990" s="15"/>
      <c r="R5990" s="15"/>
    </row>
    <row r="5991" spans="1:18" x14ac:dyDescent="0.25">
      <c r="A5991" s="15"/>
      <c r="R5991" s="15"/>
    </row>
    <row r="5992" spans="1:18" x14ac:dyDescent="0.25">
      <c r="A5992" s="15"/>
      <c r="R5992" s="15"/>
    </row>
    <row r="5993" spans="1:18" x14ac:dyDescent="0.25">
      <c r="A5993" s="15"/>
      <c r="R5993" s="15"/>
    </row>
    <row r="5994" spans="1:18" x14ac:dyDescent="0.25">
      <c r="A5994" s="15"/>
      <c r="R5994" s="15"/>
    </row>
    <row r="5995" spans="1:18" x14ac:dyDescent="0.25">
      <c r="A5995" s="15"/>
      <c r="R5995" s="15"/>
    </row>
    <row r="5996" spans="1:18" x14ac:dyDescent="0.25">
      <c r="A5996" s="15"/>
      <c r="R5996" s="15"/>
    </row>
    <row r="5997" spans="1:18" x14ac:dyDescent="0.25">
      <c r="A5997" s="15"/>
      <c r="R5997" s="15"/>
    </row>
    <row r="5998" spans="1:18" x14ac:dyDescent="0.25">
      <c r="A5998" s="15"/>
      <c r="R5998" s="15"/>
    </row>
    <row r="5999" spans="1:18" x14ac:dyDescent="0.25">
      <c r="A5999" s="15"/>
      <c r="R5999" s="15"/>
    </row>
    <row r="6000" spans="1:18" x14ac:dyDescent="0.25">
      <c r="A6000" s="15"/>
      <c r="R6000" s="15"/>
    </row>
    <row r="6001" spans="1:18" x14ac:dyDescent="0.25">
      <c r="A6001" s="15"/>
      <c r="R6001" s="15"/>
    </row>
    <row r="6002" spans="1:18" x14ac:dyDescent="0.25">
      <c r="A6002" s="15"/>
      <c r="R6002" s="15"/>
    </row>
    <row r="6003" spans="1:18" x14ac:dyDescent="0.25">
      <c r="A6003" s="15"/>
      <c r="R6003" s="15"/>
    </row>
    <row r="6004" spans="1:18" x14ac:dyDescent="0.25">
      <c r="A6004" s="15"/>
      <c r="R6004" s="15"/>
    </row>
    <row r="6005" spans="1:18" x14ac:dyDescent="0.25">
      <c r="A6005" s="15"/>
      <c r="R6005" s="15"/>
    </row>
    <row r="6006" spans="1:18" x14ac:dyDescent="0.25">
      <c r="A6006" s="15"/>
      <c r="R6006" s="15"/>
    </row>
    <row r="6007" spans="1:18" x14ac:dyDescent="0.25">
      <c r="A6007" s="15"/>
      <c r="R6007" s="15"/>
    </row>
    <row r="6008" spans="1:18" x14ac:dyDescent="0.25">
      <c r="A6008" s="15"/>
      <c r="R6008" s="15"/>
    </row>
    <row r="6009" spans="1:18" x14ac:dyDescent="0.25">
      <c r="A6009" s="15"/>
      <c r="R6009" s="15"/>
    </row>
    <row r="6010" spans="1:18" x14ac:dyDescent="0.25">
      <c r="A6010" s="15"/>
      <c r="R6010" s="15"/>
    </row>
    <row r="6011" spans="1:18" x14ac:dyDescent="0.25">
      <c r="A6011" s="15"/>
      <c r="R6011" s="15"/>
    </row>
    <row r="6012" spans="1:18" x14ac:dyDescent="0.25">
      <c r="A6012" s="15"/>
      <c r="R6012" s="15"/>
    </row>
    <row r="6013" spans="1:18" x14ac:dyDescent="0.25">
      <c r="A6013" s="15"/>
      <c r="R6013" s="15"/>
    </row>
    <row r="6014" spans="1:18" x14ac:dyDescent="0.25">
      <c r="A6014" s="15"/>
      <c r="R6014" s="15"/>
    </row>
    <row r="6015" spans="1:18" x14ac:dyDescent="0.25">
      <c r="A6015" s="15"/>
      <c r="R6015" s="15"/>
    </row>
    <row r="6016" spans="1:18" x14ac:dyDescent="0.25">
      <c r="A6016" s="15"/>
      <c r="R6016" s="15"/>
    </row>
    <row r="6017" spans="1:18" x14ac:dyDescent="0.25">
      <c r="A6017" s="15"/>
      <c r="R6017" s="15"/>
    </row>
    <row r="6018" spans="1:18" x14ac:dyDescent="0.25">
      <c r="A6018" s="15"/>
      <c r="R6018" s="15"/>
    </row>
    <row r="6019" spans="1:18" x14ac:dyDescent="0.25">
      <c r="A6019" s="15"/>
      <c r="R6019" s="15"/>
    </row>
    <row r="6020" spans="1:18" x14ac:dyDescent="0.25">
      <c r="A6020" s="15"/>
      <c r="R6020" s="15"/>
    </row>
    <row r="6021" spans="1:18" x14ac:dyDescent="0.25">
      <c r="A6021" s="15"/>
      <c r="R6021" s="15"/>
    </row>
    <row r="6022" spans="1:18" x14ac:dyDescent="0.25">
      <c r="A6022" s="15"/>
      <c r="R6022" s="15"/>
    </row>
    <row r="6023" spans="1:18" x14ac:dyDescent="0.25">
      <c r="A6023" s="15"/>
      <c r="R6023" s="15"/>
    </row>
    <row r="6024" spans="1:18" x14ac:dyDescent="0.25">
      <c r="A6024" s="15"/>
      <c r="R6024" s="15"/>
    </row>
    <row r="6025" spans="1:18" x14ac:dyDescent="0.25">
      <c r="A6025" s="15"/>
      <c r="R6025" s="15"/>
    </row>
    <row r="6026" spans="1:18" x14ac:dyDescent="0.25">
      <c r="A6026" s="15"/>
      <c r="R6026" s="15"/>
    </row>
    <row r="6027" spans="1:18" x14ac:dyDescent="0.25">
      <c r="A6027" s="15"/>
      <c r="R6027" s="15"/>
    </row>
    <row r="6028" spans="1:18" x14ac:dyDescent="0.25">
      <c r="A6028" s="15"/>
      <c r="R6028" s="15"/>
    </row>
    <row r="6029" spans="1:18" x14ac:dyDescent="0.25">
      <c r="A6029" s="15"/>
      <c r="R6029" s="15"/>
    </row>
    <row r="6030" spans="1:18" x14ac:dyDescent="0.25">
      <c r="A6030" s="15"/>
      <c r="R6030" s="15"/>
    </row>
    <row r="6031" spans="1:18" x14ac:dyDescent="0.25">
      <c r="A6031" s="15"/>
      <c r="R6031" s="15"/>
    </row>
    <row r="6032" spans="1:18" x14ac:dyDescent="0.25">
      <c r="A6032" s="15"/>
      <c r="R6032" s="15"/>
    </row>
    <row r="6033" spans="1:18" x14ac:dyDescent="0.25">
      <c r="A6033" s="15"/>
      <c r="R6033" s="15"/>
    </row>
    <row r="6034" spans="1:18" x14ac:dyDescent="0.25">
      <c r="A6034" s="15"/>
      <c r="R6034" s="15"/>
    </row>
    <row r="6035" spans="1:18" x14ac:dyDescent="0.25">
      <c r="A6035" s="15"/>
      <c r="R6035" s="15"/>
    </row>
    <row r="6036" spans="1:18" x14ac:dyDescent="0.25">
      <c r="A6036" s="15"/>
      <c r="R6036" s="15"/>
    </row>
    <row r="6037" spans="1:18" x14ac:dyDescent="0.25">
      <c r="A6037" s="15"/>
      <c r="R6037" s="15"/>
    </row>
    <row r="6038" spans="1:18" x14ac:dyDescent="0.25">
      <c r="A6038" s="15"/>
      <c r="R6038" s="15"/>
    </row>
    <row r="6039" spans="1:18" x14ac:dyDescent="0.25">
      <c r="A6039" s="15"/>
      <c r="R6039" s="15"/>
    </row>
    <row r="6040" spans="1:18" x14ac:dyDescent="0.25">
      <c r="A6040" s="15"/>
      <c r="R6040" s="15"/>
    </row>
    <row r="6041" spans="1:18" x14ac:dyDescent="0.25">
      <c r="A6041" s="15"/>
      <c r="R6041" s="15"/>
    </row>
    <row r="6042" spans="1:18" x14ac:dyDescent="0.25">
      <c r="A6042" s="15"/>
      <c r="R6042" s="15"/>
    </row>
    <row r="6043" spans="1:18" x14ac:dyDescent="0.25">
      <c r="A6043" s="15"/>
      <c r="R6043" s="15"/>
    </row>
    <row r="6044" spans="1:18" x14ac:dyDescent="0.25">
      <c r="A6044" s="15"/>
      <c r="R6044" s="15"/>
    </row>
    <row r="6045" spans="1:18" x14ac:dyDescent="0.25">
      <c r="A6045" s="15"/>
      <c r="R6045" s="15"/>
    </row>
    <row r="6046" spans="1:18" x14ac:dyDescent="0.25">
      <c r="A6046" s="15"/>
      <c r="R6046" s="15"/>
    </row>
    <row r="6047" spans="1:18" x14ac:dyDescent="0.25">
      <c r="A6047" s="15"/>
      <c r="R6047" s="15"/>
    </row>
    <row r="6048" spans="1:18" x14ac:dyDescent="0.25">
      <c r="A6048" s="15"/>
      <c r="R6048" s="15"/>
    </row>
    <row r="6049" spans="1:18" x14ac:dyDescent="0.25">
      <c r="A6049" s="15"/>
      <c r="R6049" s="15"/>
    </row>
    <row r="6050" spans="1:18" x14ac:dyDescent="0.25">
      <c r="A6050" s="15"/>
      <c r="R6050" s="15"/>
    </row>
    <row r="6051" spans="1:18" x14ac:dyDescent="0.25">
      <c r="A6051" s="15"/>
      <c r="R6051" s="15"/>
    </row>
    <row r="6052" spans="1:18" x14ac:dyDescent="0.25">
      <c r="A6052" s="15"/>
      <c r="R6052" s="15"/>
    </row>
    <row r="6053" spans="1:18" x14ac:dyDescent="0.25">
      <c r="A6053" s="15"/>
      <c r="R6053" s="15"/>
    </row>
    <row r="6054" spans="1:18" x14ac:dyDescent="0.25">
      <c r="A6054" s="15"/>
      <c r="R6054" s="15"/>
    </row>
    <row r="6055" spans="1:18" x14ac:dyDescent="0.25">
      <c r="A6055" s="15"/>
      <c r="R6055" s="15"/>
    </row>
    <row r="6056" spans="1:18" x14ac:dyDescent="0.25">
      <c r="A6056" s="15"/>
      <c r="R6056" s="15"/>
    </row>
    <row r="6057" spans="1:18" x14ac:dyDescent="0.25">
      <c r="A6057" s="15"/>
      <c r="R6057" s="15"/>
    </row>
    <row r="6058" spans="1:18" x14ac:dyDescent="0.25">
      <c r="A6058" s="15"/>
      <c r="R6058" s="15"/>
    </row>
    <row r="6059" spans="1:18" x14ac:dyDescent="0.25">
      <c r="A6059" s="15"/>
      <c r="R6059" s="15"/>
    </row>
    <row r="6060" spans="1:18" x14ac:dyDescent="0.25">
      <c r="A6060" s="15"/>
      <c r="R6060" s="15"/>
    </row>
    <row r="6061" spans="1:18" x14ac:dyDescent="0.25">
      <c r="A6061" s="15"/>
      <c r="R6061" s="15"/>
    </row>
    <row r="6062" spans="1:18" x14ac:dyDescent="0.25">
      <c r="A6062" s="15"/>
      <c r="R6062" s="15"/>
    </row>
    <row r="6063" spans="1:18" x14ac:dyDescent="0.25">
      <c r="A6063" s="15"/>
      <c r="R6063" s="15"/>
    </row>
    <row r="6064" spans="1:18" x14ac:dyDescent="0.25">
      <c r="A6064" s="15"/>
      <c r="R6064" s="15"/>
    </row>
    <row r="6065" spans="1:18" x14ac:dyDescent="0.25">
      <c r="A6065" s="15"/>
      <c r="R6065" s="15"/>
    </row>
    <row r="6066" spans="1:18" x14ac:dyDescent="0.25">
      <c r="A6066" s="15"/>
      <c r="R6066" s="15"/>
    </row>
    <row r="6067" spans="1:18" x14ac:dyDescent="0.25">
      <c r="A6067" s="15"/>
      <c r="R6067" s="15"/>
    </row>
    <row r="6068" spans="1:18" x14ac:dyDescent="0.25">
      <c r="A6068" s="15"/>
      <c r="R6068" s="15"/>
    </row>
    <row r="6069" spans="1:18" x14ac:dyDescent="0.25">
      <c r="A6069" s="15"/>
      <c r="R6069" s="15"/>
    </row>
    <row r="6070" spans="1:18" x14ac:dyDescent="0.25">
      <c r="A6070" s="15"/>
      <c r="R6070" s="15"/>
    </row>
    <row r="6071" spans="1:18" x14ac:dyDescent="0.25">
      <c r="A6071" s="15"/>
      <c r="R6071" s="15"/>
    </row>
    <row r="6072" spans="1:18" x14ac:dyDescent="0.25">
      <c r="A6072" s="15"/>
      <c r="R6072" s="15"/>
    </row>
    <row r="6073" spans="1:18" x14ac:dyDescent="0.25">
      <c r="A6073" s="15"/>
      <c r="R6073" s="15"/>
    </row>
    <row r="6074" spans="1:18" x14ac:dyDescent="0.25">
      <c r="A6074" s="15"/>
      <c r="R6074" s="15"/>
    </row>
    <row r="6075" spans="1:18" x14ac:dyDescent="0.25">
      <c r="A6075" s="15"/>
      <c r="R6075" s="15"/>
    </row>
    <row r="6076" spans="1:18" x14ac:dyDescent="0.25">
      <c r="A6076" s="15"/>
      <c r="R6076" s="15"/>
    </row>
    <row r="6077" spans="1:18" x14ac:dyDescent="0.25">
      <c r="A6077" s="15"/>
      <c r="R6077" s="15"/>
    </row>
    <row r="6078" spans="1:18" x14ac:dyDescent="0.25">
      <c r="A6078" s="15"/>
      <c r="R6078" s="15"/>
    </row>
    <row r="6079" spans="1:18" x14ac:dyDescent="0.25">
      <c r="A6079" s="15"/>
      <c r="R6079" s="15"/>
    </row>
    <row r="6080" spans="1:18" x14ac:dyDescent="0.25">
      <c r="A6080" s="15"/>
      <c r="R6080" s="15"/>
    </row>
    <row r="6081" spans="1:18" x14ac:dyDescent="0.25">
      <c r="A6081" s="15"/>
      <c r="R6081" s="15"/>
    </row>
    <row r="6082" spans="1:18" x14ac:dyDescent="0.25">
      <c r="A6082" s="15"/>
      <c r="R6082" s="15"/>
    </row>
    <row r="6083" spans="1:18" x14ac:dyDescent="0.25">
      <c r="A6083" s="15"/>
      <c r="R6083" s="15"/>
    </row>
    <row r="6084" spans="1:18" x14ac:dyDescent="0.25">
      <c r="A6084" s="15"/>
      <c r="R6084" s="15"/>
    </row>
    <row r="6085" spans="1:18" x14ac:dyDescent="0.25">
      <c r="A6085" s="15"/>
      <c r="R6085" s="15"/>
    </row>
    <row r="6086" spans="1:18" x14ac:dyDescent="0.25">
      <c r="A6086" s="15"/>
      <c r="R6086" s="15"/>
    </row>
    <row r="6087" spans="1:18" x14ac:dyDescent="0.25">
      <c r="A6087" s="15"/>
      <c r="R6087" s="15"/>
    </row>
    <row r="6088" spans="1:18" x14ac:dyDescent="0.25">
      <c r="A6088" s="15"/>
      <c r="R6088" s="15"/>
    </row>
    <row r="6089" spans="1:18" x14ac:dyDescent="0.25">
      <c r="A6089" s="15"/>
      <c r="R6089" s="15"/>
    </row>
    <row r="6090" spans="1:18" x14ac:dyDescent="0.25">
      <c r="A6090" s="15"/>
      <c r="R6090" s="15"/>
    </row>
    <row r="6091" spans="1:18" x14ac:dyDescent="0.25">
      <c r="A6091" s="15"/>
      <c r="R6091" s="15"/>
    </row>
    <row r="6092" spans="1:18" x14ac:dyDescent="0.25">
      <c r="A6092" s="15"/>
      <c r="R6092" s="15"/>
    </row>
    <row r="6093" spans="1:18" x14ac:dyDescent="0.25">
      <c r="A6093" s="15"/>
      <c r="R6093" s="15"/>
    </row>
    <row r="6094" spans="1:18" x14ac:dyDescent="0.25">
      <c r="A6094" s="15"/>
      <c r="R6094" s="15"/>
    </row>
    <row r="6095" spans="1:18" x14ac:dyDescent="0.25">
      <c r="A6095" s="15"/>
      <c r="R6095" s="15"/>
    </row>
    <row r="6096" spans="1:18" x14ac:dyDescent="0.25">
      <c r="A6096" s="15"/>
      <c r="R6096" s="15"/>
    </row>
    <row r="6097" spans="1:18" x14ac:dyDescent="0.25">
      <c r="A6097" s="15"/>
      <c r="R6097" s="15"/>
    </row>
    <row r="6098" spans="1:18" x14ac:dyDescent="0.25">
      <c r="A6098" s="15"/>
      <c r="R6098" s="15"/>
    </row>
    <row r="6099" spans="1:18" x14ac:dyDescent="0.25">
      <c r="A6099" s="15"/>
      <c r="R6099" s="15"/>
    </row>
    <row r="6100" spans="1:18" x14ac:dyDescent="0.25">
      <c r="A6100" s="15"/>
      <c r="R6100" s="15"/>
    </row>
    <row r="6101" spans="1:18" x14ac:dyDescent="0.25">
      <c r="A6101" s="15"/>
      <c r="R6101" s="15"/>
    </row>
    <row r="6102" spans="1:18" x14ac:dyDescent="0.25">
      <c r="A6102" s="15"/>
      <c r="R6102" s="15"/>
    </row>
    <row r="6103" spans="1:18" x14ac:dyDescent="0.25">
      <c r="A6103" s="15"/>
      <c r="R6103" s="15"/>
    </row>
    <row r="6104" spans="1:18" x14ac:dyDescent="0.25">
      <c r="A6104" s="15"/>
      <c r="R6104" s="15"/>
    </row>
    <row r="6105" spans="1:18" x14ac:dyDescent="0.25">
      <c r="A6105" s="15"/>
      <c r="R6105" s="15"/>
    </row>
    <row r="6106" spans="1:18" x14ac:dyDescent="0.25">
      <c r="A6106" s="15"/>
      <c r="R6106" s="15"/>
    </row>
    <row r="6107" spans="1:18" x14ac:dyDescent="0.25">
      <c r="A6107" s="15"/>
      <c r="R6107" s="15"/>
    </row>
    <row r="6108" spans="1:18" x14ac:dyDescent="0.25">
      <c r="A6108" s="15"/>
      <c r="R6108" s="15"/>
    </row>
    <row r="6109" spans="1:18" x14ac:dyDescent="0.25">
      <c r="A6109" s="15"/>
      <c r="R6109" s="15"/>
    </row>
    <row r="6110" spans="1:18" x14ac:dyDescent="0.25">
      <c r="A6110" s="15"/>
      <c r="R6110" s="15"/>
    </row>
    <row r="6111" spans="1:18" x14ac:dyDescent="0.25">
      <c r="A6111" s="15"/>
      <c r="R6111" s="15"/>
    </row>
    <row r="6112" spans="1:18" x14ac:dyDescent="0.25">
      <c r="A6112" s="15"/>
      <c r="R6112" s="15"/>
    </row>
    <row r="6113" spans="1:18" x14ac:dyDescent="0.25">
      <c r="A6113" s="15"/>
      <c r="R6113" s="15"/>
    </row>
    <row r="6114" spans="1:18" x14ac:dyDescent="0.25">
      <c r="A6114" s="15"/>
      <c r="R6114" s="15"/>
    </row>
    <row r="6115" spans="1:18" x14ac:dyDescent="0.25">
      <c r="A6115" s="15"/>
      <c r="R6115" s="15"/>
    </row>
    <row r="6116" spans="1:18" x14ac:dyDescent="0.25">
      <c r="A6116" s="15"/>
      <c r="R6116" s="15"/>
    </row>
    <row r="6117" spans="1:18" x14ac:dyDescent="0.25">
      <c r="A6117" s="15"/>
      <c r="R6117" s="15"/>
    </row>
    <row r="6118" spans="1:18" x14ac:dyDescent="0.25">
      <c r="A6118" s="15"/>
      <c r="R6118" s="15"/>
    </row>
    <row r="6119" spans="1:18" x14ac:dyDescent="0.25">
      <c r="A6119" s="15"/>
      <c r="R6119" s="15"/>
    </row>
    <row r="6120" spans="1:18" x14ac:dyDescent="0.25">
      <c r="A6120" s="15"/>
      <c r="R6120" s="15"/>
    </row>
    <row r="6121" spans="1:18" x14ac:dyDescent="0.25">
      <c r="A6121" s="15"/>
      <c r="R6121" s="15"/>
    </row>
    <row r="6122" spans="1:18" x14ac:dyDescent="0.25">
      <c r="A6122" s="15"/>
      <c r="R6122" s="15"/>
    </row>
    <row r="6123" spans="1:18" x14ac:dyDescent="0.25">
      <c r="A6123" s="15"/>
      <c r="R6123" s="15"/>
    </row>
    <row r="6124" spans="1:18" x14ac:dyDescent="0.25">
      <c r="A6124" s="15"/>
      <c r="R6124" s="15"/>
    </row>
    <row r="6125" spans="1:18" x14ac:dyDescent="0.25">
      <c r="A6125" s="15"/>
      <c r="R6125" s="15"/>
    </row>
    <row r="6126" spans="1:18" x14ac:dyDescent="0.25">
      <c r="A6126" s="15"/>
      <c r="R6126" s="15"/>
    </row>
    <row r="6127" spans="1:18" x14ac:dyDescent="0.25">
      <c r="A6127" s="15"/>
      <c r="R6127" s="15"/>
    </row>
    <row r="6128" spans="1:18" x14ac:dyDescent="0.25">
      <c r="A6128" s="15"/>
      <c r="R6128" s="15"/>
    </row>
    <row r="6129" spans="1:18" x14ac:dyDescent="0.25">
      <c r="A6129" s="15"/>
      <c r="R6129" s="15"/>
    </row>
    <row r="6130" spans="1:18" x14ac:dyDescent="0.25">
      <c r="A6130" s="15"/>
      <c r="R6130" s="15"/>
    </row>
    <row r="6131" spans="1:18" x14ac:dyDescent="0.25">
      <c r="A6131" s="15"/>
      <c r="R6131" s="15"/>
    </row>
    <row r="6132" spans="1:18" x14ac:dyDescent="0.25">
      <c r="A6132" s="15"/>
      <c r="R6132" s="15"/>
    </row>
    <row r="6133" spans="1:18" x14ac:dyDescent="0.25">
      <c r="A6133" s="15"/>
      <c r="R6133" s="15"/>
    </row>
    <row r="6134" spans="1:18" x14ac:dyDescent="0.25">
      <c r="A6134" s="15"/>
      <c r="R6134" s="15"/>
    </row>
    <row r="6135" spans="1:18" x14ac:dyDescent="0.25">
      <c r="A6135" s="15"/>
      <c r="R6135" s="15"/>
    </row>
    <row r="6136" spans="1:18" x14ac:dyDescent="0.25">
      <c r="A6136" s="15"/>
      <c r="R6136" s="15"/>
    </row>
    <row r="6137" spans="1:18" x14ac:dyDescent="0.25">
      <c r="A6137" s="15"/>
      <c r="R6137" s="15"/>
    </row>
    <row r="6138" spans="1:18" x14ac:dyDescent="0.25">
      <c r="A6138" s="15"/>
      <c r="R6138" s="15"/>
    </row>
    <row r="6139" spans="1:18" x14ac:dyDescent="0.25">
      <c r="A6139" s="15"/>
      <c r="R6139" s="15"/>
    </row>
    <row r="6140" spans="1:18" x14ac:dyDescent="0.25">
      <c r="A6140" s="15"/>
      <c r="R6140" s="15"/>
    </row>
    <row r="6141" spans="1:18" x14ac:dyDescent="0.25">
      <c r="A6141" s="15"/>
      <c r="R6141" s="15"/>
    </row>
    <row r="6142" spans="1:18" x14ac:dyDescent="0.25">
      <c r="A6142" s="15"/>
      <c r="R6142" s="15"/>
    </row>
    <row r="6143" spans="1:18" x14ac:dyDescent="0.25">
      <c r="A6143" s="15"/>
      <c r="R6143" s="15"/>
    </row>
    <row r="6144" spans="1:18" x14ac:dyDescent="0.25">
      <c r="A6144" s="15"/>
      <c r="R6144" s="15"/>
    </row>
    <row r="6145" spans="1:18" x14ac:dyDescent="0.25">
      <c r="A6145" s="15"/>
      <c r="R6145" s="15"/>
    </row>
    <row r="6146" spans="1:18" x14ac:dyDescent="0.25">
      <c r="A6146" s="15"/>
      <c r="R6146" s="15"/>
    </row>
    <row r="6147" spans="1:18" x14ac:dyDescent="0.25">
      <c r="A6147" s="15"/>
      <c r="R6147" s="15"/>
    </row>
    <row r="6148" spans="1:18" x14ac:dyDescent="0.25">
      <c r="A6148" s="15"/>
      <c r="R6148" s="15"/>
    </row>
    <row r="6149" spans="1:18" x14ac:dyDescent="0.25">
      <c r="A6149" s="15"/>
      <c r="R6149" s="15"/>
    </row>
    <row r="6150" spans="1:18" x14ac:dyDescent="0.25">
      <c r="A6150" s="15"/>
      <c r="R6150" s="15"/>
    </row>
    <row r="6151" spans="1:18" x14ac:dyDescent="0.25">
      <c r="A6151" s="15"/>
      <c r="R6151" s="15"/>
    </row>
    <row r="6152" spans="1:18" x14ac:dyDescent="0.25">
      <c r="A6152" s="15"/>
      <c r="R6152" s="15"/>
    </row>
    <row r="6153" spans="1:18" x14ac:dyDescent="0.25">
      <c r="A6153" s="15"/>
      <c r="R6153" s="15"/>
    </row>
    <row r="6154" spans="1:18" x14ac:dyDescent="0.25">
      <c r="A6154" s="15"/>
      <c r="R6154" s="15"/>
    </row>
    <row r="6155" spans="1:18" x14ac:dyDescent="0.25">
      <c r="A6155" s="15"/>
      <c r="R6155" s="15"/>
    </row>
    <row r="6156" spans="1:18" x14ac:dyDescent="0.25">
      <c r="A6156" s="15"/>
      <c r="R6156" s="15"/>
    </row>
    <row r="6157" spans="1:18" x14ac:dyDescent="0.25">
      <c r="A6157" s="15"/>
      <c r="R6157" s="15"/>
    </row>
    <row r="6158" spans="1:18" x14ac:dyDescent="0.25">
      <c r="A6158" s="15"/>
      <c r="R6158" s="15"/>
    </row>
    <row r="6159" spans="1:18" x14ac:dyDescent="0.25">
      <c r="A6159" s="15"/>
      <c r="R6159" s="15"/>
    </row>
    <row r="6160" spans="1:18" x14ac:dyDescent="0.25">
      <c r="A6160" s="15"/>
      <c r="R6160" s="15"/>
    </row>
    <row r="6161" spans="1:18" x14ac:dyDescent="0.25">
      <c r="A6161" s="15"/>
      <c r="R6161" s="15"/>
    </row>
    <row r="6162" spans="1:18" x14ac:dyDescent="0.25">
      <c r="A6162" s="15"/>
      <c r="R6162" s="15"/>
    </row>
    <row r="6163" spans="1:18" x14ac:dyDescent="0.25">
      <c r="A6163" s="15"/>
      <c r="R6163" s="15"/>
    </row>
    <row r="6164" spans="1:18" x14ac:dyDescent="0.25">
      <c r="A6164" s="15"/>
      <c r="R6164" s="15"/>
    </row>
    <row r="6165" spans="1:18" x14ac:dyDescent="0.25">
      <c r="A6165" s="15"/>
      <c r="R6165" s="15"/>
    </row>
    <row r="6166" spans="1:18" x14ac:dyDescent="0.25">
      <c r="A6166" s="15"/>
      <c r="R6166" s="15"/>
    </row>
    <row r="6167" spans="1:18" x14ac:dyDescent="0.25">
      <c r="A6167" s="15"/>
      <c r="R6167" s="15"/>
    </row>
    <row r="6168" spans="1:18" x14ac:dyDescent="0.25">
      <c r="A6168" s="15"/>
      <c r="R6168" s="15"/>
    </row>
    <row r="6169" spans="1:18" x14ac:dyDescent="0.25">
      <c r="A6169" s="15"/>
      <c r="R6169" s="15"/>
    </row>
    <row r="6170" spans="1:18" x14ac:dyDescent="0.25">
      <c r="A6170" s="15"/>
      <c r="R6170" s="15"/>
    </row>
    <row r="6171" spans="1:18" x14ac:dyDescent="0.25">
      <c r="A6171" s="15"/>
      <c r="R6171" s="15"/>
    </row>
    <row r="6172" spans="1:18" x14ac:dyDescent="0.25">
      <c r="A6172" s="15"/>
      <c r="R6172" s="15"/>
    </row>
    <row r="6173" spans="1:18" x14ac:dyDescent="0.25">
      <c r="A6173" s="15"/>
      <c r="R6173" s="15"/>
    </row>
    <row r="6174" spans="1:18" x14ac:dyDescent="0.25">
      <c r="A6174" s="15"/>
      <c r="R6174" s="15"/>
    </row>
    <row r="6175" spans="1:18" x14ac:dyDescent="0.25">
      <c r="A6175" s="15"/>
      <c r="R6175" s="15"/>
    </row>
    <row r="6176" spans="1:18" x14ac:dyDescent="0.25">
      <c r="A6176" s="15"/>
      <c r="R6176" s="15"/>
    </row>
    <row r="6177" spans="1:18" x14ac:dyDescent="0.25">
      <c r="A6177" s="15"/>
      <c r="R6177" s="15"/>
    </row>
    <row r="6178" spans="1:18" x14ac:dyDescent="0.25">
      <c r="A6178" s="15"/>
      <c r="R6178" s="15"/>
    </row>
    <row r="6179" spans="1:18" x14ac:dyDescent="0.25">
      <c r="A6179" s="15"/>
      <c r="R6179" s="15"/>
    </row>
    <row r="6180" spans="1:18" x14ac:dyDescent="0.25">
      <c r="A6180" s="15"/>
      <c r="R6180" s="15"/>
    </row>
    <row r="6181" spans="1:18" x14ac:dyDescent="0.25">
      <c r="A6181" s="15"/>
      <c r="R6181" s="15"/>
    </row>
    <row r="6182" spans="1:18" x14ac:dyDescent="0.25">
      <c r="A6182" s="15"/>
      <c r="R6182" s="15"/>
    </row>
    <row r="6183" spans="1:18" x14ac:dyDescent="0.25">
      <c r="A6183" s="15"/>
      <c r="R6183" s="15"/>
    </row>
    <row r="6184" spans="1:18" x14ac:dyDescent="0.25">
      <c r="A6184" s="15"/>
      <c r="R6184" s="15"/>
    </row>
    <row r="6185" spans="1:18" x14ac:dyDescent="0.25">
      <c r="A6185" s="15"/>
      <c r="R6185" s="15"/>
    </row>
    <row r="6186" spans="1:18" x14ac:dyDescent="0.25">
      <c r="A6186" s="15"/>
      <c r="R6186" s="15"/>
    </row>
    <row r="6187" spans="1:18" x14ac:dyDescent="0.25">
      <c r="A6187" s="15"/>
      <c r="R6187" s="15"/>
    </row>
    <row r="6188" spans="1:18" x14ac:dyDescent="0.25">
      <c r="A6188" s="15"/>
      <c r="R6188" s="15"/>
    </row>
    <row r="6189" spans="1:18" x14ac:dyDescent="0.25">
      <c r="A6189" s="15"/>
      <c r="R6189" s="15"/>
    </row>
    <row r="6190" spans="1:18" x14ac:dyDescent="0.25">
      <c r="A6190" s="15"/>
      <c r="R6190" s="15"/>
    </row>
    <row r="6191" spans="1:18" x14ac:dyDescent="0.25">
      <c r="A6191" s="15"/>
      <c r="R6191" s="15"/>
    </row>
    <row r="6192" spans="1:18" x14ac:dyDescent="0.25">
      <c r="A6192" s="15"/>
      <c r="R6192" s="15"/>
    </row>
    <row r="6193" spans="1:18" x14ac:dyDescent="0.25">
      <c r="A6193" s="15"/>
      <c r="R6193" s="15"/>
    </row>
    <row r="6194" spans="1:18" x14ac:dyDescent="0.25">
      <c r="A6194" s="15"/>
      <c r="R6194" s="15"/>
    </row>
    <row r="6195" spans="1:18" x14ac:dyDescent="0.25">
      <c r="A6195" s="15"/>
      <c r="R6195" s="15"/>
    </row>
    <row r="6196" spans="1:18" x14ac:dyDescent="0.25">
      <c r="A6196" s="15"/>
      <c r="R6196" s="15"/>
    </row>
    <row r="6197" spans="1:18" x14ac:dyDescent="0.25">
      <c r="A6197" s="15"/>
      <c r="R6197" s="15"/>
    </row>
    <row r="6198" spans="1:18" x14ac:dyDescent="0.25">
      <c r="A6198" s="15"/>
      <c r="R6198" s="15"/>
    </row>
    <row r="6199" spans="1:18" x14ac:dyDescent="0.25">
      <c r="A6199" s="15"/>
      <c r="R6199" s="15"/>
    </row>
    <row r="6200" spans="1:18" x14ac:dyDescent="0.25">
      <c r="A6200" s="15"/>
      <c r="R6200" s="15"/>
    </row>
    <row r="6201" spans="1:18" x14ac:dyDescent="0.25">
      <c r="A6201" s="15"/>
      <c r="R6201" s="15"/>
    </row>
    <row r="6202" spans="1:18" x14ac:dyDescent="0.25">
      <c r="A6202" s="15"/>
      <c r="R6202" s="15"/>
    </row>
    <row r="6203" spans="1:18" x14ac:dyDescent="0.25">
      <c r="A6203" s="15"/>
      <c r="R6203" s="15"/>
    </row>
    <row r="6204" spans="1:18" x14ac:dyDescent="0.25">
      <c r="A6204" s="15"/>
      <c r="R6204" s="15"/>
    </row>
    <row r="6205" spans="1:18" x14ac:dyDescent="0.25">
      <c r="A6205" s="15"/>
      <c r="R6205" s="15"/>
    </row>
    <row r="6206" spans="1:18" x14ac:dyDescent="0.25">
      <c r="A6206" s="15"/>
      <c r="R6206" s="15"/>
    </row>
    <row r="6207" spans="1:18" x14ac:dyDescent="0.25">
      <c r="A6207" s="15"/>
      <c r="R6207" s="15"/>
    </row>
    <row r="6208" spans="1:18" x14ac:dyDescent="0.25">
      <c r="A6208" s="15"/>
      <c r="R6208" s="15"/>
    </row>
    <row r="6209" spans="1:18" x14ac:dyDescent="0.25">
      <c r="A6209" s="15"/>
      <c r="R6209" s="15"/>
    </row>
    <row r="6210" spans="1:18" x14ac:dyDescent="0.25">
      <c r="A6210" s="15"/>
      <c r="R6210" s="15"/>
    </row>
    <row r="6211" spans="1:18" x14ac:dyDescent="0.25">
      <c r="A6211" s="15"/>
      <c r="R6211" s="15"/>
    </row>
    <row r="6212" spans="1:18" x14ac:dyDescent="0.25">
      <c r="A6212" s="15"/>
      <c r="R6212" s="15"/>
    </row>
    <row r="6213" spans="1:18" x14ac:dyDescent="0.25">
      <c r="A6213" s="15"/>
      <c r="R6213" s="15"/>
    </row>
    <row r="6214" spans="1:18" x14ac:dyDescent="0.25">
      <c r="A6214" s="15"/>
      <c r="R6214" s="15"/>
    </row>
    <row r="6215" spans="1:18" x14ac:dyDescent="0.25">
      <c r="A6215" s="15"/>
      <c r="R6215" s="15"/>
    </row>
    <row r="6216" spans="1:18" x14ac:dyDescent="0.25">
      <c r="A6216" s="15"/>
      <c r="R6216" s="15"/>
    </row>
    <row r="6217" spans="1:18" x14ac:dyDescent="0.25">
      <c r="A6217" s="15"/>
      <c r="R6217" s="15"/>
    </row>
    <row r="6218" spans="1:18" x14ac:dyDescent="0.25">
      <c r="A6218" s="15"/>
      <c r="R6218" s="15"/>
    </row>
    <row r="6219" spans="1:18" x14ac:dyDescent="0.25">
      <c r="A6219" s="15"/>
      <c r="R6219" s="15"/>
    </row>
    <row r="6220" spans="1:18" x14ac:dyDescent="0.25">
      <c r="A6220" s="15"/>
      <c r="R6220" s="15"/>
    </row>
    <row r="6221" spans="1:18" x14ac:dyDescent="0.25">
      <c r="A6221" s="15"/>
      <c r="R6221" s="15"/>
    </row>
    <row r="6222" spans="1:18" x14ac:dyDescent="0.25">
      <c r="A6222" s="15"/>
      <c r="R6222" s="15"/>
    </row>
    <row r="6223" spans="1:18" x14ac:dyDescent="0.25">
      <c r="A6223" s="15"/>
      <c r="R6223" s="15"/>
    </row>
    <row r="6224" spans="1:18" x14ac:dyDescent="0.25">
      <c r="A6224" s="15"/>
      <c r="R6224" s="15"/>
    </row>
    <row r="6225" spans="1:18" x14ac:dyDescent="0.25">
      <c r="A6225" s="15"/>
      <c r="R6225" s="15"/>
    </row>
    <row r="6226" spans="1:18" x14ac:dyDescent="0.25">
      <c r="A6226" s="15"/>
      <c r="R6226" s="15"/>
    </row>
    <row r="6227" spans="1:18" x14ac:dyDescent="0.25">
      <c r="A6227" s="15"/>
      <c r="R6227" s="15"/>
    </row>
    <row r="6228" spans="1:18" x14ac:dyDescent="0.25">
      <c r="A6228" s="15"/>
      <c r="R6228" s="15"/>
    </row>
    <row r="6229" spans="1:18" x14ac:dyDescent="0.25">
      <c r="A6229" s="15"/>
      <c r="R6229" s="15"/>
    </row>
    <row r="6230" spans="1:18" x14ac:dyDescent="0.25">
      <c r="A6230" s="15"/>
      <c r="R6230" s="15"/>
    </row>
    <row r="6231" spans="1:18" x14ac:dyDescent="0.25">
      <c r="A6231" s="15"/>
      <c r="R6231" s="15"/>
    </row>
    <row r="6232" spans="1:18" x14ac:dyDescent="0.25">
      <c r="A6232" s="15"/>
      <c r="R6232" s="15"/>
    </row>
    <row r="6233" spans="1:18" x14ac:dyDescent="0.25">
      <c r="A6233" s="15"/>
      <c r="R6233" s="15"/>
    </row>
    <row r="6234" spans="1:18" x14ac:dyDescent="0.25">
      <c r="A6234" s="15"/>
      <c r="R6234" s="15"/>
    </row>
    <row r="6235" spans="1:18" x14ac:dyDescent="0.25">
      <c r="A6235" s="15"/>
      <c r="R6235" s="15"/>
    </row>
    <row r="6236" spans="1:18" x14ac:dyDescent="0.25">
      <c r="A6236" s="15"/>
      <c r="R6236" s="15"/>
    </row>
    <row r="6237" spans="1:18" x14ac:dyDescent="0.25">
      <c r="A6237" s="15"/>
      <c r="R6237" s="15"/>
    </row>
    <row r="6238" spans="1:18" x14ac:dyDescent="0.25">
      <c r="A6238" s="15"/>
      <c r="R6238" s="15"/>
    </row>
    <row r="6239" spans="1:18" x14ac:dyDescent="0.25">
      <c r="A6239" s="15"/>
      <c r="R6239" s="15"/>
    </row>
    <row r="6240" spans="1:18" x14ac:dyDescent="0.25">
      <c r="A6240" s="15"/>
      <c r="R6240" s="15"/>
    </row>
    <row r="6241" spans="1:18" x14ac:dyDescent="0.25">
      <c r="A6241" s="15"/>
      <c r="R6241" s="15"/>
    </row>
    <row r="6242" spans="1:18" x14ac:dyDescent="0.25">
      <c r="A6242" s="15"/>
      <c r="R6242" s="15"/>
    </row>
    <row r="6243" spans="1:18" x14ac:dyDescent="0.25">
      <c r="A6243" s="15"/>
      <c r="R6243" s="15"/>
    </row>
    <row r="6244" spans="1:18" x14ac:dyDescent="0.25">
      <c r="A6244" s="15"/>
      <c r="R6244" s="15"/>
    </row>
    <row r="6245" spans="1:18" x14ac:dyDescent="0.25">
      <c r="A6245" s="15"/>
      <c r="R6245" s="15"/>
    </row>
    <row r="6246" spans="1:18" x14ac:dyDescent="0.25">
      <c r="A6246" s="15"/>
      <c r="R6246" s="15"/>
    </row>
    <row r="6247" spans="1:18" x14ac:dyDescent="0.25">
      <c r="A6247" s="15"/>
      <c r="R6247" s="15"/>
    </row>
    <row r="6248" spans="1:18" x14ac:dyDescent="0.25">
      <c r="A6248" s="15"/>
      <c r="R6248" s="15"/>
    </row>
    <row r="6249" spans="1:18" x14ac:dyDescent="0.25">
      <c r="A6249" s="15"/>
      <c r="R6249" s="15"/>
    </row>
    <row r="6250" spans="1:18" x14ac:dyDescent="0.25">
      <c r="A6250" s="15"/>
      <c r="R6250" s="15"/>
    </row>
    <row r="6251" spans="1:18" x14ac:dyDescent="0.25">
      <c r="A6251" s="15"/>
      <c r="R6251" s="15"/>
    </row>
    <row r="6252" spans="1:18" x14ac:dyDescent="0.25">
      <c r="A6252" s="15"/>
      <c r="R6252" s="15"/>
    </row>
    <row r="6253" spans="1:18" x14ac:dyDescent="0.25">
      <c r="A6253" s="15"/>
      <c r="R6253" s="15"/>
    </row>
    <row r="6254" spans="1:18" x14ac:dyDescent="0.25">
      <c r="A6254" s="15"/>
      <c r="R6254" s="15"/>
    </row>
    <row r="6255" spans="1:18" x14ac:dyDescent="0.25">
      <c r="A6255" s="15"/>
      <c r="R6255" s="15"/>
    </row>
    <row r="6256" spans="1:18" x14ac:dyDescent="0.25">
      <c r="A6256" s="15"/>
      <c r="R6256" s="15"/>
    </row>
    <row r="6257" spans="1:18" x14ac:dyDescent="0.25">
      <c r="A6257" s="15"/>
      <c r="R6257" s="15"/>
    </row>
    <row r="6258" spans="1:18" x14ac:dyDescent="0.25">
      <c r="A6258" s="15"/>
      <c r="R6258" s="15"/>
    </row>
    <row r="6259" spans="1:18" x14ac:dyDescent="0.25">
      <c r="A6259" s="15"/>
      <c r="R6259" s="15"/>
    </row>
    <row r="6260" spans="1:18" x14ac:dyDescent="0.25">
      <c r="A6260" s="15"/>
      <c r="R6260" s="15"/>
    </row>
    <row r="6261" spans="1:18" x14ac:dyDescent="0.25">
      <c r="A6261" s="15"/>
      <c r="R6261" s="15"/>
    </row>
    <row r="6262" spans="1:18" x14ac:dyDescent="0.25">
      <c r="A6262" s="15"/>
      <c r="R6262" s="15"/>
    </row>
    <row r="6263" spans="1:18" x14ac:dyDescent="0.25">
      <c r="A6263" s="15"/>
      <c r="R6263" s="15"/>
    </row>
    <row r="6264" spans="1:18" x14ac:dyDescent="0.25">
      <c r="A6264" s="15"/>
      <c r="R6264" s="15"/>
    </row>
    <row r="6265" spans="1:18" x14ac:dyDescent="0.25">
      <c r="A6265" s="15"/>
      <c r="R6265" s="15"/>
    </row>
    <row r="6266" spans="1:18" x14ac:dyDescent="0.25">
      <c r="A6266" s="15"/>
      <c r="R6266" s="15"/>
    </row>
    <row r="6267" spans="1:18" x14ac:dyDescent="0.25">
      <c r="A6267" s="15"/>
      <c r="R6267" s="15"/>
    </row>
    <row r="6268" spans="1:18" x14ac:dyDescent="0.25">
      <c r="A6268" s="15"/>
      <c r="R6268" s="15"/>
    </row>
    <row r="6269" spans="1:18" x14ac:dyDescent="0.25">
      <c r="A6269" s="15"/>
      <c r="R6269" s="15"/>
    </row>
    <row r="6270" spans="1:18" x14ac:dyDescent="0.25">
      <c r="A6270" s="15"/>
      <c r="R6270" s="15"/>
    </row>
    <row r="6271" spans="1:18" x14ac:dyDescent="0.25">
      <c r="A6271" s="15"/>
      <c r="R6271" s="15"/>
    </row>
    <row r="6272" spans="1:18" x14ac:dyDescent="0.25">
      <c r="A6272" s="15"/>
      <c r="R6272" s="15"/>
    </row>
    <row r="6273" spans="1:18" x14ac:dyDescent="0.25">
      <c r="A6273" s="15"/>
      <c r="R6273" s="15"/>
    </row>
    <row r="6274" spans="1:18" x14ac:dyDescent="0.25">
      <c r="A6274" s="15"/>
      <c r="R6274" s="15"/>
    </row>
    <row r="6275" spans="1:18" x14ac:dyDescent="0.25">
      <c r="A6275" s="15"/>
      <c r="R6275" s="15"/>
    </row>
    <row r="6276" spans="1:18" x14ac:dyDescent="0.25">
      <c r="A6276" s="15"/>
      <c r="R6276" s="15"/>
    </row>
    <row r="6277" spans="1:18" x14ac:dyDescent="0.25">
      <c r="A6277" s="15"/>
      <c r="R6277" s="15"/>
    </row>
    <row r="6278" spans="1:18" x14ac:dyDescent="0.25">
      <c r="A6278" s="15"/>
      <c r="R6278" s="15"/>
    </row>
    <row r="6279" spans="1:18" x14ac:dyDescent="0.25">
      <c r="A6279" s="15"/>
      <c r="R6279" s="15"/>
    </row>
    <row r="6280" spans="1:18" x14ac:dyDescent="0.25">
      <c r="A6280" s="15"/>
      <c r="R6280" s="15"/>
    </row>
    <row r="6281" spans="1:18" x14ac:dyDescent="0.25">
      <c r="A6281" s="15"/>
      <c r="R6281" s="15"/>
    </row>
    <row r="6282" spans="1:18" x14ac:dyDescent="0.25">
      <c r="A6282" s="15"/>
      <c r="R6282" s="15"/>
    </row>
    <row r="6283" spans="1:18" x14ac:dyDescent="0.25">
      <c r="A6283" s="15"/>
      <c r="R6283" s="15"/>
    </row>
    <row r="6284" spans="1:18" x14ac:dyDescent="0.25">
      <c r="A6284" s="15"/>
      <c r="R6284" s="15"/>
    </row>
    <row r="6285" spans="1:18" x14ac:dyDescent="0.25">
      <c r="A6285" s="15"/>
      <c r="R6285" s="15"/>
    </row>
    <row r="6286" spans="1:18" x14ac:dyDescent="0.25">
      <c r="A6286" s="15"/>
      <c r="R6286" s="15"/>
    </row>
    <row r="6287" spans="1:18" x14ac:dyDescent="0.25">
      <c r="A6287" s="15"/>
      <c r="R6287" s="15"/>
    </row>
    <row r="6288" spans="1:18" x14ac:dyDescent="0.25">
      <c r="A6288" s="15"/>
      <c r="R6288" s="15"/>
    </row>
    <row r="6289" spans="1:18" x14ac:dyDescent="0.25">
      <c r="A6289" s="15"/>
      <c r="R6289" s="15"/>
    </row>
    <row r="6290" spans="1:18" x14ac:dyDescent="0.25">
      <c r="A6290" s="15"/>
      <c r="R6290" s="15"/>
    </row>
    <row r="6291" spans="1:18" x14ac:dyDescent="0.25">
      <c r="A6291" s="15"/>
      <c r="R6291" s="15"/>
    </row>
    <row r="6292" spans="1:18" x14ac:dyDescent="0.25">
      <c r="A6292" s="15"/>
      <c r="R6292" s="15"/>
    </row>
    <row r="6293" spans="1:18" x14ac:dyDescent="0.25">
      <c r="A6293" s="15"/>
      <c r="R6293" s="15"/>
    </row>
    <row r="6294" spans="1:18" x14ac:dyDescent="0.25">
      <c r="A6294" s="15"/>
      <c r="R6294" s="15"/>
    </row>
    <row r="6295" spans="1:18" x14ac:dyDescent="0.25">
      <c r="A6295" s="15"/>
      <c r="R6295" s="15"/>
    </row>
    <row r="6296" spans="1:18" x14ac:dyDescent="0.25">
      <c r="A6296" s="15"/>
      <c r="R6296" s="15"/>
    </row>
    <row r="6297" spans="1:18" x14ac:dyDescent="0.25">
      <c r="A6297" s="15"/>
      <c r="R6297" s="15"/>
    </row>
    <row r="6298" spans="1:18" x14ac:dyDescent="0.25">
      <c r="A6298" s="15"/>
      <c r="R6298" s="15"/>
    </row>
    <row r="6299" spans="1:18" x14ac:dyDescent="0.25">
      <c r="A6299" s="15"/>
      <c r="R6299" s="15"/>
    </row>
    <row r="6300" spans="1:18" x14ac:dyDescent="0.25">
      <c r="A6300" s="15"/>
      <c r="R6300" s="15"/>
    </row>
    <row r="6301" spans="1:18" x14ac:dyDescent="0.25">
      <c r="A6301" s="15"/>
      <c r="R6301" s="15"/>
    </row>
    <row r="6302" spans="1:18" x14ac:dyDescent="0.25">
      <c r="A6302" s="15"/>
      <c r="R6302" s="15"/>
    </row>
    <row r="6303" spans="1:18" x14ac:dyDescent="0.25">
      <c r="A6303" s="15"/>
      <c r="R6303" s="15"/>
    </row>
    <row r="6304" spans="1:18" x14ac:dyDescent="0.25">
      <c r="A6304" s="15"/>
      <c r="R6304" s="15"/>
    </row>
    <row r="6305" spans="1:18" x14ac:dyDescent="0.25">
      <c r="A6305" s="15"/>
      <c r="R6305" s="15"/>
    </row>
    <row r="6306" spans="1:18" x14ac:dyDescent="0.25">
      <c r="A6306" s="15"/>
      <c r="R6306" s="15"/>
    </row>
    <row r="6307" spans="1:18" x14ac:dyDescent="0.25">
      <c r="A6307" s="15"/>
      <c r="R6307" s="15"/>
    </row>
    <row r="6308" spans="1:18" x14ac:dyDescent="0.25">
      <c r="A6308" s="15"/>
      <c r="R6308" s="15"/>
    </row>
    <row r="6309" spans="1:18" x14ac:dyDescent="0.25">
      <c r="A6309" s="15"/>
      <c r="R6309" s="15"/>
    </row>
    <row r="6310" spans="1:18" x14ac:dyDescent="0.25">
      <c r="A6310" s="15"/>
      <c r="R6310" s="15"/>
    </row>
    <row r="6311" spans="1:18" x14ac:dyDescent="0.25">
      <c r="A6311" s="15"/>
      <c r="R6311" s="15"/>
    </row>
    <row r="6312" spans="1:18" x14ac:dyDescent="0.25">
      <c r="A6312" s="15"/>
      <c r="R6312" s="15"/>
    </row>
    <row r="6313" spans="1:18" x14ac:dyDescent="0.25">
      <c r="A6313" s="15"/>
      <c r="R6313" s="15"/>
    </row>
    <row r="6314" spans="1:18" x14ac:dyDescent="0.25">
      <c r="A6314" s="15"/>
      <c r="R6314" s="15"/>
    </row>
    <row r="6315" spans="1:18" x14ac:dyDescent="0.25">
      <c r="A6315" s="15"/>
      <c r="R6315" s="15"/>
    </row>
    <row r="6316" spans="1:18" x14ac:dyDescent="0.25">
      <c r="A6316" s="15"/>
      <c r="R6316" s="15"/>
    </row>
    <row r="6317" spans="1:18" x14ac:dyDescent="0.25">
      <c r="A6317" s="15"/>
      <c r="R6317" s="15"/>
    </row>
    <row r="6318" spans="1:18" x14ac:dyDescent="0.25">
      <c r="A6318" s="15"/>
      <c r="R6318" s="15"/>
    </row>
    <row r="6319" spans="1:18" x14ac:dyDescent="0.25">
      <c r="A6319" s="15"/>
      <c r="R6319" s="15"/>
    </row>
    <row r="6320" spans="1:18" x14ac:dyDescent="0.25">
      <c r="A6320" s="15"/>
      <c r="R6320" s="15"/>
    </row>
    <row r="6321" spans="1:18" x14ac:dyDescent="0.25">
      <c r="A6321" s="15"/>
      <c r="R6321" s="15"/>
    </row>
    <row r="6322" spans="1:18" x14ac:dyDescent="0.25">
      <c r="A6322" s="15"/>
      <c r="R6322" s="15"/>
    </row>
    <row r="6323" spans="1:18" x14ac:dyDescent="0.25">
      <c r="A6323" s="15"/>
      <c r="R6323" s="15"/>
    </row>
    <row r="6324" spans="1:18" x14ac:dyDescent="0.25">
      <c r="A6324" s="15"/>
      <c r="R6324" s="15"/>
    </row>
    <row r="6325" spans="1:18" x14ac:dyDescent="0.25">
      <c r="A6325" s="15"/>
      <c r="R6325" s="15"/>
    </row>
    <row r="6326" spans="1:18" x14ac:dyDescent="0.25">
      <c r="A6326" s="15"/>
      <c r="R6326" s="15"/>
    </row>
    <row r="6327" spans="1:18" x14ac:dyDescent="0.25">
      <c r="A6327" s="15"/>
      <c r="R6327" s="15"/>
    </row>
    <row r="6328" spans="1:18" x14ac:dyDescent="0.25">
      <c r="A6328" s="15"/>
      <c r="R6328" s="15"/>
    </row>
    <row r="6329" spans="1:18" x14ac:dyDescent="0.25">
      <c r="A6329" s="15"/>
      <c r="R6329" s="15"/>
    </row>
    <row r="6330" spans="1:18" x14ac:dyDescent="0.25">
      <c r="A6330" s="15"/>
      <c r="R6330" s="15"/>
    </row>
    <row r="6331" spans="1:18" x14ac:dyDescent="0.25">
      <c r="A6331" s="15"/>
      <c r="R6331" s="15"/>
    </row>
    <row r="6332" spans="1:18" x14ac:dyDescent="0.25">
      <c r="A6332" s="15"/>
      <c r="R6332" s="15"/>
    </row>
    <row r="6333" spans="1:18" x14ac:dyDescent="0.25">
      <c r="A6333" s="15"/>
      <c r="R6333" s="15"/>
    </row>
    <row r="6334" spans="1:18" x14ac:dyDescent="0.25">
      <c r="A6334" s="15"/>
      <c r="R6334" s="15"/>
    </row>
    <row r="6335" spans="1:18" x14ac:dyDescent="0.25">
      <c r="A6335" s="15"/>
      <c r="R6335" s="15"/>
    </row>
    <row r="6336" spans="1:18" x14ac:dyDescent="0.25">
      <c r="A6336" s="15"/>
      <c r="R6336" s="15"/>
    </row>
    <row r="6337" spans="1:18" x14ac:dyDescent="0.25">
      <c r="A6337" s="15"/>
      <c r="R6337" s="15"/>
    </row>
    <row r="6338" spans="1:18" x14ac:dyDescent="0.25">
      <c r="A6338" s="15"/>
      <c r="R6338" s="15"/>
    </row>
    <row r="6339" spans="1:18" x14ac:dyDescent="0.25">
      <c r="A6339" s="15"/>
      <c r="R6339" s="15"/>
    </row>
    <row r="6340" spans="1:18" x14ac:dyDescent="0.25">
      <c r="A6340" s="15"/>
      <c r="R6340" s="15"/>
    </row>
    <row r="6341" spans="1:18" x14ac:dyDescent="0.25">
      <c r="A6341" s="15"/>
      <c r="R6341" s="15"/>
    </row>
    <row r="6342" spans="1:18" x14ac:dyDescent="0.25">
      <c r="A6342" s="15"/>
      <c r="R6342" s="15"/>
    </row>
    <row r="6343" spans="1:18" x14ac:dyDescent="0.25">
      <c r="A6343" s="15"/>
      <c r="R6343" s="15"/>
    </row>
    <row r="6344" spans="1:18" x14ac:dyDescent="0.25">
      <c r="A6344" s="15"/>
      <c r="R6344" s="15"/>
    </row>
    <row r="6345" spans="1:18" x14ac:dyDescent="0.25">
      <c r="A6345" s="15"/>
      <c r="R6345" s="15"/>
    </row>
    <row r="6346" spans="1:18" x14ac:dyDescent="0.25">
      <c r="A6346" s="15"/>
      <c r="R6346" s="15"/>
    </row>
    <row r="6347" spans="1:18" x14ac:dyDescent="0.25">
      <c r="A6347" s="15"/>
      <c r="R6347" s="15"/>
    </row>
    <row r="6348" spans="1:18" x14ac:dyDescent="0.25">
      <c r="A6348" s="15"/>
      <c r="R6348" s="15"/>
    </row>
    <row r="6349" spans="1:18" x14ac:dyDescent="0.25">
      <c r="A6349" s="15"/>
      <c r="R6349" s="15"/>
    </row>
    <row r="6350" spans="1:18" x14ac:dyDescent="0.25">
      <c r="A6350" s="15"/>
      <c r="R6350" s="15"/>
    </row>
    <row r="6351" spans="1:18" x14ac:dyDescent="0.25">
      <c r="A6351" s="15"/>
      <c r="R6351" s="15"/>
    </row>
    <row r="6352" spans="1:18" x14ac:dyDescent="0.25">
      <c r="A6352" s="15"/>
      <c r="R6352" s="15"/>
    </row>
    <row r="6353" spans="1:18" x14ac:dyDescent="0.25">
      <c r="A6353" s="15"/>
      <c r="R6353" s="15"/>
    </row>
    <row r="6354" spans="1:18" x14ac:dyDescent="0.25">
      <c r="A6354" s="15"/>
      <c r="R6354" s="15"/>
    </row>
    <row r="6355" spans="1:18" x14ac:dyDescent="0.25">
      <c r="A6355" s="15"/>
      <c r="R6355" s="15"/>
    </row>
    <row r="6356" spans="1:18" x14ac:dyDescent="0.25">
      <c r="A6356" s="15"/>
      <c r="R6356" s="15"/>
    </row>
    <row r="6357" spans="1:18" x14ac:dyDescent="0.25">
      <c r="A6357" s="15"/>
      <c r="R6357" s="15"/>
    </row>
    <row r="6358" spans="1:18" x14ac:dyDescent="0.25">
      <c r="A6358" s="15"/>
      <c r="R6358" s="15"/>
    </row>
    <row r="6359" spans="1:18" x14ac:dyDescent="0.25">
      <c r="A6359" s="15"/>
      <c r="R6359" s="15"/>
    </row>
    <row r="6360" spans="1:18" x14ac:dyDescent="0.25">
      <c r="A6360" s="15"/>
      <c r="R6360" s="15"/>
    </row>
    <row r="6361" spans="1:18" x14ac:dyDescent="0.25">
      <c r="A6361" s="15"/>
      <c r="R6361" s="15"/>
    </row>
    <row r="6362" spans="1:18" x14ac:dyDescent="0.25">
      <c r="A6362" s="15"/>
      <c r="R6362" s="15"/>
    </row>
    <row r="6363" spans="1:18" x14ac:dyDescent="0.25">
      <c r="A6363" s="15"/>
      <c r="R6363" s="15"/>
    </row>
    <row r="6364" spans="1:18" x14ac:dyDescent="0.25">
      <c r="A6364" s="15"/>
      <c r="R6364" s="15"/>
    </row>
    <row r="6365" spans="1:18" x14ac:dyDescent="0.25">
      <c r="A6365" s="15"/>
      <c r="R6365" s="15"/>
    </row>
    <row r="6366" spans="1:18" x14ac:dyDescent="0.25">
      <c r="A6366" s="15"/>
      <c r="R6366" s="15"/>
    </row>
    <row r="6367" spans="1:18" x14ac:dyDescent="0.25">
      <c r="A6367" s="15"/>
      <c r="R6367" s="15"/>
    </row>
    <row r="6368" spans="1:18" x14ac:dyDescent="0.25">
      <c r="A6368" s="15"/>
      <c r="R6368" s="15"/>
    </row>
    <row r="6369" spans="1:18" x14ac:dyDescent="0.25">
      <c r="A6369" s="15"/>
      <c r="R6369" s="15"/>
    </row>
    <row r="6370" spans="1:18" x14ac:dyDescent="0.25">
      <c r="A6370" s="15"/>
      <c r="R6370" s="15"/>
    </row>
    <row r="6371" spans="1:18" x14ac:dyDescent="0.25">
      <c r="A6371" s="15"/>
      <c r="R6371" s="15"/>
    </row>
    <row r="6372" spans="1:18" x14ac:dyDescent="0.25">
      <c r="A6372" s="15"/>
      <c r="R6372" s="15"/>
    </row>
    <row r="6373" spans="1:18" x14ac:dyDescent="0.25">
      <c r="A6373" s="15"/>
      <c r="R6373" s="15"/>
    </row>
    <row r="6374" spans="1:18" x14ac:dyDescent="0.25">
      <c r="A6374" s="15"/>
      <c r="R6374" s="15"/>
    </row>
    <row r="6375" spans="1:18" x14ac:dyDescent="0.25">
      <c r="A6375" s="15"/>
      <c r="R6375" s="15"/>
    </row>
    <row r="6376" spans="1:18" x14ac:dyDescent="0.25">
      <c r="A6376" s="15"/>
      <c r="R6376" s="15"/>
    </row>
    <row r="6377" spans="1:18" x14ac:dyDescent="0.25">
      <c r="A6377" s="15"/>
      <c r="R6377" s="15"/>
    </row>
    <row r="6378" spans="1:18" x14ac:dyDescent="0.25">
      <c r="A6378" s="15"/>
      <c r="R6378" s="15"/>
    </row>
    <row r="6379" spans="1:18" x14ac:dyDescent="0.25">
      <c r="A6379" s="15"/>
      <c r="R6379" s="15"/>
    </row>
    <row r="6380" spans="1:18" x14ac:dyDescent="0.25">
      <c r="A6380" s="15"/>
      <c r="R6380" s="15"/>
    </row>
    <row r="6381" spans="1:18" x14ac:dyDescent="0.25">
      <c r="A6381" s="15"/>
      <c r="R6381" s="15"/>
    </row>
    <row r="6382" spans="1:18" x14ac:dyDescent="0.25">
      <c r="A6382" s="15"/>
      <c r="R6382" s="15"/>
    </row>
    <row r="6383" spans="1:18" x14ac:dyDescent="0.25">
      <c r="A6383" s="15"/>
      <c r="R6383" s="15"/>
    </row>
    <row r="6384" spans="1:18" x14ac:dyDescent="0.25">
      <c r="A6384" s="15"/>
      <c r="R6384" s="15"/>
    </row>
    <row r="6385" spans="1:18" x14ac:dyDescent="0.25">
      <c r="A6385" s="15"/>
      <c r="R6385" s="15"/>
    </row>
    <row r="6386" spans="1:18" x14ac:dyDescent="0.25">
      <c r="A6386" s="15"/>
      <c r="R6386" s="15"/>
    </row>
    <row r="6387" spans="1:18" x14ac:dyDescent="0.25">
      <c r="A6387" s="15"/>
      <c r="R6387" s="15"/>
    </row>
    <row r="6388" spans="1:18" x14ac:dyDescent="0.25">
      <c r="A6388" s="15"/>
      <c r="R6388" s="15"/>
    </row>
    <row r="6389" spans="1:18" x14ac:dyDescent="0.25">
      <c r="A6389" s="15"/>
      <c r="R6389" s="15"/>
    </row>
    <row r="6390" spans="1:18" x14ac:dyDescent="0.25">
      <c r="A6390" s="15"/>
      <c r="R6390" s="15"/>
    </row>
    <row r="6391" spans="1:18" x14ac:dyDescent="0.25">
      <c r="A6391" s="15"/>
      <c r="R6391" s="15"/>
    </row>
    <row r="6392" spans="1:18" x14ac:dyDescent="0.25">
      <c r="A6392" s="15"/>
      <c r="R6392" s="15"/>
    </row>
    <row r="6393" spans="1:18" x14ac:dyDescent="0.25">
      <c r="A6393" s="15"/>
      <c r="R6393" s="15"/>
    </row>
    <row r="6394" spans="1:18" x14ac:dyDescent="0.25">
      <c r="A6394" s="15"/>
      <c r="R6394" s="15"/>
    </row>
    <row r="6395" spans="1:18" x14ac:dyDescent="0.25">
      <c r="A6395" s="15"/>
      <c r="R6395" s="15"/>
    </row>
    <row r="6396" spans="1:18" x14ac:dyDescent="0.25">
      <c r="A6396" s="15"/>
      <c r="R6396" s="15"/>
    </row>
    <row r="6397" spans="1:18" x14ac:dyDescent="0.25">
      <c r="A6397" s="15"/>
      <c r="R6397" s="15"/>
    </row>
    <row r="6398" spans="1:18" x14ac:dyDescent="0.25">
      <c r="A6398" s="15"/>
      <c r="R6398" s="15"/>
    </row>
    <row r="6399" spans="1:18" x14ac:dyDescent="0.25">
      <c r="A6399" s="15"/>
      <c r="R6399" s="15"/>
    </row>
    <row r="6400" spans="1:18" x14ac:dyDescent="0.25">
      <c r="A6400" s="15"/>
      <c r="R6400" s="15"/>
    </row>
    <row r="6401" spans="1:18" x14ac:dyDescent="0.25">
      <c r="A6401" s="15"/>
      <c r="R6401" s="15"/>
    </row>
    <row r="6402" spans="1:18" x14ac:dyDescent="0.25">
      <c r="A6402" s="15"/>
      <c r="R6402" s="15"/>
    </row>
    <row r="6403" spans="1:18" x14ac:dyDescent="0.25">
      <c r="A6403" s="15"/>
      <c r="R6403" s="15"/>
    </row>
    <row r="6404" spans="1:18" x14ac:dyDescent="0.25">
      <c r="A6404" s="15"/>
      <c r="R6404" s="15"/>
    </row>
    <row r="6405" spans="1:18" x14ac:dyDescent="0.25">
      <c r="A6405" s="15"/>
      <c r="R6405" s="15"/>
    </row>
    <row r="6406" spans="1:18" x14ac:dyDescent="0.25">
      <c r="A6406" s="15"/>
      <c r="R6406" s="15"/>
    </row>
    <row r="6407" spans="1:18" x14ac:dyDescent="0.25">
      <c r="A6407" s="15"/>
      <c r="R6407" s="15"/>
    </row>
    <row r="6408" spans="1:18" x14ac:dyDescent="0.25">
      <c r="A6408" s="15"/>
      <c r="R6408" s="15"/>
    </row>
    <row r="6409" spans="1:18" x14ac:dyDescent="0.25">
      <c r="A6409" s="15"/>
      <c r="R6409" s="15"/>
    </row>
    <row r="6410" spans="1:18" x14ac:dyDescent="0.25">
      <c r="A6410" s="15"/>
      <c r="R6410" s="15"/>
    </row>
    <row r="6411" spans="1:18" x14ac:dyDescent="0.25">
      <c r="A6411" s="15"/>
      <c r="R6411" s="15"/>
    </row>
    <row r="6412" spans="1:18" x14ac:dyDescent="0.25">
      <c r="A6412" s="15"/>
      <c r="R6412" s="15"/>
    </row>
    <row r="6413" spans="1:18" x14ac:dyDescent="0.25">
      <c r="A6413" s="15"/>
      <c r="R6413" s="15"/>
    </row>
    <row r="6414" spans="1:18" x14ac:dyDescent="0.25">
      <c r="A6414" s="15"/>
      <c r="R6414" s="15"/>
    </row>
    <row r="6415" spans="1:18" x14ac:dyDescent="0.25">
      <c r="A6415" s="15"/>
      <c r="R6415" s="15"/>
    </row>
    <row r="6416" spans="1:18" x14ac:dyDescent="0.25">
      <c r="A6416" s="15"/>
      <c r="R6416" s="15"/>
    </row>
    <row r="6417" spans="1:18" x14ac:dyDescent="0.25">
      <c r="A6417" s="15"/>
      <c r="R6417" s="15"/>
    </row>
    <row r="6418" spans="1:18" x14ac:dyDescent="0.25">
      <c r="A6418" s="15"/>
      <c r="R6418" s="15"/>
    </row>
    <row r="6419" spans="1:18" x14ac:dyDescent="0.25">
      <c r="A6419" s="15"/>
      <c r="R6419" s="15"/>
    </row>
    <row r="6420" spans="1:18" x14ac:dyDescent="0.25">
      <c r="A6420" s="15"/>
      <c r="R6420" s="15"/>
    </row>
    <row r="6421" spans="1:18" x14ac:dyDescent="0.25">
      <c r="A6421" s="15"/>
      <c r="R6421" s="15"/>
    </row>
    <row r="6422" spans="1:18" x14ac:dyDescent="0.25">
      <c r="A6422" s="15"/>
      <c r="R6422" s="15"/>
    </row>
    <row r="6423" spans="1:18" x14ac:dyDescent="0.25">
      <c r="A6423" s="15"/>
      <c r="R6423" s="15"/>
    </row>
    <row r="6424" spans="1:18" x14ac:dyDescent="0.25">
      <c r="A6424" s="15"/>
      <c r="R6424" s="15"/>
    </row>
    <row r="6425" spans="1:18" x14ac:dyDescent="0.25">
      <c r="A6425" s="15"/>
      <c r="R6425" s="15"/>
    </row>
    <row r="6426" spans="1:18" x14ac:dyDescent="0.25">
      <c r="A6426" s="15"/>
      <c r="R6426" s="15"/>
    </row>
    <row r="6427" spans="1:18" x14ac:dyDescent="0.25">
      <c r="A6427" s="15"/>
      <c r="R6427" s="15"/>
    </row>
    <row r="6428" spans="1:18" x14ac:dyDescent="0.25">
      <c r="A6428" s="15"/>
      <c r="R6428" s="15"/>
    </row>
    <row r="6429" spans="1:18" x14ac:dyDescent="0.25">
      <c r="A6429" s="15"/>
      <c r="R6429" s="15"/>
    </row>
    <row r="6430" spans="1:18" x14ac:dyDescent="0.25">
      <c r="A6430" s="15"/>
      <c r="R6430" s="15"/>
    </row>
    <row r="6431" spans="1:18" x14ac:dyDescent="0.25">
      <c r="A6431" s="15"/>
      <c r="R6431" s="15"/>
    </row>
    <row r="6432" spans="1:18" x14ac:dyDescent="0.25">
      <c r="A6432" s="15"/>
      <c r="R6432" s="15"/>
    </row>
    <row r="6433" spans="1:18" x14ac:dyDescent="0.25">
      <c r="A6433" s="15"/>
      <c r="R6433" s="15"/>
    </row>
    <row r="6434" spans="1:18" x14ac:dyDescent="0.25">
      <c r="A6434" s="15"/>
      <c r="R6434" s="15"/>
    </row>
    <row r="6435" spans="1:18" x14ac:dyDescent="0.25">
      <c r="A6435" s="15"/>
      <c r="R6435" s="15"/>
    </row>
    <row r="6436" spans="1:18" x14ac:dyDescent="0.25">
      <c r="A6436" s="15"/>
      <c r="R6436" s="15"/>
    </row>
    <row r="6437" spans="1:18" x14ac:dyDescent="0.25">
      <c r="A6437" s="15"/>
      <c r="R6437" s="15"/>
    </row>
    <row r="6438" spans="1:18" x14ac:dyDescent="0.25">
      <c r="A6438" s="15"/>
      <c r="R6438" s="15"/>
    </row>
    <row r="6439" spans="1:18" x14ac:dyDescent="0.25">
      <c r="A6439" s="15"/>
      <c r="R6439" s="15"/>
    </row>
    <row r="6440" spans="1:18" x14ac:dyDescent="0.25">
      <c r="A6440" s="15"/>
      <c r="R6440" s="15"/>
    </row>
    <row r="6441" spans="1:18" x14ac:dyDescent="0.25">
      <c r="A6441" s="15"/>
      <c r="R6441" s="15"/>
    </row>
    <row r="6442" spans="1:18" x14ac:dyDescent="0.25">
      <c r="A6442" s="15"/>
      <c r="R6442" s="15"/>
    </row>
    <row r="6443" spans="1:18" x14ac:dyDescent="0.25">
      <c r="A6443" s="15"/>
      <c r="R6443" s="15"/>
    </row>
    <row r="6444" spans="1:18" x14ac:dyDescent="0.25">
      <c r="A6444" s="15"/>
      <c r="R6444" s="15"/>
    </row>
    <row r="6445" spans="1:18" x14ac:dyDescent="0.25">
      <c r="A6445" s="15"/>
      <c r="R6445" s="15"/>
    </row>
    <row r="6446" spans="1:18" x14ac:dyDescent="0.25">
      <c r="A6446" s="15"/>
      <c r="R6446" s="15"/>
    </row>
    <row r="6447" spans="1:18" x14ac:dyDescent="0.25">
      <c r="A6447" s="15"/>
      <c r="R6447" s="15"/>
    </row>
    <row r="6448" spans="1:18" x14ac:dyDescent="0.25">
      <c r="A6448" s="15"/>
      <c r="R6448" s="15"/>
    </row>
    <row r="6449" spans="1:18" x14ac:dyDescent="0.25">
      <c r="A6449" s="15"/>
      <c r="R6449" s="15"/>
    </row>
    <row r="6450" spans="1:18" x14ac:dyDescent="0.25">
      <c r="A6450" s="15"/>
      <c r="R6450" s="15"/>
    </row>
    <row r="6451" spans="1:18" x14ac:dyDescent="0.25">
      <c r="A6451" s="15"/>
      <c r="R6451" s="15"/>
    </row>
    <row r="6452" spans="1:18" x14ac:dyDescent="0.25">
      <c r="A6452" s="15"/>
      <c r="R6452" s="15"/>
    </row>
    <row r="6453" spans="1:18" x14ac:dyDescent="0.25">
      <c r="A6453" s="15"/>
      <c r="R6453" s="15"/>
    </row>
    <row r="6454" spans="1:18" x14ac:dyDescent="0.25">
      <c r="A6454" s="15"/>
      <c r="R6454" s="15"/>
    </row>
    <row r="6455" spans="1:18" x14ac:dyDescent="0.25">
      <c r="A6455" s="15"/>
      <c r="R6455" s="15"/>
    </row>
    <row r="6456" spans="1:18" x14ac:dyDescent="0.25">
      <c r="A6456" s="15"/>
      <c r="R6456" s="15"/>
    </row>
    <row r="6457" spans="1:18" x14ac:dyDescent="0.25">
      <c r="A6457" s="15"/>
      <c r="R6457" s="15"/>
    </row>
    <row r="6458" spans="1:18" x14ac:dyDescent="0.25">
      <c r="A6458" s="15"/>
      <c r="R6458" s="15"/>
    </row>
    <row r="6459" spans="1:18" x14ac:dyDescent="0.25">
      <c r="A6459" s="15"/>
      <c r="R6459" s="15"/>
    </row>
    <row r="6460" spans="1:18" x14ac:dyDescent="0.25">
      <c r="A6460" s="15"/>
      <c r="R6460" s="15"/>
    </row>
    <row r="6461" spans="1:18" x14ac:dyDescent="0.25">
      <c r="A6461" s="15"/>
      <c r="R6461" s="15"/>
    </row>
    <row r="6462" spans="1:18" x14ac:dyDescent="0.25">
      <c r="A6462" s="15"/>
      <c r="R6462" s="15"/>
    </row>
    <row r="6463" spans="1:18" x14ac:dyDescent="0.25">
      <c r="A6463" s="15"/>
      <c r="R6463" s="15"/>
    </row>
    <row r="6464" spans="1:18" x14ac:dyDescent="0.25">
      <c r="A6464" s="15"/>
      <c r="R6464" s="15"/>
    </row>
    <row r="6465" spans="1:18" x14ac:dyDescent="0.25">
      <c r="A6465" s="15"/>
      <c r="R6465" s="15"/>
    </row>
    <row r="6466" spans="1:18" x14ac:dyDescent="0.25">
      <c r="A6466" s="15"/>
      <c r="R6466" s="15"/>
    </row>
    <row r="6467" spans="1:18" x14ac:dyDescent="0.25">
      <c r="A6467" s="15"/>
      <c r="R6467" s="15"/>
    </row>
    <row r="6468" spans="1:18" x14ac:dyDescent="0.25">
      <c r="A6468" s="15"/>
      <c r="R6468" s="15"/>
    </row>
    <row r="6469" spans="1:18" x14ac:dyDescent="0.25">
      <c r="A6469" s="15"/>
      <c r="R6469" s="15"/>
    </row>
    <row r="6470" spans="1:18" x14ac:dyDescent="0.25">
      <c r="A6470" s="15"/>
      <c r="R6470" s="15"/>
    </row>
    <row r="6471" spans="1:18" x14ac:dyDescent="0.25">
      <c r="A6471" s="15"/>
      <c r="R6471" s="15"/>
    </row>
    <row r="6472" spans="1:18" x14ac:dyDescent="0.25">
      <c r="A6472" s="15"/>
      <c r="R6472" s="15"/>
    </row>
    <row r="6473" spans="1:18" x14ac:dyDescent="0.25">
      <c r="A6473" s="15"/>
      <c r="R6473" s="15"/>
    </row>
    <row r="6474" spans="1:18" x14ac:dyDescent="0.25">
      <c r="A6474" s="15"/>
      <c r="R6474" s="15"/>
    </row>
    <row r="6475" spans="1:18" x14ac:dyDescent="0.25">
      <c r="A6475" s="15"/>
      <c r="R6475" s="15"/>
    </row>
    <row r="6476" spans="1:18" x14ac:dyDescent="0.25">
      <c r="A6476" s="15"/>
      <c r="R6476" s="15"/>
    </row>
    <row r="6477" spans="1:18" x14ac:dyDescent="0.25">
      <c r="A6477" s="15"/>
      <c r="R6477" s="15"/>
    </row>
    <row r="6478" spans="1:18" x14ac:dyDescent="0.25">
      <c r="A6478" s="15"/>
      <c r="R6478" s="15"/>
    </row>
    <row r="6479" spans="1:18" x14ac:dyDescent="0.25">
      <c r="A6479" s="15"/>
      <c r="R6479" s="15"/>
    </row>
    <row r="6480" spans="1:18" x14ac:dyDescent="0.25">
      <c r="A6480" s="15"/>
      <c r="R6480" s="15"/>
    </row>
    <row r="6481" spans="1:18" x14ac:dyDescent="0.25">
      <c r="A6481" s="15"/>
      <c r="R6481" s="15"/>
    </row>
    <row r="6482" spans="1:18" x14ac:dyDescent="0.25">
      <c r="A6482" s="15"/>
      <c r="R6482" s="15"/>
    </row>
    <row r="6483" spans="1:18" x14ac:dyDescent="0.25">
      <c r="A6483" s="15"/>
      <c r="R6483" s="15"/>
    </row>
    <row r="6484" spans="1:18" x14ac:dyDescent="0.25">
      <c r="A6484" s="15"/>
      <c r="R6484" s="15"/>
    </row>
    <row r="6485" spans="1:18" x14ac:dyDescent="0.25">
      <c r="A6485" s="15"/>
      <c r="R6485" s="15"/>
    </row>
    <row r="6486" spans="1:18" x14ac:dyDescent="0.25">
      <c r="A6486" s="15"/>
      <c r="R6486" s="15"/>
    </row>
    <row r="6487" spans="1:18" x14ac:dyDescent="0.25">
      <c r="A6487" s="15"/>
      <c r="R6487" s="15"/>
    </row>
    <row r="6488" spans="1:18" x14ac:dyDescent="0.25">
      <c r="A6488" s="15"/>
      <c r="R6488" s="15"/>
    </row>
    <row r="6489" spans="1:18" x14ac:dyDescent="0.25">
      <c r="A6489" s="15"/>
      <c r="R6489" s="15"/>
    </row>
    <row r="6490" spans="1:18" x14ac:dyDescent="0.25">
      <c r="A6490" s="15"/>
      <c r="R6490" s="15"/>
    </row>
    <row r="6491" spans="1:18" x14ac:dyDescent="0.25">
      <c r="A6491" s="15"/>
      <c r="R6491" s="15"/>
    </row>
    <row r="6492" spans="1:18" x14ac:dyDescent="0.25">
      <c r="A6492" s="15"/>
      <c r="R6492" s="15"/>
    </row>
    <row r="6493" spans="1:18" x14ac:dyDescent="0.25">
      <c r="A6493" s="15"/>
      <c r="R6493" s="15"/>
    </row>
    <row r="6494" spans="1:18" x14ac:dyDescent="0.25">
      <c r="A6494" s="15"/>
      <c r="R6494" s="15"/>
    </row>
    <row r="6495" spans="1:18" x14ac:dyDescent="0.25">
      <c r="A6495" s="15"/>
      <c r="R6495" s="15"/>
    </row>
    <row r="6496" spans="1:18" x14ac:dyDescent="0.25">
      <c r="A6496" s="15"/>
      <c r="R6496" s="15"/>
    </row>
    <row r="6497" spans="1:18" x14ac:dyDescent="0.25">
      <c r="A6497" s="15"/>
      <c r="R6497" s="15"/>
    </row>
    <row r="6498" spans="1:18" x14ac:dyDescent="0.25">
      <c r="A6498" s="15"/>
      <c r="R6498" s="15"/>
    </row>
    <row r="6499" spans="1:18" x14ac:dyDescent="0.25">
      <c r="A6499" s="15"/>
      <c r="R6499" s="15"/>
    </row>
    <row r="6500" spans="1:18" x14ac:dyDescent="0.25">
      <c r="A6500" s="15"/>
      <c r="R6500" s="15"/>
    </row>
    <row r="6501" spans="1:18" x14ac:dyDescent="0.25">
      <c r="A6501" s="15"/>
      <c r="R6501" s="15"/>
    </row>
    <row r="6502" spans="1:18" x14ac:dyDescent="0.25">
      <c r="A6502" s="15"/>
      <c r="R6502" s="15"/>
    </row>
    <row r="6503" spans="1:18" x14ac:dyDescent="0.25">
      <c r="A6503" s="15"/>
      <c r="R6503" s="15"/>
    </row>
    <row r="6504" spans="1:18" x14ac:dyDescent="0.25">
      <c r="A6504" s="15"/>
      <c r="R6504" s="15"/>
    </row>
    <row r="6505" spans="1:18" x14ac:dyDescent="0.25">
      <c r="A6505" s="15"/>
      <c r="R6505" s="15"/>
    </row>
    <row r="6506" spans="1:18" x14ac:dyDescent="0.25">
      <c r="A6506" s="15"/>
      <c r="R6506" s="15"/>
    </row>
    <row r="6507" spans="1:18" x14ac:dyDescent="0.25">
      <c r="A6507" s="15"/>
      <c r="R6507" s="15"/>
    </row>
    <row r="6508" spans="1:18" x14ac:dyDescent="0.25">
      <c r="A6508" s="15"/>
      <c r="R6508" s="15"/>
    </row>
    <row r="6509" spans="1:18" x14ac:dyDescent="0.25">
      <c r="A6509" s="15"/>
      <c r="R6509" s="15"/>
    </row>
    <row r="6510" spans="1:18" x14ac:dyDescent="0.25">
      <c r="A6510" s="15"/>
      <c r="R6510" s="15"/>
    </row>
    <row r="6511" spans="1:18" x14ac:dyDescent="0.25">
      <c r="A6511" s="15"/>
      <c r="R6511" s="15"/>
    </row>
    <row r="6512" spans="1:18" x14ac:dyDescent="0.25">
      <c r="A6512" s="15"/>
      <c r="R6512" s="15"/>
    </row>
    <row r="6513" spans="1:18" x14ac:dyDescent="0.25">
      <c r="A6513" s="15"/>
      <c r="R6513" s="15"/>
    </row>
    <row r="6514" spans="1:18" x14ac:dyDescent="0.25">
      <c r="A6514" s="15"/>
      <c r="R6514" s="15"/>
    </row>
    <row r="6515" spans="1:18" x14ac:dyDescent="0.25">
      <c r="A6515" s="15"/>
      <c r="R6515" s="15"/>
    </row>
    <row r="6516" spans="1:18" x14ac:dyDescent="0.25">
      <c r="A6516" s="15"/>
      <c r="R6516" s="15"/>
    </row>
    <row r="6517" spans="1:18" x14ac:dyDescent="0.25">
      <c r="A6517" s="15"/>
      <c r="R6517" s="15"/>
    </row>
    <row r="6518" spans="1:18" x14ac:dyDescent="0.25">
      <c r="A6518" s="15"/>
      <c r="R6518" s="15"/>
    </row>
    <row r="6519" spans="1:18" x14ac:dyDescent="0.25">
      <c r="A6519" s="15"/>
      <c r="R6519" s="15"/>
    </row>
    <row r="6520" spans="1:18" x14ac:dyDescent="0.25">
      <c r="A6520" s="15"/>
      <c r="R6520" s="15"/>
    </row>
    <row r="6521" spans="1:18" x14ac:dyDescent="0.25">
      <c r="A6521" s="15"/>
      <c r="R6521" s="15"/>
    </row>
    <row r="6522" spans="1:18" x14ac:dyDescent="0.25">
      <c r="A6522" s="15"/>
      <c r="R6522" s="15"/>
    </row>
    <row r="6523" spans="1:18" x14ac:dyDescent="0.25">
      <c r="A6523" s="15"/>
      <c r="R6523" s="15"/>
    </row>
    <row r="6524" spans="1:18" x14ac:dyDescent="0.25">
      <c r="A6524" s="15"/>
      <c r="R6524" s="15"/>
    </row>
    <row r="6525" spans="1:18" x14ac:dyDescent="0.25">
      <c r="A6525" s="15"/>
      <c r="R6525" s="15"/>
    </row>
    <row r="6526" spans="1:18" x14ac:dyDescent="0.25">
      <c r="A6526" s="15"/>
      <c r="R6526" s="15"/>
    </row>
    <row r="6527" spans="1:18" x14ac:dyDescent="0.25">
      <c r="A6527" s="15"/>
      <c r="R6527" s="15"/>
    </row>
    <row r="6528" spans="1:18" x14ac:dyDescent="0.25">
      <c r="A6528" s="15"/>
      <c r="R6528" s="15"/>
    </row>
    <row r="6529" spans="1:18" x14ac:dyDescent="0.25">
      <c r="A6529" s="15"/>
      <c r="R6529" s="15"/>
    </row>
    <row r="6530" spans="1:18" x14ac:dyDescent="0.25">
      <c r="A6530" s="15"/>
      <c r="R6530" s="15"/>
    </row>
    <row r="6531" spans="1:18" x14ac:dyDescent="0.25">
      <c r="A6531" s="15"/>
      <c r="R6531" s="15"/>
    </row>
    <row r="6532" spans="1:18" x14ac:dyDescent="0.25">
      <c r="A6532" s="15"/>
      <c r="R6532" s="15"/>
    </row>
    <row r="6533" spans="1:18" x14ac:dyDescent="0.25">
      <c r="A6533" s="15"/>
      <c r="R6533" s="15"/>
    </row>
    <row r="6534" spans="1:18" x14ac:dyDescent="0.25">
      <c r="A6534" s="15"/>
      <c r="R6534" s="15"/>
    </row>
    <row r="6535" spans="1:18" x14ac:dyDescent="0.25">
      <c r="A6535" s="15"/>
      <c r="R6535" s="15"/>
    </row>
    <row r="6536" spans="1:18" x14ac:dyDescent="0.25">
      <c r="A6536" s="15"/>
      <c r="R6536" s="15"/>
    </row>
    <row r="6537" spans="1:18" x14ac:dyDescent="0.25">
      <c r="A6537" s="15"/>
      <c r="R6537" s="15"/>
    </row>
    <row r="6538" spans="1:18" x14ac:dyDescent="0.25">
      <c r="A6538" s="15"/>
      <c r="R6538" s="15"/>
    </row>
    <row r="6539" spans="1:18" x14ac:dyDescent="0.25">
      <c r="A6539" s="15"/>
      <c r="R6539" s="15"/>
    </row>
    <row r="6540" spans="1:18" x14ac:dyDescent="0.25">
      <c r="A6540" s="15"/>
      <c r="R6540" s="15"/>
    </row>
    <row r="6541" spans="1:18" x14ac:dyDescent="0.25">
      <c r="A6541" s="15"/>
      <c r="R6541" s="15"/>
    </row>
    <row r="6542" spans="1:18" x14ac:dyDescent="0.25">
      <c r="A6542" s="15"/>
      <c r="R6542" s="15"/>
    </row>
    <row r="6543" spans="1:18" x14ac:dyDescent="0.25">
      <c r="A6543" s="15"/>
      <c r="R6543" s="15"/>
    </row>
    <row r="6544" spans="1:18" x14ac:dyDescent="0.25">
      <c r="A6544" s="15"/>
      <c r="R6544" s="15"/>
    </row>
    <row r="6545" spans="1:18" x14ac:dyDescent="0.25">
      <c r="A6545" s="15"/>
      <c r="R6545" s="15"/>
    </row>
    <row r="6546" spans="1:18" x14ac:dyDescent="0.25">
      <c r="A6546" s="15"/>
      <c r="R6546" s="15"/>
    </row>
    <row r="6547" spans="1:18" x14ac:dyDescent="0.25">
      <c r="A6547" s="15"/>
      <c r="R6547" s="15"/>
    </row>
    <row r="6548" spans="1:18" x14ac:dyDescent="0.25">
      <c r="A6548" s="15"/>
      <c r="R6548" s="15"/>
    </row>
    <row r="6549" spans="1:18" x14ac:dyDescent="0.25">
      <c r="A6549" s="15"/>
      <c r="R6549" s="15"/>
    </row>
    <row r="6550" spans="1:18" x14ac:dyDescent="0.25">
      <c r="A6550" s="15"/>
      <c r="R6550" s="15"/>
    </row>
    <row r="6551" spans="1:18" x14ac:dyDescent="0.25">
      <c r="A6551" s="15"/>
      <c r="R6551" s="15"/>
    </row>
    <row r="6552" spans="1:18" x14ac:dyDescent="0.25">
      <c r="A6552" s="15"/>
      <c r="R6552" s="15"/>
    </row>
    <row r="6553" spans="1:18" x14ac:dyDescent="0.25">
      <c r="A6553" s="15"/>
      <c r="R6553" s="15"/>
    </row>
    <row r="6554" spans="1:18" x14ac:dyDescent="0.25">
      <c r="A6554" s="15"/>
      <c r="R6554" s="15"/>
    </row>
    <row r="6555" spans="1:18" x14ac:dyDescent="0.25">
      <c r="A6555" s="15"/>
      <c r="R6555" s="15"/>
    </row>
    <row r="6556" spans="1:18" x14ac:dyDescent="0.25">
      <c r="A6556" s="15"/>
      <c r="R6556" s="15"/>
    </row>
    <row r="6557" spans="1:18" x14ac:dyDescent="0.25">
      <c r="A6557" s="15"/>
      <c r="R6557" s="15"/>
    </row>
    <row r="6558" spans="1:18" x14ac:dyDescent="0.25">
      <c r="A6558" s="15"/>
      <c r="R6558" s="15"/>
    </row>
    <row r="6559" spans="1:18" x14ac:dyDescent="0.25">
      <c r="A6559" s="15"/>
      <c r="R6559" s="15"/>
    </row>
    <row r="6560" spans="1:18" x14ac:dyDescent="0.25">
      <c r="A6560" s="15"/>
      <c r="R6560" s="15"/>
    </row>
    <row r="6561" spans="1:18" x14ac:dyDescent="0.25">
      <c r="A6561" s="15"/>
      <c r="R6561" s="15"/>
    </row>
    <row r="6562" spans="1:18" x14ac:dyDescent="0.25">
      <c r="A6562" s="15"/>
      <c r="R6562" s="15"/>
    </row>
    <row r="6563" spans="1:18" x14ac:dyDescent="0.25">
      <c r="A6563" s="15"/>
      <c r="R6563" s="15"/>
    </row>
    <row r="6564" spans="1:18" x14ac:dyDescent="0.25">
      <c r="A6564" s="15"/>
      <c r="R6564" s="15"/>
    </row>
    <row r="6565" spans="1:18" x14ac:dyDescent="0.25">
      <c r="A6565" s="15"/>
      <c r="R6565" s="15"/>
    </row>
    <row r="6566" spans="1:18" x14ac:dyDescent="0.25">
      <c r="A6566" s="15"/>
      <c r="R6566" s="15"/>
    </row>
    <row r="6567" spans="1:18" x14ac:dyDescent="0.25">
      <c r="A6567" s="15"/>
      <c r="R6567" s="15"/>
    </row>
    <row r="6568" spans="1:18" x14ac:dyDescent="0.25">
      <c r="A6568" s="15"/>
      <c r="R6568" s="15"/>
    </row>
    <row r="6569" spans="1:18" x14ac:dyDescent="0.25">
      <c r="A6569" s="15"/>
      <c r="R6569" s="15"/>
    </row>
    <row r="6570" spans="1:18" x14ac:dyDescent="0.25">
      <c r="A6570" s="15"/>
      <c r="R6570" s="15"/>
    </row>
    <row r="6571" spans="1:18" x14ac:dyDescent="0.25">
      <c r="A6571" s="15"/>
      <c r="R6571" s="15"/>
    </row>
    <row r="6572" spans="1:18" x14ac:dyDescent="0.25">
      <c r="A6572" s="15"/>
      <c r="R6572" s="15"/>
    </row>
    <row r="6573" spans="1:18" x14ac:dyDescent="0.25">
      <c r="A6573" s="15"/>
      <c r="R6573" s="15"/>
    </row>
    <row r="6574" spans="1:18" x14ac:dyDescent="0.25">
      <c r="A6574" s="15"/>
      <c r="R6574" s="15"/>
    </row>
    <row r="6575" spans="1:18" x14ac:dyDescent="0.25">
      <c r="A6575" s="15"/>
      <c r="R6575" s="15"/>
    </row>
    <row r="6576" spans="1:18" x14ac:dyDescent="0.25">
      <c r="A6576" s="15"/>
      <c r="R6576" s="15"/>
    </row>
    <row r="6577" spans="1:18" x14ac:dyDescent="0.25">
      <c r="A6577" s="15"/>
      <c r="R6577" s="15"/>
    </row>
    <row r="6578" spans="1:18" x14ac:dyDescent="0.25">
      <c r="A6578" s="15"/>
      <c r="R6578" s="15"/>
    </row>
    <row r="6579" spans="1:18" x14ac:dyDescent="0.25">
      <c r="A6579" s="15"/>
      <c r="R6579" s="15"/>
    </row>
    <row r="6580" spans="1:18" x14ac:dyDescent="0.25">
      <c r="A6580" s="15"/>
      <c r="R6580" s="15"/>
    </row>
    <row r="6581" spans="1:18" x14ac:dyDescent="0.25">
      <c r="A6581" s="15"/>
      <c r="R6581" s="15"/>
    </row>
    <row r="6582" spans="1:18" x14ac:dyDescent="0.25">
      <c r="A6582" s="15"/>
      <c r="R6582" s="15"/>
    </row>
    <row r="6583" spans="1:18" x14ac:dyDescent="0.25">
      <c r="A6583" s="15"/>
      <c r="R6583" s="15"/>
    </row>
    <row r="6584" spans="1:18" x14ac:dyDescent="0.25">
      <c r="A6584" s="15"/>
      <c r="R6584" s="15"/>
    </row>
    <row r="6585" spans="1:18" x14ac:dyDescent="0.25">
      <c r="A6585" s="15"/>
      <c r="R6585" s="15"/>
    </row>
    <row r="6586" spans="1:18" x14ac:dyDescent="0.25">
      <c r="A6586" s="15"/>
      <c r="R6586" s="15"/>
    </row>
    <row r="6587" spans="1:18" x14ac:dyDescent="0.25">
      <c r="A6587" s="15"/>
      <c r="R6587" s="15"/>
    </row>
    <row r="6588" spans="1:18" x14ac:dyDescent="0.25">
      <c r="A6588" s="15"/>
      <c r="R6588" s="15"/>
    </row>
    <row r="6589" spans="1:18" x14ac:dyDescent="0.25">
      <c r="A6589" s="15"/>
      <c r="R6589" s="15"/>
    </row>
    <row r="6590" spans="1:18" x14ac:dyDescent="0.25">
      <c r="A6590" s="15"/>
      <c r="R6590" s="15"/>
    </row>
    <row r="6591" spans="1:18" x14ac:dyDescent="0.25">
      <c r="A6591" s="15"/>
      <c r="R6591" s="15"/>
    </row>
    <row r="6592" spans="1:18" x14ac:dyDescent="0.25">
      <c r="A6592" s="15"/>
      <c r="R6592" s="15"/>
    </row>
    <row r="6593" spans="1:18" x14ac:dyDescent="0.25">
      <c r="A6593" s="15"/>
      <c r="R6593" s="15"/>
    </row>
    <row r="6594" spans="1:18" x14ac:dyDescent="0.25">
      <c r="A6594" s="15"/>
      <c r="R6594" s="15"/>
    </row>
    <row r="6595" spans="1:18" x14ac:dyDescent="0.25">
      <c r="A6595" s="15"/>
      <c r="R6595" s="15"/>
    </row>
    <row r="6596" spans="1:18" x14ac:dyDescent="0.25">
      <c r="A6596" s="15"/>
      <c r="R6596" s="15"/>
    </row>
    <row r="6597" spans="1:18" x14ac:dyDescent="0.25">
      <c r="A6597" s="15"/>
      <c r="R6597" s="15"/>
    </row>
    <row r="6598" spans="1:18" x14ac:dyDescent="0.25">
      <c r="A6598" s="15"/>
      <c r="R6598" s="15"/>
    </row>
    <row r="6599" spans="1:18" x14ac:dyDescent="0.25">
      <c r="A6599" s="15"/>
      <c r="R6599" s="15"/>
    </row>
    <row r="6600" spans="1:18" x14ac:dyDescent="0.25">
      <c r="A6600" s="15"/>
      <c r="R6600" s="15"/>
    </row>
    <row r="6601" spans="1:18" x14ac:dyDescent="0.25">
      <c r="A6601" s="15"/>
      <c r="R6601" s="15"/>
    </row>
    <row r="6602" spans="1:18" x14ac:dyDescent="0.25">
      <c r="A6602" s="15"/>
      <c r="R6602" s="15"/>
    </row>
    <row r="6603" spans="1:18" x14ac:dyDescent="0.25">
      <c r="A6603" s="15"/>
      <c r="R6603" s="15"/>
    </row>
    <row r="6604" spans="1:18" x14ac:dyDescent="0.25">
      <c r="A6604" s="15"/>
      <c r="R6604" s="15"/>
    </row>
    <row r="6605" spans="1:18" x14ac:dyDescent="0.25">
      <c r="A6605" s="15"/>
      <c r="R6605" s="15"/>
    </row>
    <row r="6606" spans="1:18" x14ac:dyDescent="0.25">
      <c r="A6606" s="15"/>
      <c r="R6606" s="15"/>
    </row>
    <row r="6607" spans="1:18" x14ac:dyDescent="0.25">
      <c r="A6607" s="15"/>
      <c r="R6607" s="15"/>
    </row>
    <row r="6608" spans="1:18" x14ac:dyDescent="0.25">
      <c r="A6608" s="15"/>
      <c r="R6608" s="15"/>
    </row>
    <row r="6609" spans="1:18" x14ac:dyDescent="0.25">
      <c r="A6609" s="15"/>
      <c r="R6609" s="15"/>
    </row>
    <row r="6610" spans="1:18" x14ac:dyDescent="0.25">
      <c r="A6610" s="15"/>
      <c r="R6610" s="15"/>
    </row>
    <row r="6611" spans="1:18" x14ac:dyDescent="0.25">
      <c r="A6611" s="15"/>
      <c r="R6611" s="15"/>
    </row>
    <row r="6612" spans="1:18" x14ac:dyDescent="0.25">
      <c r="A6612" s="15"/>
      <c r="R6612" s="15"/>
    </row>
    <row r="6613" spans="1:18" x14ac:dyDescent="0.25">
      <c r="A6613" s="15"/>
      <c r="R6613" s="15"/>
    </row>
    <row r="6614" spans="1:18" x14ac:dyDescent="0.25">
      <c r="A6614" s="15"/>
      <c r="R6614" s="15"/>
    </row>
    <row r="6615" spans="1:18" x14ac:dyDescent="0.25">
      <c r="A6615" s="15"/>
      <c r="R6615" s="15"/>
    </row>
    <row r="6616" spans="1:18" x14ac:dyDescent="0.25">
      <c r="A6616" s="15"/>
      <c r="R6616" s="15"/>
    </row>
    <row r="6617" spans="1:18" x14ac:dyDescent="0.25">
      <c r="A6617" s="15"/>
      <c r="R6617" s="15"/>
    </row>
    <row r="6618" spans="1:18" x14ac:dyDescent="0.25">
      <c r="A6618" s="15"/>
      <c r="R6618" s="15"/>
    </row>
    <row r="6619" spans="1:18" x14ac:dyDescent="0.25">
      <c r="A6619" s="15"/>
      <c r="R6619" s="15"/>
    </row>
    <row r="6620" spans="1:18" x14ac:dyDescent="0.25">
      <c r="A6620" s="15"/>
      <c r="R6620" s="15"/>
    </row>
    <row r="6621" spans="1:18" x14ac:dyDescent="0.25">
      <c r="A6621" s="15"/>
      <c r="R6621" s="15"/>
    </row>
    <row r="6622" spans="1:18" x14ac:dyDescent="0.25">
      <c r="A6622" s="15"/>
      <c r="R6622" s="15"/>
    </row>
    <row r="6623" spans="1:18" x14ac:dyDescent="0.25">
      <c r="A6623" s="15"/>
      <c r="R6623" s="15"/>
    </row>
    <row r="6624" spans="1:18" x14ac:dyDescent="0.25">
      <c r="A6624" s="15"/>
      <c r="R6624" s="15"/>
    </row>
    <row r="6625" spans="1:18" x14ac:dyDescent="0.25">
      <c r="A6625" s="15"/>
      <c r="R6625" s="15"/>
    </row>
    <row r="6626" spans="1:18" x14ac:dyDescent="0.25">
      <c r="A6626" s="15"/>
      <c r="R6626" s="15"/>
    </row>
    <row r="6627" spans="1:18" x14ac:dyDescent="0.25">
      <c r="A6627" s="15"/>
      <c r="R6627" s="15"/>
    </row>
    <row r="6628" spans="1:18" x14ac:dyDescent="0.25">
      <c r="A6628" s="15"/>
      <c r="R6628" s="15"/>
    </row>
    <row r="6629" spans="1:18" x14ac:dyDescent="0.25">
      <c r="A6629" s="15"/>
      <c r="R6629" s="15"/>
    </row>
    <row r="6630" spans="1:18" x14ac:dyDescent="0.25">
      <c r="A6630" s="15"/>
      <c r="R6630" s="15"/>
    </row>
    <row r="6631" spans="1:18" x14ac:dyDescent="0.25">
      <c r="A6631" s="15"/>
      <c r="R6631" s="15"/>
    </row>
    <row r="6632" spans="1:18" x14ac:dyDescent="0.25">
      <c r="A6632" s="15"/>
      <c r="R6632" s="15"/>
    </row>
    <row r="6633" spans="1:18" x14ac:dyDescent="0.25">
      <c r="A6633" s="15"/>
      <c r="R6633" s="15"/>
    </row>
    <row r="6634" spans="1:18" x14ac:dyDescent="0.25">
      <c r="A6634" s="15"/>
      <c r="R6634" s="15"/>
    </row>
    <row r="6635" spans="1:18" x14ac:dyDescent="0.25">
      <c r="A6635" s="15"/>
      <c r="R6635" s="15"/>
    </row>
    <row r="6636" spans="1:18" x14ac:dyDescent="0.25">
      <c r="A6636" s="15"/>
      <c r="R6636" s="15"/>
    </row>
    <row r="6637" spans="1:18" x14ac:dyDescent="0.25">
      <c r="A6637" s="15"/>
      <c r="R6637" s="15"/>
    </row>
    <row r="6638" spans="1:18" x14ac:dyDescent="0.25">
      <c r="A6638" s="15"/>
      <c r="R6638" s="15"/>
    </row>
    <row r="6639" spans="1:18" x14ac:dyDescent="0.25">
      <c r="A6639" s="15"/>
      <c r="R6639" s="15"/>
    </row>
    <row r="6640" spans="1:18" x14ac:dyDescent="0.25">
      <c r="A6640" s="15"/>
      <c r="R6640" s="15"/>
    </row>
    <row r="6641" spans="1:18" x14ac:dyDescent="0.25">
      <c r="A6641" s="15"/>
      <c r="R6641" s="15"/>
    </row>
    <row r="6642" spans="1:18" x14ac:dyDescent="0.25">
      <c r="A6642" s="15"/>
      <c r="R6642" s="15"/>
    </row>
    <row r="6643" spans="1:18" x14ac:dyDescent="0.25">
      <c r="A6643" s="15"/>
      <c r="R6643" s="15"/>
    </row>
    <row r="6644" spans="1:18" x14ac:dyDescent="0.25">
      <c r="A6644" s="15"/>
      <c r="R6644" s="15"/>
    </row>
    <row r="6645" spans="1:18" x14ac:dyDescent="0.25">
      <c r="A6645" s="15"/>
      <c r="R6645" s="15"/>
    </row>
    <row r="6646" spans="1:18" x14ac:dyDescent="0.25">
      <c r="A6646" s="15"/>
      <c r="R6646" s="15"/>
    </row>
    <row r="6647" spans="1:18" x14ac:dyDescent="0.25">
      <c r="A6647" s="15"/>
      <c r="R6647" s="15"/>
    </row>
    <row r="6648" spans="1:18" x14ac:dyDescent="0.25">
      <c r="A6648" s="15"/>
      <c r="R6648" s="15"/>
    </row>
    <row r="6649" spans="1:18" x14ac:dyDescent="0.25">
      <c r="A6649" s="15"/>
      <c r="R6649" s="15"/>
    </row>
    <row r="6650" spans="1:18" x14ac:dyDescent="0.25">
      <c r="A6650" s="15"/>
      <c r="R6650" s="15"/>
    </row>
    <row r="6651" spans="1:18" x14ac:dyDescent="0.25">
      <c r="A6651" s="15"/>
      <c r="R6651" s="15"/>
    </row>
    <row r="6652" spans="1:18" x14ac:dyDescent="0.25">
      <c r="A6652" s="15"/>
      <c r="R6652" s="15"/>
    </row>
    <row r="6653" spans="1:18" x14ac:dyDescent="0.25">
      <c r="A6653" s="15"/>
      <c r="R6653" s="15"/>
    </row>
    <row r="6654" spans="1:18" x14ac:dyDescent="0.25">
      <c r="A6654" s="15"/>
      <c r="R6654" s="15"/>
    </row>
    <row r="6655" spans="1:18" x14ac:dyDescent="0.25">
      <c r="A6655" s="15"/>
      <c r="R6655" s="15"/>
    </row>
    <row r="6656" spans="1:18" x14ac:dyDescent="0.25">
      <c r="A6656" s="15"/>
      <c r="R6656" s="15"/>
    </row>
    <row r="6657" spans="1:18" x14ac:dyDescent="0.25">
      <c r="A6657" s="15"/>
      <c r="R6657" s="15"/>
    </row>
    <row r="6658" spans="1:18" x14ac:dyDescent="0.25">
      <c r="A6658" s="15"/>
      <c r="R6658" s="15"/>
    </row>
    <row r="6659" spans="1:18" x14ac:dyDescent="0.25">
      <c r="A6659" s="15"/>
      <c r="R6659" s="15"/>
    </row>
    <row r="6660" spans="1:18" x14ac:dyDescent="0.25">
      <c r="A6660" s="15"/>
      <c r="R6660" s="15"/>
    </row>
    <row r="6661" spans="1:18" x14ac:dyDescent="0.25">
      <c r="A6661" s="15"/>
      <c r="R6661" s="15"/>
    </row>
    <row r="6662" spans="1:18" x14ac:dyDescent="0.25">
      <c r="A6662" s="15"/>
      <c r="R6662" s="15"/>
    </row>
    <row r="6663" spans="1:18" x14ac:dyDescent="0.25">
      <c r="A6663" s="15"/>
      <c r="R6663" s="15"/>
    </row>
    <row r="6664" spans="1:18" x14ac:dyDescent="0.25">
      <c r="A6664" s="15"/>
      <c r="R6664" s="15"/>
    </row>
    <row r="6665" spans="1:18" x14ac:dyDescent="0.25">
      <c r="A6665" s="15"/>
      <c r="R6665" s="15"/>
    </row>
    <row r="6666" spans="1:18" x14ac:dyDescent="0.25">
      <c r="A6666" s="15"/>
      <c r="R6666" s="15"/>
    </row>
    <row r="6667" spans="1:18" x14ac:dyDescent="0.25">
      <c r="A6667" s="15"/>
      <c r="R6667" s="15"/>
    </row>
    <row r="6668" spans="1:18" x14ac:dyDescent="0.25">
      <c r="A6668" s="15"/>
      <c r="R6668" s="15"/>
    </row>
    <row r="6669" spans="1:18" x14ac:dyDescent="0.25">
      <c r="A6669" s="15"/>
      <c r="R6669" s="15"/>
    </row>
    <row r="6670" spans="1:18" x14ac:dyDescent="0.25">
      <c r="A6670" s="15"/>
      <c r="R6670" s="15"/>
    </row>
    <row r="6671" spans="1:18" x14ac:dyDescent="0.25">
      <c r="A6671" s="15"/>
      <c r="R6671" s="15"/>
    </row>
    <row r="6672" spans="1:18" x14ac:dyDescent="0.25">
      <c r="A6672" s="15"/>
      <c r="R6672" s="15"/>
    </row>
    <row r="6673" spans="1:18" x14ac:dyDescent="0.25">
      <c r="A6673" s="15"/>
      <c r="R6673" s="15"/>
    </row>
    <row r="6674" spans="1:18" x14ac:dyDescent="0.25">
      <c r="A6674" s="15"/>
      <c r="R6674" s="15"/>
    </row>
    <row r="6675" spans="1:18" x14ac:dyDescent="0.25">
      <c r="A6675" s="15"/>
      <c r="R6675" s="15"/>
    </row>
    <row r="6676" spans="1:18" x14ac:dyDescent="0.25">
      <c r="A6676" s="15"/>
      <c r="R6676" s="15"/>
    </row>
    <row r="6677" spans="1:18" x14ac:dyDescent="0.25">
      <c r="A6677" s="15"/>
      <c r="R6677" s="15"/>
    </row>
    <row r="6678" spans="1:18" x14ac:dyDescent="0.25">
      <c r="A6678" s="15"/>
      <c r="R6678" s="15"/>
    </row>
    <row r="6679" spans="1:18" x14ac:dyDescent="0.25">
      <c r="A6679" s="15"/>
      <c r="R6679" s="15"/>
    </row>
    <row r="6680" spans="1:18" x14ac:dyDescent="0.25">
      <c r="A6680" s="15"/>
      <c r="R6680" s="15"/>
    </row>
    <row r="6681" spans="1:18" x14ac:dyDescent="0.25">
      <c r="A6681" s="15"/>
      <c r="R6681" s="15"/>
    </row>
    <row r="6682" spans="1:18" x14ac:dyDescent="0.25">
      <c r="A6682" s="15"/>
      <c r="R6682" s="15"/>
    </row>
    <row r="6683" spans="1:18" x14ac:dyDescent="0.25">
      <c r="A6683" s="15"/>
      <c r="R6683" s="15"/>
    </row>
    <row r="6684" spans="1:18" x14ac:dyDescent="0.25">
      <c r="A6684" s="15"/>
      <c r="R6684" s="15"/>
    </row>
    <row r="6685" spans="1:18" x14ac:dyDescent="0.25">
      <c r="A6685" s="15"/>
      <c r="R6685" s="15"/>
    </row>
    <row r="6686" spans="1:18" x14ac:dyDescent="0.25">
      <c r="A6686" s="15"/>
      <c r="R6686" s="15"/>
    </row>
    <row r="6687" spans="1:18" x14ac:dyDescent="0.25">
      <c r="A6687" s="15"/>
      <c r="R6687" s="15"/>
    </row>
    <row r="6688" spans="1:18" x14ac:dyDescent="0.25">
      <c r="A6688" s="15"/>
      <c r="R6688" s="15"/>
    </row>
    <row r="6689" spans="1:18" x14ac:dyDescent="0.25">
      <c r="A6689" s="15"/>
      <c r="R6689" s="15"/>
    </row>
    <row r="6690" spans="1:18" x14ac:dyDescent="0.25">
      <c r="A6690" s="15"/>
      <c r="R6690" s="15"/>
    </row>
    <row r="6691" spans="1:18" x14ac:dyDescent="0.25">
      <c r="A6691" s="15"/>
      <c r="R6691" s="15"/>
    </row>
    <row r="6692" spans="1:18" x14ac:dyDescent="0.25">
      <c r="A6692" s="15"/>
      <c r="R6692" s="15"/>
    </row>
    <row r="6693" spans="1:18" x14ac:dyDescent="0.25">
      <c r="A6693" s="15"/>
      <c r="R6693" s="15"/>
    </row>
    <row r="6694" spans="1:18" x14ac:dyDescent="0.25">
      <c r="A6694" s="15"/>
      <c r="R6694" s="15"/>
    </row>
    <row r="6695" spans="1:18" x14ac:dyDescent="0.25">
      <c r="A6695" s="15"/>
      <c r="R6695" s="15"/>
    </row>
    <row r="6696" spans="1:18" x14ac:dyDescent="0.25">
      <c r="A6696" s="15"/>
      <c r="R6696" s="15"/>
    </row>
    <row r="6697" spans="1:18" x14ac:dyDescent="0.25">
      <c r="A6697" s="15"/>
      <c r="R6697" s="15"/>
    </row>
    <row r="6698" spans="1:18" x14ac:dyDescent="0.25">
      <c r="A6698" s="15"/>
      <c r="R6698" s="15"/>
    </row>
    <row r="6699" spans="1:18" x14ac:dyDescent="0.25">
      <c r="A6699" s="15"/>
      <c r="R6699" s="15"/>
    </row>
    <row r="6700" spans="1:18" x14ac:dyDescent="0.25">
      <c r="A6700" s="15"/>
      <c r="R6700" s="15"/>
    </row>
    <row r="6701" spans="1:18" x14ac:dyDescent="0.25">
      <c r="A6701" s="15"/>
      <c r="R6701" s="15"/>
    </row>
    <row r="6702" spans="1:18" x14ac:dyDescent="0.25">
      <c r="A6702" s="15"/>
      <c r="R6702" s="15"/>
    </row>
    <row r="6703" spans="1:18" x14ac:dyDescent="0.25">
      <c r="A6703" s="15"/>
      <c r="R6703" s="15"/>
    </row>
    <row r="6704" spans="1:18" x14ac:dyDescent="0.25">
      <c r="A6704" s="15"/>
      <c r="R6704" s="15"/>
    </row>
    <row r="6705" spans="1:18" x14ac:dyDescent="0.25">
      <c r="A6705" s="15"/>
      <c r="R6705" s="15"/>
    </row>
    <row r="6706" spans="1:18" x14ac:dyDescent="0.25">
      <c r="A6706" s="15"/>
      <c r="R6706" s="15"/>
    </row>
    <row r="6707" spans="1:18" x14ac:dyDescent="0.25">
      <c r="A6707" s="15"/>
      <c r="R6707" s="15"/>
    </row>
    <row r="6708" spans="1:18" x14ac:dyDescent="0.25">
      <c r="A6708" s="15"/>
      <c r="R6708" s="15"/>
    </row>
    <row r="6709" spans="1:18" x14ac:dyDescent="0.25">
      <c r="A6709" s="15"/>
      <c r="R6709" s="15"/>
    </row>
    <row r="6710" spans="1:18" x14ac:dyDescent="0.25">
      <c r="A6710" s="15"/>
      <c r="R6710" s="15"/>
    </row>
    <row r="6711" spans="1:18" x14ac:dyDescent="0.25">
      <c r="A6711" s="15"/>
      <c r="R6711" s="15"/>
    </row>
    <row r="6712" spans="1:18" x14ac:dyDescent="0.25">
      <c r="A6712" s="15"/>
      <c r="R6712" s="15"/>
    </row>
    <row r="6713" spans="1:18" x14ac:dyDescent="0.25">
      <c r="A6713" s="15"/>
      <c r="R6713" s="15"/>
    </row>
    <row r="6714" spans="1:18" x14ac:dyDescent="0.25">
      <c r="A6714" s="15"/>
      <c r="R6714" s="15"/>
    </row>
    <row r="6715" spans="1:18" x14ac:dyDescent="0.25">
      <c r="A6715" s="15"/>
      <c r="R6715" s="15"/>
    </row>
    <row r="6716" spans="1:18" x14ac:dyDescent="0.25">
      <c r="A6716" s="15"/>
      <c r="R6716" s="15"/>
    </row>
    <row r="6717" spans="1:18" x14ac:dyDescent="0.25">
      <c r="A6717" s="15"/>
      <c r="R6717" s="15"/>
    </row>
    <row r="6718" spans="1:18" x14ac:dyDescent="0.25">
      <c r="A6718" s="15"/>
      <c r="R6718" s="15"/>
    </row>
    <row r="6719" spans="1:18" x14ac:dyDescent="0.25">
      <c r="A6719" s="15"/>
      <c r="R6719" s="15"/>
    </row>
    <row r="6720" spans="1:18" x14ac:dyDescent="0.25">
      <c r="A6720" s="15"/>
      <c r="R6720" s="15"/>
    </row>
    <row r="6721" spans="1:18" x14ac:dyDescent="0.25">
      <c r="A6721" s="15"/>
      <c r="R6721" s="15"/>
    </row>
    <row r="6722" spans="1:18" x14ac:dyDescent="0.25">
      <c r="A6722" s="15"/>
      <c r="R6722" s="15"/>
    </row>
    <row r="6723" spans="1:18" x14ac:dyDescent="0.25">
      <c r="A6723" s="15"/>
      <c r="R6723" s="15"/>
    </row>
    <row r="6724" spans="1:18" x14ac:dyDescent="0.25">
      <c r="A6724" s="15"/>
      <c r="R6724" s="15"/>
    </row>
    <row r="6725" spans="1:18" x14ac:dyDescent="0.25">
      <c r="A6725" s="15"/>
      <c r="R6725" s="15"/>
    </row>
    <row r="6726" spans="1:18" x14ac:dyDescent="0.25">
      <c r="A6726" s="15"/>
      <c r="R6726" s="15"/>
    </row>
    <row r="6727" spans="1:18" x14ac:dyDescent="0.25">
      <c r="A6727" s="15"/>
      <c r="R6727" s="15"/>
    </row>
    <row r="6728" spans="1:18" x14ac:dyDescent="0.25">
      <c r="A6728" s="15"/>
      <c r="R6728" s="15"/>
    </row>
    <row r="6729" spans="1:18" x14ac:dyDescent="0.25">
      <c r="A6729" s="15"/>
      <c r="R6729" s="15"/>
    </row>
    <row r="6730" spans="1:18" x14ac:dyDescent="0.25">
      <c r="A6730" s="15"/>
      <c r="R6730" s="15"/>
    </row>
    <row r="6731" spans="1:18" x14ac:dyDescent="0.25">
      <c r="A6731" s="15"/>
      <c r="R6731" s="15"/>
    </row>
    <row r="6732" spans="1:18" x14ac:dyDescent="0.25">
      <c r="A6732" s="15"/>
      <c r="R6732" s="15"/>
    </row>
    <row r="6733" spans="1:18" x14ac:dyDescent="0.25">
      <c r="A6733" s="15"/>
      <c r="R6733" s="15"/>
    </row>
    <row r="6734" spans="1:18" x14ac:dyDescent="0.25">
      <c r="A6734" s="15"/>
      <c r="R6734" s="15"/>
    </row>
    <row r="6735" spans="1:18" x14ac:dyDescent="0.25">
      <c r="A6735" s="15"/>
      <c r="R6735" s="15"/>
    </row>
    <row r="6736" spans="1:18" x14ac:dyDescent="0.25">
      <c r="A6736" s="15"/>
      <c r="R6736" s="15"/>
    </row>
    <row r="6737" spans="1:18" x14ac:dyDescent="0.25">
      <c r="A6737" s="15"/>
      <c r="R6737" s="15"/>
    </row>
    <row r="6738" spans="1:18" x14ac:dyDescent="0.25">
      <c r="A6738" s="15"/>
      <c r="R6738" s="15"/>
    </row>
    <row r="6739" spans="1:18" x14ac:dyDescent="0.25">
      <c r="A6739" s="15"/>
      <c r="R6739" s="15"/>
    </row>
    <row r="6740" spans="1:18" x14ac:dyDescent="0.25">
      <c r="A6740" s="15"/>
      <c r="R6740" s="15"/>
    </row>
    <row r="6741" spans="1:18" x14ac:dyDescent="0.25">
      <c r="A6741" s="15"/>
      <c r="R6741" s="15"/>
    </row>
    <row r="6742" spans="1:18" x14ac:dyDescent="0.25">
      <c r="A6742" s="15"/>
      <c r="R6742" s="15"/>
    </row>
    <row r="6743" spans="1:18" x14ac:dyDescent="0.25">
      <c r="A6743" s="15"/>
      <c r="R6743" s="15"/>
    </row>
    <row r="6744" spans="1:18" x14ac:dyDescent="0.25">
      <c r="A6744" s="15"/>
      <c r="R6744" s="15"/>
    </row>
    <row r="6745" spans="1:18" x14ac:dyDescent="0.25">
      <c r="A6745" s="15"/>
      <c r="R6745" s="15"/>
    </row>
    <row r="6746" spans="1:18" x14ac:dyDescent="0.25">
      <c r="A6746" s="15"/>
      <c r="R6746" s="15"/>
    </row>
    <row r="6747" spans="1:18" x14ac:dyDescent="0.25">
      <c r="A6747" s="15"/>
      <c r="R6747" s="15"/>
    </row>
    <row r="6748" spans="1:18" x14ac:dyDescent="0.25">
      <c r="A6748" s="15"/>
      <c r="R6748" s="15"/>
    </row>
    <row r="6749" spans="1:18" x14ac:dyDescent="0.25">
      <c r="A6749" s="15"/>
      <c r="R6749" s="15"/>
    </row>
    <row r="6750" spans="1:18" x14ac:dyDescent="0.25">
      <c r="A6750" s="15"/>
      <c r="R6750" s="15"/>
    </row>
    <row r="6751" spans="1:18" x14ac:dyDescent="0.25">
      <c r="A6751" s="15"/>
      <c r="R6751" s="15"/>
    </row>
    <row r="6752" spans="1:18" x14ac:dyDescent="0.25">
      <c r="A6752" s="15"/>
      <c r="R6752" s="15"/>
    </row>
    <row r="6753" spans="1:18" x14ac:dyDescent="0.25">
      <c r="A6753" s="15"/>
      <c r="R6753" s="15"/>
    </row>
    <row r="6754" spans="1:18" x14ac:dyDescent="0.25">
      <c r="A6754" s="15"/>
      <c r="R6754" s="15"/>
    </row>
    <row r="6755" spans="1:18" x14ac:dyDescent="0.25">
      <c r="A6755" s="15"/>
      <c r="R6755" s="15"/>
    </row>
    <row r="6756" spans="1:18" x14ac:dyDescent="0.25">
      <c r="A6756" s="15"/>
      <c r="R6756" s="15"/>
    </row>
    <row r="6757" spans="1:18" x14ac:dyDescent="0.25">
      <c r="A6757" s="15"/>
      <c r="R6757" s="15"/>
    </row>
    <row r="6758" spans="1:18" x14ac:dyDescent="0.25">
      <c r="A6758" s="15"/>
      <c r="R6758" s="15"/>
    </row>
    <row r="6759" spans="1:18" x14ac:dyDescent="0.25">
      <c r="A6759" s="15"/>
      <c r="R6759" s="15"/>
    </row>
    <row r="6760" spans="1:18" x14ac:dyDescent="0.25">
      <c r="A6760" s="15"/>
      <c r="R6760" s="15"/>
    </row>
    <row r="6761" spans="1:18" x14ac:dyDescent="0.25">
      <c r="A6761" s="15"/>
      <c r="R6761" s="15"/>
    </row>
    <row r="6762" spans="1:18" x14ac:dyDescent="0.25">
      <c r="A6762" s="15"/>
      <c r="R6762" s="15"/>
    </row>
    <row r="6763" spans="1:18" x14ac:dyDescent="0.25">
      <c r="A6763" s="15"/>
      <c r="R6763" s="15"/>
    </row>
    <row r="6764" spans="1:18" x14ac:dyDescent="0.25">
      <c r="A6764" s="15"/>
      <c r="R6764" s="15"/>
    </row>
    <row r="6765" spans="1:18" x14ac:dyDescent="0.25">
      <c r="A6765" s="15"/>
      <c r="R6765" s="15"/>
    </row>
    <row r="6766" spans="1:18" x14ac:dyDescent="0.25">
      <c r="A6766" s="15"/>
      <c r="R6766" s="15"/>
    </row>
    <row r="6767" spans="1:18" x14ac:dyDescent="0.25">
      <c r="A6767" s="15"/>
      <c r="R6767" s="15"/>
    </row>
    <row r="6768" spans="1:18" x14ac:dyDescent="0.25">
      <c r="A6768" s="15"/>
      <c r="R6768" s="15"/>
    </row>
    <row r="6769" spans="1:18" x14ac:dyDescent="0.25">
      <c r="A6769" s="15"/>
      <c r="R6769" s="15"/>
    </row>
    <row r="6770" spans="1:18" x14ac:dyDescent="0.25">
      <c r="A6770" s="15"/>
      <c r="R6770" s="15"/>
    </row>
    <row r="6771" spans="1:18" x14ac:dyDescent="0.25">
      <c r="A6771" s="15"/>
      <c r="R6771" s="15"/>
    </row>
    <row r="6772" spans="1:18" x14ac:dyDescent="0.25">
      <c r="A6772" s="15"/>
      <c r="R6772" s="15"/>
    </row>
    <row r="6773" spans="1:18" x14ac:dyDescent="0.25">
      <c r="A6773" s="15"/>
      <c r="R6773" s="15"/>
    </row>
    <row r="6774" spans="1:18" x14ac:dyDescent="0.25">
      <c r="A6774" s="15"/>
      <c r="R6774" s="15"/>
    </row>
    <row r="6775" spans="1:18" x14ac:dyDescent="0.25">
      <c r="A6775" s="15"/>
      <c r="R6775" s="15"/>
    </row>
    <row r="6776" spans="1:18" x14ac:dyDescent="0.25">
      <c r="A6776" s="15"/>
      <c r="R6776" s="15"/>
    </row>
    <row r="6777" spans="1:18" x14ac:dyDescent="0.25">
      <c r="A6777" s="15"/>
      <c r="R6777" s="15"/>
    </row>
    <row r="6778" spans="1:18" x14ac:dyDescent="0.25">
      <c r="A6778" s="15"/>
      <c r="R6778" s="15"/>
    </row>
    <row r="6779" spans="1:18" x14ac:dyDescent="0.25">
      <c r="A6779" s="15"/>
      <c r="R6779" s="15"/>
    </row>
    <row r="6780" spans="1:18" x14ac:dyDescent="0.25">
      <c r="A6780" s="15"/>
      <c r="R6780" s="15"/>
    </row>
    <row r="6781" spans="1:18" x14ac:dyDescent="0.25">
      <c r="A6781" s="15"/>
      <c r="R6781" s="15"/>
    </row>
    <row r="6782" spans="1:18" x14ac:dyDescent="0.25">
      <c r="A6782" s="15"/>
      <c r="R6782" s="15"/>
    </row>
    <row r="6783" spans="1:18" x14ac:dyDescent="0.25">
      <c r="A6783" s="15"/>
      <c r="R6783" s="15"/>
    </row>
    <row r="6784" spans="1:18" x14ac:dyDescent="0.25">
      <c r="A6784" s="15"/>
      <c r="R6784" s="15"/>
    </row>
    <row r="6785" spans="1:18" x14ac:dyDescent="0.25">
      <c r="A6785" s="15"/>
      <c r="R6785" s="15"/>
    </row>
    <row r="6786" spans="1:18" x14ac:dyDescent="0.25">
      <c r="A6786" s="15"/>
      <c r="R6786" s="15"/>
    </row>
    <row r="6787" spans="1:18" x14ac:dyDescent="0.25">
      <c r="A6787" s="15"/>
      <c r="R6787" s="15"/>
    </row>
    <row r="6788" spans="1:18" x14ac:dyDescent="0.25">
      <c r="A6788" s="15"/>
      <c r="R6788" s="15"/>
    </row>
    <row r="6789" spans="1:18" x14ac:dyDescent="0.25">
      <c r="A6789" s="15"/>
      <c r="R6789" s="15"/>
    </row>
    <row r="6790" spans="1:18" x14ac:dyDescent="0.25">
      <c r="A6790" s="15"/>
      <c r="R6790" s="15"/>
    </row>
    <row r="6791" spans="1:18" x14ac:dyDescent="0.25">
      <c r="A6791" s="15"/>
      <c r="R6791" s="15"/>
    </row>
    <row r="6792" spans="1:18" x14ac:dyDescent="0.25">
      <c r="A6792" s="15"/>
      <c r="R6792" s="15"/>
    </row>
    <row r="6793" spans="1:18" x14ac:dyDescent="0.25">
      <c r="A6793" s="15"/>
      <c r="R6793" s="15"/>
    </row>
    <row r="6794" spans="1:18" x14ac:dyDescent="0.25">
      <c r="A6794" s="15"/>
      <c r="R6794" s="15"/>
    </row>
    <row r="6795" spans="1:18" x14ac:dyDescent="0.25">
      <c r="A6795" s="15"/>
      <c r="R6795" s="15"/>
    </row>
    <row r="6796" spans="1:18" x14ac:dyDescent="0.25">
      <c r="A6796" s="15"/>
      <c r="R6796" s="15"/>
    </row>
    <row r="6797" spans="1:18" x14ac:dyDescent="0.25">
      <c r="A6797" s="15"/>
      <c r="R6797" s="15"/>
    </row>
    <row r="6798" spans="1:18" x14ac:dyDescent="0.25">
      <c r="A6798" s="15"/>
      <c r="R6798" s="15"/>
    </row>
    <row r="6799" spans="1:18" x14ac:dyDescent="0.25">
      <c r="A6799" s="15"/>
      <c r="R6799" s="15"/>
    </row>
    <row r="6800" spans="1:18" x14ac:dyDescent="0.25">
      <c r="A6800" s="15"/>
      <c r="R6800" s="15"/>
    </row>
    <row r="6801" spans="1:18" x14ac:dyDescent="0.25">
      <c r="A6801" s="15"/>
      <c r="R6801" s="15"/>
    </row>
    <row r="6802" spans="1:18" x14ac:dyDescent="0.25">
      <c r="A6802" s="15"/>
      <c r="R6802" s="15"/>
    </row>
    <row r="6803" spans="1:18" x14ac:dyDescent="0.25">
      <c r="A6803" s="15"/>
      <c r="R6803" s="15"/>
    </row>
    <row r="6804" spans="1:18" x14ac:dyDescent="0.25">
      <c r="A6804" s="15"/>
      <c r="R6804" s="15"/>
    </row>
    <row r="6805" spans="1:18" x14ac:dyDescent="0.25">
      <c r="A6805" s="15"/>
      <c r="R6805" s="15"/>
    </row>
    <row r="6806" spans="1:18" x14ac:dyDescent="0.25">
      <c r="A6806" s="15"/>
      <c r="R6806" s="15"/>
    </row>
    <row r="6807" spans="1:18" x14ac:dyDescent="0.25">
      <c r="A6807" s="15"/>
      <c r="R6807" s="15"/>
    </row>
    <row r="6808" spans="1:18" x14ac:dyDescent="0.25">
      <c r="A6808" s="15"/>
      <c r="R6808" s="15"/>
    </row>
    <row r="6809" spans="1:18" x14ac:dyDescent="0.25">
      <c r="A6809" s="15"/>
      <c r="R6809" s="15"/>
    </row>
    <row r="6810" spans="1:18" x14ac:dyDescent="0.25">
      <c r="A6810" s="15"/>
      <c r="R6810" s="15"/>
    </row>
    <row r="6811" spans="1:18" x14ac:dyDescent="0.25">
      <c r="A6811" s="15"/>
      <c r="R6811" s="15"/>
    </row>
    <row r="6812" spans="1:18" x14ac:dyDescent="0.25">
      <c r="A6812" s="15"/>
      <c r="R6812" s="15"/>
    </row>
    <row r="6813" spans="1:18" x14ac:dyDescent="0.25">
      <c r="A6813" s="15"/>
      <c r="R6813" s="15"/>
    </row>
    <row r="6814" spans="1:18" x14ac:dyDescent="0.25">
      <c r="A6814" s="15"/>
      <c r="R6814" s="15"/>
    </row>
    <row r="6815" spans="1:18" x14ac:dyDescent="0.25">
      <c r="A6815" s="15"/>
      <c r="R6815" s="15"/>
    </row>
    <row r="6816" spans="1:18" x14ac:dyDescent="0.25">
      <c r="A6816" s="15"/>
      <c r="R6816" s="15"/>
    </row>
    <row r="6817" spans="1:18" x14ac:dyDescent="0.25">
      <c r="A6817" s="15"/>
      <c r="R6817" s="15"/>
    </row>
    <row r="6818" spans="1:18" x14ac:dyDescent="0.25">
      <c r="A6818" s="15"/>
      <c r="R6818" s="15"/>
    </row>
    <row r="6819" spans="1:18" x14ac:dyDescent="0.25">
      <c r="A6819" s="15"/>
      <c r="R6819" s="15"/>
    </row>
    <row r="6820" spans="1:18" x14ac:dyDescent="0.25">
      <c r="A6820" s="15"/>
      <c r="R6820" s="15"/>
    </row>
    <row r="6821" spans="1:18" x14ac:dyDescent="0.25">
      <c r="A6821" s="15"/>
      <c r="R6821" s="15"/>
    </row>
    <row r="6822" spans="1:18" x14ac:dyDescent="0.25">
      <c r="A6822" s="15"/>
      <c r="R6822" s="15"/>
    </row>
    <row r="6823" spans="1:18" x14ac:dyDescent="0.25">
      <c r="A6823" s="15"/>
      <c r="R6823" s="15"/>
    </row>
    <row r="6824" spans="1:18" x14ac:dyDescent="0.25">
      <c r="A6824" s="15"/>
      <c r="R6824" s="15"/>
    </row>
    <row r="6825" spans="1:18" x14ac:dyDescent="0.25">
      <c r="A6825" s="15"/>
      <c r="R6825" s="15"/>
    </row>
    <row r="6826" spans="1:18" x14ac:dyDescent="0.25">
      <c r="A6826" s="15"/>
      <c r="R6826" s="15"/>
    </row>
    <row r="6827" spans="1:18" x14ac:dyDescent="0.25">
      <c r="A6827" s="15"/>
      <c r="R6827" s="15"/>
    </row>
    <row r="6828" spans="1:18" x14ac:dyDescent="0.25">
      <c r="A6828" s="15"/>
      <c r="R6828" s="15"/>
    </row>
    <row r="6829" spans="1:18" x14ac:dyDescent="0.25">
      <c r="A6829" s="15"/>
      <c r="R6829" s="15"/>
    </row>
    <row r="6830" spans="1:18" x14ac:dyDescent="0.25">
      <c r="A6830" s="15"/>
      <c r="R6830" s="15"/>
    </row>
    <row r="6831" spans="1:18" x14ac:dyDescent="0.25">
      <c r="A6831" s="15"/>
      <c r="R6831" s="15"/>
    </row>
    <row r="6832" spans="1:18" x14ac:dyDescent="0.25">
      <c r="A6832" s="15"/>
      <c r="R6832" s="15"/>
    </row>
    <row r="6833" spans="1:18" x14ac:dyDescent="0.25">
      <c r="A6833" s="15"/>
      <c r="R6833" s="15"/>
    </row>
    <row r="6834" spans="1:18" x14ac:dyDescent="0.25">
      <c r="A6834" s="15"/>
      <c r="R6834" s="15"/>
    </row>
    <row r="6835" spans="1:18" x14ac:dyDescent="0.25">
      <c r="A6835" s="15"/>
      <c r="R6835" s="15"/>
    </row>
    <row r="6836" spans="1:18" x14ac:dyDescent="0.25">
      <c r="A6836" s="15"/>
      <c r="R6836" s="15"/>
    </row>
    <row r="6837" spans="1:18" x14ac:dyDescent="0.25">
      <c r="A6837" s="15"/>
      <c r="R6837" s="15"/>
    </row>
    <row r="6838" spans="1:18" x14ac:dyDescent="0.25">
      <c r="A6838" s="15"/>
      <c r="R6838" s="15"/>
    </row>
    <row r="6839" spans="1:18" x14ac:dyDescent="0.25">
      <c r="A6839" s="15"/>
      <c r="R6839" s="15"/>
    </row>
    <row r="6840" spans="1:18" x14ac:dyDescent="0.25">
      <c r="A6840" s="15"/>
      <c r="R6840" s="15"/>
    </row>
    <row r="6841" spans="1:18" x14ac:dyDescent="0.25">
      <c r="A6841" s="15"/>
      <c r="R6841" s="15"/>
    </row>
    <row r="6842" spans="1:18" x14ac:dyDescent="0.25">
      <c r="A6842" s="15"/>
      <c r="R6842" s="15"/>
    </row>
    <row r="6843" spans="1:18" x14ac:dyDescent="0.25">
      <c r="A6843" s="15"/>
      <c r="R6843" s="15"/>
    </row>
    <row r="6844" spans="1:18" x14ac:dyDescent="0.25">
      <c r="A6844" s="15"/>
      <c r="R6844" s="15"/>
    </row>
    <row r="6845" spans="1:18" x14ac:dyDescent="0.25">
      <c r="A6845" s="15"/>
      <c r="R6845" s="15"/>
    </row>
    <row r="6846" spans="1:18" x14ac:dyDescent="0.25">
      <c r="A6846" s="15"/>
      <c r="R6846" s="15"/>
    </row>
    <row r="6847" spans="1:18" x14ac:dyDescent="0.25">
      <c r="A6847" s="15"/>
      <c r="R6847" s="15"/>
    </row>
    <row r="6848" spans="1:18" x14ac:dyDescent="0.25">
      <c r="A6848" s="15"/>
      <c r="R6848" s="15"/>
    </row>
    <row r="6849" spans="1:18" x14ac:dyDescent="0.25">
      <c r="A6849" s="15"/>
      <c r="R6849" s="15"/>
    </row>
    <row r="6850" spans="1:18" x14ac:dyDescent="0.25">
      <c r="A6850" s="15"/>
      <c r="R6850" s="15"/>
    </row>
    <row r="6851" spans="1:18" x14ac:dyDescent="0.25">
      <c r="A6851" s="15"/>
      <c r="R6851" s="15"/>
    </row>
    <row r="6852" spans="1:18" x14ac:dyDescent="0.25">
      <c r="A6852" s="15"/>
      <c r="R6852" s="15"/>
    </row>
    <row r="6853" spans="1:18" x14ac:dyDescent="0.25">
      <c r="A6853" s="15"/>
      <c r="R6853" s="15"/>
    </row>
    <row r="6854" spans="1:18" x14ac:dyDescent="0.25">
      <c r="A6854" s="15"/>
      <c r="R6854" s="15"/>
    </row>
    <row r="6855" spans="1:18" x14ac:dyDescent="0.25">
      <c r="A6855" s="15"/>
      <c r="R6855" s="15"/>
    </row>
    <row r="6856" spans="1:18" x14ac:dyDescent="0.25">
      <c r="A6856" s="15"/>
      <c r="R6856" s="15"/>
    </row>
    <row r="6857" spans="1:18" x14ac:dyDescent="0.25">
      <c r="A6857" s="15"/>
      <c r="R6857" s="15"/>
    </row>
    <row r="6858" spans="1:18" x14ac:dyDescent="0.25">
      <c r="A6858" s="15"/>
      <c r="R6858" s="15"/>
    </row>
    <row r="6859" spans="1:18" x14ac:dyDescent="0.25">
      <c r="A6859" s="15"/>
      <c r="R6859" s="15"/>
    </row>
    <row r="6860" spans="1:18" x14ac:dyDescent="0.25">
      <c r="A6860" s="15"/>
      <c r="R6860" s="15"/>
    </row>
    <row r="6861" spans="1:18" x14ac:dyDescent="0.25">
      <c r="A6861" s="15"/>
      <c r="R6861" s="15"/>
    </row>
    <row r="6862" spans="1:18" x14ac:dyDescent="0.25">
      <c r="A6862" s="15"/>
      <c r="R6862" s="15"/>
    </row>
    <row r="6863" spans="1:18" x14ac:dyDescent="0.25">
      <c r="A6863" s="15"/>
      <c r="R6863" s="15"/>
    </row>
    <row r="6864" spans="1:18" x14ac:dyDescent="0.25">
      <c r="A6864" s="15"/>
      <c r="R6864" s="15"/>
    </row>
    <row r="6865" spans="1:18" x14ac:dyDescent="0.25">
      <c r="A6865" s="15"/>
      <c r="R6865" s="15"/>
    </row>
    <row r="6866" spans="1:18" x14ac:dyDescent="0.25">
      <c r="A6866" s="15"/>
      <c r="R6866" s="15"/>
    </row>
    <row r="6867" spans="1:18" x14ac:dyDescent="0.25">
      <c r="A6867" s="15"/>
      <c r="R6867" s="15"/>
    </row>
    <row r="6868" spans="1:18" x14ac:dyDescent="0.25">
      <c r="A6868" s="15"/>
      <c r="R6868" s="15"/>
    </row>
    <row r="6869" spans="1:18" x14ac:dyDescent="0.25">
      <c r="A6869" s="15"/>
      <c r="R6869" s="15"/>
    </row>
    <row r="6870" spans="1:18" x14ac:dyDescent="0.25">
      <c r="A6870" s="15"/>
      <c r="R6870" s="15"/>
    </row>
    <row r="6871" spans="1:18" x14ac:dyDescent="0.25">
      <c r="A6871" s="15"/>
      <c r="R6871" s="15"/>
    </row>
    <row r="6872" spans="1:18" x14ac:dyDescent="0.25">
      <c r="A6872" s="15"/>
      <c r="R6872" s="15"/>
    </row>
    <row r="6873" spans="1:18" x14ac:dyDescent="0.25">
      <c r="A6873" s="15"/>
      <c r="R6873" s="15"/>
    </row>
    <row r="6874" spans="1:18" x14ac:dyDescent="0.25">
      <c r="A6874" s="15"/>
      <c r="R6874" s="15"/>
    </row>
    <row r="6875" spans="1:18" x14ac:dyDescent="0.25">
      <c r="A6875" s="15"/>
      <c r="R6875" s="15"/>
    </row>
    <row r="6876" spans="1:18" x14ac:dyDescent="0.25">
      <c r="A6876" s="15"/>
      <c r="R6876" s="15"/>
    </row>
    <row r="6877" spans="1:18" x14ac:dyDescent="0.25">
      <c r="A6877" s="15"/>
      <c r="R6877" s="15"/>
    </row>
    <row r="6878" spans="1:18" x14ac:dyDescent="0.25">
      <c r="A6878" s="15"/>
      <c r="R6878" s="15"/>
    </row>
    <row r="6879" spans="1:18" x14ac:dyDescent="0.25">
      <c r="A6879" s="15"/>
      <c r="R6879" s="15"/>
    </row>
    <row r="6880" spans="1:18" x14ac:dyDescent="0.25">
      <c r="A6880" s="15"/>
      <c r="R6880" s="15"/>
    </row>
    <row r="6881" spans="1:18" x14ac:dyDescent="0.25">
      <c r="A6881" s="15"/>
      <c r="R6881" s="15"/>
    </row>
    <row r="6882" spans="1:18" x14ac:dyDescent="0.25">
      <c r="A6882" s="15"/>
      <c r="R6882" s="15"/>
    </row>
    <row r="6883" spans="1:18" x14ac:dyDescent="0.25">
      <c r="A6883" s="15"/>
      <c r="R6883" s="15"/>
    </row>
    <row r="6884" spans="1:18" x14ac:dyDescent="0.25">
      <c r="A6884" s="15"/>
      <c r="R6884" s="15"/>
    </row>
    <row r="6885" spans="1:18" x14ac:dyDescent="0.25">
      <c r="A6885" s="15"/>
      <c r="R6885" s="15"/>
    </row>
    <row r="6886" spans="1:18" x14ac:dyDescent="0.25">
      <c r="A6886" s="15"/>
      <c r="R6886" s="15"/>
    </row>
    <row r="6887" spans="1:18" x14ac:dyDescent="0.25">
      <c r="A6887" s="15"/>
      <c r="R6887" s="15"/>
    </row>
    <row r="6888" spans="1:18" x14ac:dyDescent="0.25">
      <c r="A6888" s="15"/>
      <c r="R6888" s="15"/>
    </row>
    <row r="6889" spans="1:18" x14ac:dyDescent="0.25">
      <c r="A6889" s="15"/>
      <c r="R6889" s="15"/>
    </row>
    <row r="6890" spans="1:18" x14ac:dyDescent="0.25">
      <c r="A6890" s="15"/>
      <c r="R6890" s="15"/>
    </row>
    <row r="6891" spans="1:18" x14ac:dyDescent="0.25">
      <c r="A6891" s="15"/>
      <c r="R6891" s="15"/>
    </row>
    <row r="6892" spans="1:18" x14ac:dyDescent="0.25">
      <c r="A6892" s="15"/>
      <c r="R6892" s="15"/>
    </row>
    <row r="6893" spans="1:18" x14ac:dyDescent="0.25">
      <c r="A6893" s="15"/>
      <c r="R6893" s="15"/>
    </row>
    <row r="6894" spans="1:18" x14ac:dyDescent="0.25">
      <c r="A6894" s="15"/>
      <c r="R6894" s="15"/>
    </row>
    <row r="6895" spans="1:18" x14ac:dyDescent="0.25">
      <c r="A6895" s="15"/>
      <c r="R6895" s="15"/>
    </row>
    <row r="6896" spans="1:18" x14ac:dyDescent="0.25">
      <c r="A6896" s="15"/>
      <c r="R6896" s="15"/>
    </row>
    <row r="6897" spans="1:18" x14ac:dyDescent="0.25">
      <c r="A6897" s="15"/>
      <c r="R6897" s="15"/>
    </row>
    <row r="6898" spans="1:18" x14ac:dyDescent="0.25">
      <c r="A6898" s="15"/>
      <c r="R6898" s="15"/>
    </row>
    <row r="6899" spans="1:18" x14ac:dyDescent="0.25">
      <c r="A6899" s="15"/>
      <c r="R6899" s="15"/>
    </row>
    <row r="6900" spans="1:18" x14ac:dyDescent="0.25">
      <c r="A6900" s="15"/>
      <c r="R6900" s="15"/>
    </row>
    <row r="6901" spans="1:18" x14ac:dyDescent="0.25">
      <c r="A6901" s="15"/>
      <c r="R6901" s="15"/>
    </row>
    <row r="6902" spans="1:18" x14ac:dyDescent="0.25">
      <c r="A6902" s="15"/>
      <c r="R6902" s="15"/>
    </row>
    <row r="6903" spans="1:18" x14ac:dyDescent="0.25">
      <c r="A6903" s="15"/>
      <c r="R6903" s="15"/>
    </row>
    <row r="6904" spans="1:18" x14ac:dyDescent="0.25">
      <c r="A6904" s="15"/>
      <c r="R6904" s="15"/>
    </row>
    <row r="6905" spans="1:18" x14ac:dyDescent="0.25">
      <c r="A6905" s="15"/>
      <c r="R6905" s="15"/>
    </row>
    <row r="6906" spans="1:18" x14ac:dyDescent="0.25">
      <c r="A6906" s="15"/>
      <c r="R6906" s="15"/>
    </row>
    <row r="6907" spans="1:18" x14ac:dyDescent="0.25">
      <c r="A6907" s="15"/>
      <c r="R6907" s="15"/>
    </row>
    <row r="6908" spans="1:18" x14ac:dyDescent="0.25">
      <c r="A6908" s="15"/>
      <c r="R6908" s="15"/>
    </row>
    <row r="6909" spans="1:18" x14ac:dyDescent="0.25">
      <c r="A6909" s="15"/>
      <c r="R6909" s="15"/>
    </row>
    <row r="6910" spans="1:18" x14ac:dyDescent="0.25">
      <c r="A6910" s="15"/>
      <c r="R6910" s="15"/>
    </row>
    <row r="6911" spans="1:18" x14ac:dyDescent="0.25">
      <c r="A6911" s="15"/>
      <c r="R6911" s="15"/>
    </row>
    <row r="6912" spans="1:18" x14ac:dyDescent="0.25">
      <c r="A6912" s="15"/>
      <c r="R6912" s="15"/>
    </row>
    <row r="6913" spans="1:18" x14ac:dyDescent="0.25">
      <c r="A6913" s="15"/>
      <c r="R6913" s="15"/>
    </row>
    <row r="6914" spans="1:18" x14ac:dyDescent="0.25">
      <c r="A6914" s="15"/>
      <c r="R6914" s="15"/>
    </row>
    <row r="6915" spans="1:18" x14ac:dyDescent="0.25">
      <c r="A6915" s="15"/>
      <c r="R6915" s="15"/>
    </row>
    <row r="6916" spans="1:18" x14ac:dyDescent="0.25">
      <c r="A6916" s="15"/>
      <c r="R6916" s="15"/>
    </row>
    <row r="6917" spans="1:18" x14ac:dyDescent="0.25">
      <c r="A6917" s="15"/>
      <c r="R6917" s="15"/>
    </row>
    <row r="6918" spans="1:18" x14ac:dyDescent="0.25">
      <c r="A6918" s="15"/>
      <c r="R6918" s="15"/>
    </row>
    <row r="6919" spans="1:18" x14ac:dyDescent="0.25">
      <c r="A6919" s="15"/>
      <c r="R6919" s="15"/>
    </row>
    <row r="6920" spans="1:18" x14ac:dyDescent="0.25">
      <c r="A6920" s="15"/>
      <c r="R6920" s="15"/>
    </row>
    <row r="6921" spans="1:18" x14ac:dyDescent="0.25">
      <c r="A6921" s="15"/>
      <c r="R6921" s="15"/>
    </row>
    <row r="6922" spans="1:18" x14ac:dyDescent="0.25">
      <c r="A6922" s="15"/>
      <c r="R6922" s="15"/>
    </row>
    <row r="6923" spans="1:18" x14ac:dyDescent="0.25">
      <c r="A6923" s="15"/>
      <c r="R6923" s="15"/>
    </row>
    <row r="6924" spans="1:18" x14ac:dyDescent="0.25">
      <c r="A6924" s="15"/>
      <c r="R6924" s="15"/>
    </row>
    <row r="6925" spans="1:18" x14ac:dyDescent="0.25">
      <c r="A6925" s="15"/>
      <c r="R6925" s="15"/>
    </row>
    <row r="6926" spans="1:18" x14ac:dyDescent="0.25">
      <c r="A6926" s="15"/>
      <c r="R6926" s="15"/>
    </row>
    <row r="6927" spans="1:18" x14ac:dyDescent="0.25">
      <c r="A6927" s="15"/>
      <c r="R6927" s="15"/>
    </row>
    <row r="6928" spans="1:18" x14ac:dyDescent="0.25">
      <c r="A6928" s="15"/>
      <c r="R6928" s="15"/>
    </row>
    <row r="6929" spans="1:18" x14ac:dyDescent="0.25">
      <c r="A6929" s="15"/>
      <c r="R6929" s="15"/>
    </row>
    <row r="6930" spans="1:18" x14ac:dyDescent="0.25">
      <c r="A6930" s="15"/>
      <c r="R6930" s="15"/>
    </row>
    <row r="6931" spans="1:18" x14ac:dyDescent="0.25">
      <c r="A6931" s="15"/>
      <c r="R6931" s="15"/>
    </row>
    <row r="6932" spans="1:18" x14ac:dyDescent="0.25">
      <c r="A6932" s="15"/>
      <c r="R6932" s="15"/>
    </row>
    <row r="6933" spans="1:18" x14ac:dyDescent="0.25">
      <c r="A6933" s="15"/>
      <c r="R6933" s="15"/>
    </row>
    <row r="6934" spans="1:18" x14ac:dyDescent="0.25">
      <c r="A6934" s="15"/>
      <c r="R6934" s="15"/>
    </row>
    <row r="6935" spans="1:18" x14ac:dyDescent="0.25">
      <c r="A6935" s="15"/>
      <c r="R6935" s="15"/>
    </row>
    <row r="6936" spans="1:18" x14ac:dyDescent="0.25">
      <c r="A6936" s="15"/>
      <c r="R6936" s="15"/>
    </row>
    <row r="6937" spans="1:18" x14ac:dyDescent="0.25">
      <c r="A6937" s="15"/>
      <c r="R6937" s="15"/>
    </row>
    <row r="6938" spans="1:18" x14ac:dyDescent="0.25">
      <c r="A6938" s="15"/>
      <c r="R6938" s="15"/>
    </row>
    <row r="6939" spans="1:18" x14ac:dyDescent="0.25">
      <c r="A6939" s="15"/>
      <c r="R6939" s="15"/>
    </row>
    <row r="6940" spans="1:18" x14ac:dyDescent="0.25">
      <c r="A6940" s="15"/>
      <c r="R6940" s="15"/>
    </row>
    <row r="6941" spans="1:18" x14ac:dyDescent="0.25">
      <c r="A6941" s="15"/>
      <c r="R6941" s="15"/>
    </row>
    <row r="6942" spans="1:18" x14ac:dyDescent="0.25">
      <c r="A6942" s="15"/>
      <c r="R6942" s="15"/>
    </row>
    <row r="6943" spans="1:18" x14ac:dyDescent="0.25">
      <c r="A6943" s="15"/>
      <c r="R6943" s="15"/>
    </row>
    <row r="6944" spans="1:18" x14ac:dyDescent="0.25">
      <c r="A6944" s="15"/>
      <c r="R6944" s="15"/>
    </row>
    <row r="6945" spans="1:18" x14ac:dyDescent="0.25">
      <c r="A6945" s="15"/>
      <c r="R6945" s="15"/>
    </row>
    <row r="6946" spans="1:18" x14ac:dyDescent="0.25">
      <c r="A6946" s="15"/>
      <c r="R6946" s="15"/>
    </row>
    <row r="6947" spans="1:18" x14ac:dyDescent="0.25">
      <c r="A6947" s="15"/>
      <c r="R6947" s="15"/>
    </row>
    <row r="6948" spans="1:18" x14ac:dyDescent="0.25">
      <c r="A6948" s="15"/>
      <c r="R6948" s="15"/>
    </row>
    <row r="6949" spans="1:18" x14ac:dyDescent="0.25">
      <c r="A6949" s="15"/>
      <c r="R6949" s="15"/>
    </row>
    <row r="6950" spans="1:18" x14ac:dyDescent="0.25">
      <c r="A6950" s="15"/>
      <c r="R6950" s="15"/>
    </row>
    <row r="6951" spans="1:18" x14ac:dyDescent="0.25">
      <c r="A6951" s="15"/>
      <c r="R6951" s="15"/>
    </row>
    <row r="6952" spans="1:18" x14ac:dyDescent="0.25">
      <c r="A6952" s="15"/>
      <c r="R6952" s="15"/>
    </row>
    <row r="6953" spans="1:18" x14ac:dyDescent="0.25">
      <c r="A6953" s="15"/>
      <c r="R6953" s="15"/>
    </row>
    <row r="6954" spans="1:18" x14ac:dyDescent="0.25">
      <c r="A6954" s="15"/>
      <c r="R6954" s="15"/>
    </row>
    <row r="6955" spans="1:18" x14ac:dyDescent="0.25">
      <c r="A6955" s="15"/>
      <c r="R6955" s="15"/>
    </row>
    <row r="6956" spans="1:18" x14ac:dyDescent="0.25">
      <c r="A6956" s="15"/>
      <c r="R6956" s="15"/>
    </row>
    <row r="6957" spans="1:18" x14ac:dyDescent="0.25">
      <c r="A6957" s="15"/>
      <c r="R6957" s="15"/>
    </row>
    <row r="6958" spans="1:18" x14ac:dyDescent="0.25">
      <c r="A6958" s="15"/>
      <c r="R6958" s="15"/>
    </row>
    <row r="6959" spans="1:18" x14ac:dyDescent="0.25">
      <c r="A6959" s="15"/>
      <c r="R6959" s="15"/>
    </row>
    <row r="6960" spans="1:18" x14ac:dyDescent="0.25">
      <c r="A6960" s="15"/>
      <c r="R6960" s="15"/>
    </row>
    <row r="6961" spans="1:18" x14ac:dyDescent="0.25">
      <c r="A6961" s="15"/>
      <c r="R6961" s="15"/>
    </row>
    <row r="6962" spans="1:18" x14ac:dyDescent="0.25">
      <c r="A6962" s="15"/>
      <c r="R6962" s="15"/>
    </row>
    <row r="6963" spans="1:18" x14ac:dyDescent="0.25">
      <c r="A6963" s="15"/>
      <c r="R6963" s="15"/>
    </row>
    <row r="6964" spans="1:18" x14ac:dyDescent="0.25">
      <c r="A6964" s="15"/>
      <c r="R6964" s="15"/>
    </row>
    <row r="6965" spans="1:18" x14ac:dyDescent="0.25">
      <c r="A6965" s="15"/>
      <c r="R6965" s="15"/>
    </row>
    <row r="6966" spans="1:18" x14ac:dyDescent="0.25">
      <c r="A6966" s="15"/>
      <c r="R6966" s="15"/>
    </row>
    <row r="6967" spans="1:18" x14ac:dyDescent="0.25">
      <c r="A6967" s="15"/>
      <c r="R6967" s="15"/>
    </row>
    <row r="6968" spans="1:18" x14ac:dyDescent="0.25">
      <c r="A6968" s="15"/>
      <c r="R6968" s="15"/>
    </row>
    <row r="6969" spans="1:18" x14ac:dyDescent="0.25">
      <c r="A6969" s="15"/>
      <c r="R6969" s="15"/>
    </row>
    <row r="6970" spans="1:18" x14ac:dyDescent="0.25">
      <c r="A6970" s="15"/>
      <c r="R6970" s="15"/>
    </row>
    <row r="6971" spans="1:18" x14ac:dyDescent="0.25">
      <c r="A6971" s="15"/>
      <c r="R6971" s="15"/>
    </row>
    <row r="6972" spans="1:18" x14ac:dyDescent="0.25">
      <c r="A6972" s="15"/>
      <c r="R6972" s="15"/>
    </row>
    <row r="6973" spans="1:18" x14ac:dyDescent="0.25">
      <c r="A6973" s="15"/>
      <c r="R6973" s="15"/>
    </row>
    <row r="6974" spans="1:18" x14ac:dyDescent="0.25">
      <c r="A6974" s="15"/>
      <c r="R6974" s="15"/>
    </row>
    <row r="6975" spans="1:18" x14ac:dyDescent="0.25">
      <c r="A6975" s="15"/>
      <c r="R6975" s="15"/>
    </row>
    <row r="6976" spans="1:18" x14ac:dyDescent="0.25">
      <c r="A6976" s="15"/>
      <c r="R6976" s="15"/>
    </row>
    <row r="6977" spans="1:18" x14ac:dyDescent="0.25">
      <c r="A6977" s="15"/>
      <c r="R6977" s="15"/>
    </row>
    <row r="6978" spans="1:18" x14ac:dyDescent="0.25">
      <c r="A6978" s="15"/>
      <c r="R6978" s="15"/>
    </row>
    <row r="6979" spans="1:18" x14ac:dyDescent="0.25">
      <c r="A6979" s="15"/>
      <c r="R6979" s="15"/>
    </row>
    <row r="6980" spans="1:18" x14ac:dyDescent="0.25">
      <c r="A6980" s="15"/>
      <c r="R6980" s="15"/>
    </row>
    <row r="6981" spans="1:18" x14ac:dyDescent="0.25">
      <c r="A6981" s="15"/>
      <c r="R6981" s="15"/>
    </row>
    <row r="6982" spans="1:18" x14ac:dyDescent="0.25">
      <c r="A6982" s="15"/>
      <c r="R6982" s="15"/>
    </row>
    <row r="6983" spans="1:18" x14ac:dyDescent="0.25">
      <c r="A6983" s="15"/>
      <c r="R6983" s="15"/>
    </row>
    <row r="6984" spans="1:18" x14ac:dyDescent="0.25">
      <c r="A6984" s="15"/>
      <c r="R6984" s="15"/>
    </row>
    <row r="6985" spans="1:18" x14ac:dyDescent="0.25">
      <c r="A6985" s="15"/>
      <c r="R6985" s="15"/>
    </row>
    <row r="6986" spans="1:18" x14ac:dyDescent="0.25">
      <c r="A6986" s="15"/>
      <c r="R6986" s="15"/>
    </row>
    <row r="6987" spans="1:18" x14ac:dyDescent="0.25">
      <c r="A6987" s="15"/>
      <c r="R6987" s="15"/>
    </row>
    <row r="6988" spans="1:18" x14ac:dyDescent="0.25">
      <c r="A6988" s="15"/>
      <c r="R6988" s="15"/>
    </row>
    <row r="6989" spans="1:18" x14ac:dyDescent="0.25">
      <c r="A6989" s="15"/>
      <c r="R6989" s="15"/>
    </row>
    <row r="6990" spans="1:18" x14ac:dyDescent="0.25">
      <c r="A6990" s="15"/>
      <c r="R6990" s="15"/>
    </row>
    <row r="6991" spans="1:18" x14ac:dyDescent="0.25">
      <c r="A6991" s="15"/>
      <c r="R6991" s="15"/>
    </row>
    <row r="6992" spans="1:18" x14ac:dyDescent="0.25">
      <c r="A6992" s="15"/>
      <c r="R6992" s="15"/>
    </row>
    <row r="6993" spans="1:18" x14ac:dyDescent="0.25">
      <c r="A6993" s="15"/>
      <c r="R6993" s="15"/>
    </row>
    <row r="6994" spans="1:18" x14ac:dyDescent="0.25">
      <c r="A6994" s="15"/>
      <c r="R6994" s="15"/>
    </row>
    <row r="6995" spans="1:18" x14ac:dyDescent="0.25">
      <c r="A6995" s="15"/>
      <c r="R6995" s="15"/>
    </row>
    <row r="6996" spans="1:18" x14ac:dyDescent="0.25">
      <c r="A6996" s="15"/>
      <c r="R6996" s="15"/>
    </row>
    <row r="6997" spans="1:18" x14ac:dyDescent="0.25">
      <c r="A6997" s="15"/>
      <c r="R6997" s="15"/>
    </row>
    <row r="6998" spans="1:18" x14ac:dyDescent="0.25">
      <c r="A6998" s="15"/>
      <c r="R6998" s="15"/>
    </row>
    <row r="6999" spans="1:18" x14ac:dyDescent="0.25">
      <c r="A6999" s="15"/>
      <c r="R6999" s="15"/>
    </row>
    <row r="7000" spans="1:18" x14ac:dyDescent="0.25">
      <c r="A7000" s="15"/>
      <c r="R7000" s="15"/>
    </row>
    <row r="7001" spans="1:18" x14ac:dyDescent="0.25">
      <c r="A7001" s="15"/>
      <c r="R7001" s="15"/>
    </row>
    <row r="7002" spans="1:18" x14ac:dyDescent="0.25">
      <c r="A7002" s="15"/>
      <c r="R7002" s="15"/>
    </row>
    <row r="7003" spans="1:18" x14ac:dyDescent="0.25">
      <c r="A7003" s="15"/>
      <c r="R7003" s="15"/>
    </row>
    <row r="7004" spans="1:18" x14ac:dyDescent="0.25">
      <c r="A7004" s="15"/>
      <c r="R7004" s="15"/>
    </row>
    <row r="7005" spans="1:18" x14ac:dyDescent="0.25">
      <c r="A7005" s="15"/>
      <c r="R7005" s="15"/>
    </row>
    <row r="7006" spans="1:18" x14ac:dyDescent="0.25">
      <c r="A7006" s="15"/>
      <c r="R7006" s="15"/>
    </row>
    <row r="7007" spans="1:18" x14ac:dyDescent="0.25">
      <c r="A7007" s="15"/>
      <c r="R7007" s="15"/>
    </row>
    <row r="7008" spans="1:18" x14ac:dyDescent="0.25">
      <c r="A7008" s="15"/>
      <c r="R7008" s="15"/>
    </row>
    <row r="7009" spans="1:18" x14ac:dyDescent="0.25">
      <c r="A7009" s="15"/>
      <c r="R7009" s="15"/>
    </row>
    <row r="7010" spans="1:18" x14ac:dyDescent="0.25">
      <c r="A7010" s="15"/>
      <c r="R7010" s="15"/>
    </row>
    <row r="7011" spans="1:18" x14ac:dyDescent="0.25">
      <c r="A7011" s="15"/>
      <c r="R7011" s="15"/>
    </row>
    <row r="7012" spans="1:18" x14ac:dyDescent="0.25">
      <c r="A7012" s="15"/>
      <c r="R7012" s="15"/>
    </row>
    <row r="7013" spans="1:18" x14ac:dyDescent="0.25">
      <c r="A7013" s="15"/>
      <c r="R7013" s="15"/>
    </row>
    <row r="7014" spans="1:18" x14ac:dyDescent="0.25">
      <c r="A7014" s="15"/>
      <c r="R7014" s="15"/>
    </row>
    <row r="7015" spans="1:18" x14ac:dyDescent="0.25">
      <c r="A7015" s="15"/>
      <c r="R7015" s="15"/>
    </row>
    <row r="7016" spans="1:18" x14ac:dyDescent="0.25">
      <c r="A7016" s="15"/>
      <c r="R7016" s="15"/>
    </row>
    <row r="7017" spans="1:18" x14ac:dyDescent="0.25">
      <c r="A7017" s="15"/>
      <c r="R7017" s="15"/>
    </row>
    <row r="7018" spans="1:18" x14ac:dyDescent="0.25">
      <c r="A7018" s="15"/>
      <c r="R7018" s="15"/>
    </row>
    <row r="7019" spans="1:18" x14ac:dyDescent="0.25">
      <c r="A7019" s="15"/>
      <c r="R7019" s="15"/>
    </row>
    <row r="7020" spans="1:18" x14ac:dyDescent="0.25">
      <c r="A7020" s="15"/>
      <c r="R7020" s="15"/>
    </row>
    <row r="7021" spans="1:18" x14ac:dyDescent="0.25">
      <c r="A7021" s="15"/>
      <c r="R7021" s="15"/>
    </row>
    <row r="7022" spans="1:18" x14ac:dyDescent="0.25">
      <c r="A7022" s="15"/>
      <c r="R7022" s="15"/>
    </row>
    <row r="7023" spans="1:18" x14ac:dyDescent="0.25">
      <c r="A7023" s="15"/>
      <c r="R7023" s="15"/>
    </row>
    <row r="7024" spans="1:18" x14ac:dyDescent="0.25">
      <c r="A7024" s="15"/>
      <c r="R7024" s="15"/>
    </row>
    <row r="7025" spans="1:18" x14ac:dyDescent="0.25">
      <c r="A7025" s="15"/>
      <c r="R7025" s="15"/>
    </row>
    <row r="7026" spans="1:18" x14ac:dyDescent="0.25">
      <c r="A7026" s="15"/>
      <c r="R7026" s="15"/>
    </row>
    <row r="7027" spans="1:18" x14ac:dyDescent="0.25">
      <c r="A7027" s="15"/>
      <c r="R7027" s="15"/>
    </row>
    <row r="7028" spans="1:18" x14ac:dyDescent="0.25">
      <c r="A7028" s="15"/>
      <c r="R7028" s="15"/>
    </row>
    <row r="7029" spans="1:18" x14ac:dyDescent="0.25">
      <c r="A7029" s="15"/>
      <c r="R7029" s="15"/>
    </row>
    <row r="7030" spans="1:18" x14ac:dyDescent="0.25">
      <c r="A7030" s="15"/>
      <c r="R7030" s="15"/>
    </row>
    <row r="7031" spans="1:18" x14ac:dyDescent="0.25">
      <c r="A7031" s="15"/>
      <c r="R7031" s="15"/>
    </row>
    <row r="7032" spans="1:18" x14ac:dyDescent="0.25">
      <c r="A7032" s="15"/>
      <c r="R7032" s="15"/>
    </row>
    <row r="7033" spans="1:18" x14ac:dyDescent="0.25">
      <c r="A7033" s="15"/>
      <c r="R7033" s="15"/>
    </row>
    <row r="7034" spans="1:18" x14ac:dyDescent="0.25">
      <c r="A7034" s="15"/>
      <c r="R7034" s="15"/>
    </row>
    <row r="7035" spans="1:18" x14ac:dyDescent="0.25">
      <c r="A7035" s="15"/>
      <c r="R7035" s="15"/>
    </row>
    <row r="7036" spans="1:18" x14ac:dyDescent="0.25">
      <c r="A7036" s="15"/>
      <c r="R7036" s="15"/>
    </row>
    <row r="7037" spans="1:18" x14ac:dyDescent="0.25">
      <c r="A7037" s="15"/>
      <c r="R7037" s="15"/>
    </row>
    <row r="7038" spans="1:18" x14ac:dyDescent="0.25">
      <c r="A7038" s="15"/>
      <c r="R7038" s="15"/>
    </row>
    <row r="7039" spans="1:18" x14ac:dyDescent="0.25">
      <c r="A7039" s="15"/>
      <c r="R7039" s="15"/>
    </row>
    <row r="7040" spans="1:18" x14ac:dyDescent="0.25">
      <c r="A7040" s="15"/>
      <c r="R7040" s="15"/>
    </row>
    <row r="7041" spans="1:18" x14ac:dyDescent="0.25">
      <c r="A7041" s="15"/>
      <c r="R7041" s="15"/>
    </row>
    <row r="7042" spans="1:18" x14ac:dyDescent="0.25">
      <c r="A7042" s="15"/>
      <c r="R7042" s="15"/>
    </row>
    <row r="7043" spans="1:18" x14ac:dyDescent="0.25">
      <c r="A7043" s="15"/>
      <c r="R7043" s="15"/>
    </row>
    <row r="7044" spans="1:18" x14ac:dyDescent="0.25">
      <c r="A7044" s="15"/>
      <c r="R7044" s="15"/>
    </row>
    <row r="7045" spans="1:18" x14ac:dyDescent="0.25">
      <c r="A7045" s="15"/>
      <c r="R7045" s="15"/>
    </row>
    <row r="7046" spans="1:18" x14ac:dyDescent="0.25">
      <c r="A7046" s="15"/>
      <c r="R7046" s="15"/>
    </row>
    <row r="7047" spans="1:18" x14ac:dyDescent="0.25">
      <c r="A7047" s="15"/>
      <c r="R7047" s="15"/>
    </row>
    <row r="7048" spans="1:18" x14ac:dyDescent="0.25">
      <c r="A7048" s="15"/>
      <c r="R7048" s="15"/>
    </row>
    <row r="7049" spans="1:18" x14ac:dyDescent="0.25">
      <c r="A7049" s="15"/>
      <c r="R7049" s="15"/>
    </row>
    <row r="7050" spans="1:18" x14ac:dyDescent="0.25">
      <c r="A7050" s="15"/>
      <c r="R7050" s="15"/>
    </row>
    <row r="7051" spans="1:18" x14ac:dyDescent="0.25">
      <c r="A7051" s="15"/>
      <c r="R7051" s="15"/>
    </row>
    <row r="7052" spans="1:18" x14ac:dyDescent="0.25">
      <c r="A7052" s="15"/>
      <c r="R7052" s="15"/>
    </row>
    <row r="7053" spans="1:18" x14ac:dyDescent="0.25">
      <c r="A7053" s="15"/>
      <c r="R7053" s="15"/>
    </row>
    <row r="7054" spans="1:18" x14ac:dyDescent="0.25">
      <c r="A7054" s="15"/>
      <c r="R7054" s="15"/>
    </row>
    <row r="7055" spans="1:18" x14ac:dyDescent="0.25">
      <c r="A7055" s="15"/>
      <c r="R7055" s="15"/>
    </row>
    <row r="7056" spans="1:18" x14ac:dyDescent="0.25">
      <c r="A7056" s="15"/>
      <c r="R7056" s="15"/>
    </row>
    <row r="7057" spans="1:18" x14ac:dyDescent="0.25">
      <c r="A7057" s="15"/>
      <c r="R7057" s="15"/>
    </row>
    <row r="7058" spans="1:18" x14ac:dyDescent="0.25">
      <c r="A7058" s="15"/>
      <c r="R7058" s="15"/>
    </row>
    <row r="7059" spans="1:18" x14ac:dyDescent="0.25">
      <c r="A7059" s="15"/>
      <c r="R7059" s="15"/>
    </row>
    <row r="7060" spans="1:18" x14ac:dyDescent="0.25">
      <c r="A7060" s="15"/>
      <c r="R7060" s="15"/>
    </row>
    <row r="7061" spans="1:18" x14ac:dyDescent="0.25">
      <c r="A7061" s="15"/>
      <c r="R7061" s="15"/>
    </row>
    <row r="7062" spans="1:18" x14ac:dyDescent="0.25">
      <c r="A7062" s="15"/>
      <c r="R7062" s="15"/>
    </row>
    <row r="7063" spans="1:18" x14ac:dyDescent="0.25">
      <c r="A7063" s="15"/>
      <c r="R7063" s="15"/>
    </row>
    <row r="7064" spans="1:18" x14ac:dyDescent="0.25">
      <c r="A7064" s="15"/>
      <c r="R7064" s="15"/>
    </row>
    <row r="7065" spans="1:18" x14ac:dyDescent="0.25">
      <c r="A7065" s="15"/>
      <c r="R7065" s="15"/>
    </row>
    <row r="7066" spans="1:18" x14ac:dyDescent="0.25">
      <c r="A7066" s="15"/>
      <c r="R7066" s="15"/>
    </row>
    <row r="7067" spans="1:18" x14ac:dyDescent="0.25">
      <c r="A7067" s="15"/>
      <c r="R7067" s="15"/>
    </row>
    <row r="7068" spans="1:18" x14ac:dyDescent="0.25">
      <c r="A7068" s="15"/>
      <c r="R7068" s="15"/>
    </row>
    <row r="7069" spans="1:18" x14ac:dyDescent="0.25">
      <c r="A7069" s="15"/>
      <c r="R7069" s="15"/>
    </row>
    <row r="7070" spans="1:18" x14ac:dyDescent="0.25">
      <c r="A7070" s="15"/>
      <c r="R7070" s="15"/>
    </row>
    <row r="7071" spans="1:18" x14ac:dyDescent="0.25">
      <c r="A7071" s="15"/>
      <c r="R7071" s="15"/>
    </row>
    <row r="7072" spans="1:18" x14ac:dyDescent="0.25">
      <c r="A7072" s="15"/>
      <c r="R7072" s="15"/>
    </row>
    <row r="7073" spans="1:18" x14ac:dyDescent="0.25">
      <c r="A7073" s="15"/>
      <c r="R7073" s="15"/>
    </row>
    <row r="7074" spans="1:18" x14ac:dyDescent="0.25">
      <c r="A7074" s="15"/>
      <c r="R7074" s="15"/>
    </row>
    <row r="7075" spans="1:18" x14ac:dyDescent="0.25">
      <c r="A7075" s="15"/>
      <c r="R7075" s="15"/>
    </row>
    <row r="7076" spans="1:18" x14ac:dyDescent="0.25">
      <c r="A7076" s="15"/>
      <c r="R7076" s="15"/>
    </row>
    <row r="7077" spans="1:18" x14ac:dyDescent="0.25">
      <c r="A7077" s="15"/>
      <c r="R7077" s="15"/>
    </row>
    <row r="7078" spans="1:18" x14ac:dyDescent="0.25">
      <c r="A7078" s="15"/>
      <c r="R7078" s="15"/>
    </row>
    <row r="7079" spans="1:18" x14ac:dyDescent="0.25">
      <c r="A7079" s="15"/>
      <c r="R7079" s="15"/>
    </row>
    <row r="7080" spans="1:18" x14ac:dyDescent="0.25">
      <c r="A7080" s="15"/>
      <c r="R7080" s="15"/>
    </row>
    <row r="7081" spans="1:18" x14ac:dyDescent="0.25">
      <c r="A7081" s="15"/>
      <c r="R7081" s="15"/>
    </row>
    <row r="7082" spans="1:18" x14ac:dyDescent="0.25">
      <c r="A7082" s="15"/>
      <c r="R7082" s="15"/>
    </row>
    <row r="7083" spans="1:18" x14ac:dyDescent="0.25">
      <c r="A7083" s="15"/>
      <c r="R7083" s="15"/>
    </row>
    <row r="7084" spans="1:18" x14ac:dyDescent="0.25">
      <c r="A7084" s="15"/>
      <c r="R7084" s="15"/>
    </row>
    <row r="7085" spans="1:18" x14ac:dyDescent="0.25">
      <c r="A7085" s="15"/>
      <c r="R7085" s="15"/>
    </row>
    <row r="7086" spans="1:18" x14ac:dyDescent="0.25">
      <c r="A7086" s="15"/>
      <c r="R7086" s="15"/>
    </row>
    <row r="7087" spans="1:18" x14ac:dyDescent="0.25">
      <c r="A7087" s="15"/>
      <c r="R7087" s="15"/>
    </row>
    <row r="7088" spans="1:18" x14ac:dyDescent="0.25">
      <c r="A7088" s="15"/>
      <c r="R7088" s="15"/>
    </row>
    <row r="7089" spans="1:18" x14ac:dyDescent="0.25">
      <c r="A7089" s="15"/>
      <c r="R7089" s="15"/>
    </row>
    <row r="7090" spans="1:18" x14ac:dyDescent="0.25">
      <c r="A7090" s="15"/>
      <c r="R7090" s="15"/>
    </row>
    <row r="7091" spans="1:18" x14ac:dyDescent="0.25">
      <c r="A7091" s="15"/>
      <c r="R7091" s="15"/>
    </row>
    <row r="7092" spans="1:18" x14ac:dyDescent="0.25">
      <c r="A7092" s="15"/>
      <c r="R7092" s="15"/>
    </row>
    <row r="7093" spans="1:18" x14ac:dyDescent="0.25">
      <c r="A7093" s="15"/>
      <c r="R7093" s="15"/>
    </row>
    <row r="7094" spans="1:18" x14ac:dyDescent="0.25">
      <c r="A7094" s="15"/>
      <c r="R7094" s="15"/>
    </row>
    <row r="7095" spans="1:18" x14ac:dyDescent="0.25">
      <c r="A7095" s="15"/>
      <c r="R7095" s="15"/>
    </row>
    <row r="7096" spans="1:18" x14ac:dyDescent="0.25">
      <c r="A7096" s="15"/>
      <c r="R7096" s="15"/>
    </row>
    <row r="7097" spans="1:18" x14ac:dyDescent="0.25">
      <c r="A7097" s="15"/>
      <c r="R7097" s="15"/>
    </row>
    <row r="7098" spans="1:18" x14ac:dyDescent="0.25">
      <c r="A7098" s="15"/>
      <c r="R7098" s="15"/>
    </row>
    <row r="7099" spans="1:18" x14ac:dyDescent="0.25">
      <c r="A7099" s="15"/>
      <c r="R7099" s="15"/>
    </row>
    <row r="7100" spans="1:18" x14ac:dyDescent="0.25">
      <c r="A7100" s="15"/>
      <c r="R7100" s="15"/>
    </row>
    <row r="7101" spans="1:18" x14ac:dyDescent="0.25">
      <c r="A7101" s="15"/>
      <c r="R7101" s="15"/>
    </row>
    <row r="7102" spans="1:18" x14ac:dyDescent="0.25">
      <c r="A7102" s="15"/>
      <c r="R7102" s="15"/>
    </row>
    <row r="7103" spans="1:18" x14ac:dyDescent="0.25">
      <c r="A7103" s="15"/>
      <c r="R7103" s="15"/>
    </row>
    <row r="7104" spans="1:18" x14ac:dyDescent="0.25">
      <c r="A7104" s="15"/>
      <c r="R7104" s="15"/>
    </row>
    <row r="7105" spans="1:18" x14ac:dyDescent="0.25">
      <c r="A7105" s="15"/>
      <c r="R7105" s="15"/>
    </row>
    <row r="7106" spans="1:18" x14ac:dyDescent="0.25">
      <c r="A7106" s="15"/>
      <c r="R7106" s="15"/>
    </row>
    <row r="7107" spans="1:18" x14ac:dyDescent="0.25">
      <c r="A7107" s="15"/>
      <c r="R7107" s="15"/>
    </row>
    <row r="7108" spans="1:18" x14ac:dyDescent="0.25">
      <c r="A7108" s="15"/>
      <c r="R7108" s="15"/>
    </row>
    <row r="7109" spans="1:18" x14ac:dyDescent="0.25">
      <c r="A7109" s="15"/>
      <c r="R7109" s="15"/>
    </row>
    <row r="7110" spans="1:18" x14ac:dyDescent="0.25">
      <c r="A7110" s="15"/>
      <c r="R7110" s="15"/>
    </row>
    <row r="7111" spans="1:18" x14ac:dyDescent="0.25">
      <c r="A7111" s="15"/>
      <c r="R7111" s="15"/>
    </row>
    <row r="7112" spans="1:18" x14ac:dyDescent="0.25">
      <c r="A7112" s="15"/>
      <c r="R7112" s="15"/>
    </row>
    <row r="7113" spans="1:18" x14ac:dyDescent="0.25">
      <c r="A7113" s="15"/>
      <c r="R7113" s="15"/>
    </row>
    <row r="7114" spans="1:18" x14ac:dyDescent="0.25">
      <c r="A7114" s="15"/>
      <c r="R7114" s="15"/>
    </row>
    <row r="7115" spans="1:18" x14ac:dyDescent="0.25">
      <c r="A7115" s="15"/>
      <c r="R7115" s="15"/>
    </row>
    <row r="7116" spans="1:18" x14ac:dyDescent="0.25">
      <c r="A7116" s="15"/>
      <c r="R7116" s="15"/>
    </row>
    <row r="7117" spans="1:18" x14ac:dyDescent="0.25">
      <c r="A7117" s="15"/>
      <c r="R7117" s="15"/>
    </row>
    <row r="7118" spans="1:18" x14ac:dyDescent="0.25">
      <c r="A7118" s="15"/>
      <c r="R7118" s="15"/>
    </row>
    <row r="7119" spans="1:18" x14ac:dyDescent="0.25">
      <c r="A7119" s="15"/>
      <c r="R7119" s="15"/>
    </row>
    <row r="7120" spans="1:18" x14ac:dyDescent="0.25">
      <c r="A7120" s="15"/>
      <c r="R7120" s="15"/>
    </row>
    <row r="7121" spans="1:18" x14ac:dyDescent="0.25">
      <c r="A7121" s="15"/>
      <c r="R7121" s="15"/>
    </row>
    <row r="7122" spans="1:18" x14ac:dyDescent="0.25">
      <c r="A7122" s="15"/>
      <c r="R7122" s="15"/>
    </row>
    <row r="7123" spans="1:18" x14ac:dyDescent="0.25">
      <c r="A7123" s="15"/>
      <c r="R7123" s="15"/>
    </row>
    <row r="7124" spans="1:18" x14ac:dyDescent="0.25">
      <c r="A7124" s="15"/>
      <c r="R7124" s="15"/>
    </row>
    <row r="7125" spans="1:18" x14ac:dyDescent="0.25">
      <c r="A7125" s="15"/>
      <c r="R7125" s="15"/>
    </row>
    <row r="7126" spans="1:18" x14ac:dyDescent="0.25">
      <c r="A7126" s="15"/>
      <c r="R7126" s="15"/>
    </row>
    <row r="7127" spans="1:18" x14ac:dyDescent="0.25">
      <c r="A7127" s="15"/>
      <c r="R7127" s="15"/>
    </row>
    <row r="7128" spans="1:18" x14ac:dyDescent="0.25">
      <c r="A7128" s="15"/>
      <c r="R7128" s="15"/>
    </row>
    <row r="7129" spans="1:18" x14ac:dyDescent="0.25">
      <c r="A7129" s="15"/>
      <c r="R7129" s="15"/>
    </row>
    <row r="7130" spans="1:18" x14ac:dyDescent="0.25">
      <c r="A7130" s="15"/>
      <c r="R7130" s="15"/>
    </row>
    <row r="7131" spans="1:18" x14ac:dyDescent="0.25">
      <c r="A7131" s="15"/>
      <c r="R7131" s="15"/>
    </row>
    <row r="7132" spans="1:18" x14ac:dyDescent="0.25">
      <c r="A7132" s="15"/>
      <c r="R7132" s="15"/>
    </row>
    <row r="7133" spans="1:18" x14ac:dyDescent="0.25">
      <c r="A7133" s="15"/>
      <c r="R7133" s="15"/>
    </row>
    <row r="7134" spans="1:18" x14ac:dyDescent="0.25">
      <c r="A7134" s="15"/>
      <c r="R7134" s="15"/>
    </row>
    <row r="7135" spans="1:18" x14ac:dyDescent="0.25">
      <c r="A7135" s="15"/>
      <c r="R7135" s="15"/>
    </row>
    <row r="7136" spans="1:18" x14ac:dyDescent="0.25">
      <c r="A7136" s="15"/>
      <c r="R7136" s="15"/>
    </row>
    <row r="7137" spans="1:18" x14ac:dyDescent="0.25">
      <c r="A7137" s="15"/>
      <c r="R7137" s="15"/>
    </row>
    <row r="7138" spans="1:18" x14ac:dyDescent="0.25">
      <c r="A7138" s="15"/>
      <c r="R7138" s="15"/>
    </row>
    <row r="7139" spans="1:18" x14ac:dyDescent="0.25">
      <c r="A7139" s="15"/>
      <c r="R7139" s="15"/>
    </row>
    <row r="7140" spans="1:18" x14ac:dyDescent="0.25">
      <c r="A7140" s="15"/>
      <c r="R7140" s="15"/>
    </row>
    <row r="7141" spans="1:18" x14ac:dyDescent="0.25">
      <c r="A7141" s="15"/>
      <c r="R7141" s="15"/>
    </row>
    <row r="7142" spans="1:18" x14ac:dyDescent="0.25">
      <c r="A7142" s="15"/>
      <c r="R7142" s="15"/>
    </row>
    <row r="7143" spans="1:18" x14ac:dyDescent="0.25">
      <c r="A7143" s="15"/>
      <c r="R7143" s="15"/>
    </row>
    <row r="7144" spans="1:18" x14ac:dyDescent="0.25">
      <c r="A7144" s="15"/>
      <c r="R7144" s="15"/>
    </row>
    <row r="7145" spans="1:18" x14ac:dyDescent="0.25">
      <c r="A7145" s="15"/>
      <c r="R7145" s="15"/>
    </row>
    <row r="7146" spans="1:18" x14ac:dyDescent="0.25">
      <c r="A7146" s="15"/>
      <c r="R7146" s="15"/>
    </row>
    <row r="7147" spans="1:18" x14ac:dyDescent="0.25">
      <c r="A7147" s="15"/>
      <c r="R7147" s="15"/>
    </row>
    <row r="7148" spans="1:18" x14ac:dyDescent="0.25">
      <c r="A7148" s="15"/>
      <c r="R7148" s="15"/>
    </row>
    <row r="7149" spans="1:18" x14ac:dyDescent="0.25">
      <c r="A7149" s="15"/>
      <c r="R7149" s="15"/>
    </row>
    <row r="7150" spans="1:18" x14ac:dyDescent="0.25">
      <c r="A7150" s="15"/>
      <c r="R7150" s="15"/>
    </row>
    <row r="7151" spans="1:18" x14ac:dyDescent="0.25">
      <c r="A7151" s="15"/>
      <c r="R7151" s="15"/>
    </row>
    <row r="7152" spans="1:18" x14ac:dyDescent="0.25">
      <c r="A7152" s="15"/>
      <c r="R7152" s="15"/>
    </row>
    <row r="7153" spans="1:18" x14ac:dyDescent="0.25">
      <c r="A7153" s="15"/>
      <c r="R7153" s="15"/>
    </row>
    <row r="7154" spans="1:18" x14ac:dyDescent="0.25">
      <c r="A7154" s="15"/>
      <c r="R7154" s="15"/>
    </row>
    <row r="7155" spans="1:18" x14ac:dyDescent="0.25">
      <c r="A7155" s="15"/>
      <c r="R7155" s="15"/>
    </row>
    <row r="7156" spans="1:18" x14ac:dyDescent="0.25">
      <c r="A7156" s="15"/>
      <c r="R7156" s="15"/>
    </row>
    <row r="7157" spans="1:18" x14ac:dyDescent="0.25">
      <c r="A7157" s="15"/>
      <c r="R7157" s="15"/>
    </row>
    <row r="7158" spans="1:18" x14ac:dyDescent="0.25">
      <c r="A7158" s="15"/>
      <c r="R7158" s="15"/>
    </row>
    <row r="7159" spans="1:18" x14ac:dyDescent="0.25">
      <c r="A7159" s="15"/>
      <c r="R7159" s="15"/>
    </row>
    <row r="7160" spans="1:18" x14ac:dyDescent="0.25">
      <c r="A7160" s="15"/>
      <c r="R7160" s="15"/>
    </row>
    <row r="7161" spans="1:18" x14ac:dyDescent="0.25">
      <c r="A7161" s="15"/>
      <c r="R7161" s="15"/>
    </row>
    <row r="7162" spans="1:18" x14ac:dyDescent="0.25">
      <c r="A7162" s="15"/>
      <c r="R7162" s="15"/>
    </row>
    <row r="7163" spans="1:18" x14ac:dyDescent="0.25">
      <c r="A7163" s="15"/>
      <c r="R7163" s="15"/>
    </row>
    <row r="7164" spans="1:18" x14ac:dyDescent="0.25">
      <c r="A7164" s="15"/>
      <c r="R7164" s="15"/>
    </row>
    <row r="7165" spans="1:18" x14ac:dyDescent="0.25">
      <c r="A7165" s="15"/>
      <c r="R7165" s="15"/>
    </row>
    <row r="7166" spans="1:18" x14ac:dyDescent="0.25">
      <c r="A7166" s="15"/>
      <c r="R7166" s="15"/>
    </row>
    <row r="7167" spans="1:18" x14ac:dyDescent="0.25">
      <c r="A7167" s="15"/>
      <c r="R7167" s="15"/>
    </row>
    <row r="7168" spans="1:18" x14ac:dyDescent="0.25">
      <c r="A7168" s="15"/>
      <c r="R7168" s="15"/>
    </row>
    <row r="7169" spans="1:18" x14ac:dyDescent="0.25">
      <c r="A7169" s="15"/>
      <c r="R7169" s="15"/>
    </row>
    <row r="7170" spans="1:18" x14ac:dyDescent="0.25">
      <c r="A7170" s="15"/>
      <c r="R7170" s="15"/>
    </row>
    <row r="7171" spans="1:18" x14ac:dyDescent="0.25">
      <c r="A7171" s="15"/>
      <c r="R7171" s="15"/>
    </row>
    <row r="7172" spans="1:18" x14ac:dyDescent="0.25">
      <c r="A7172" s="15"/>
      <c r="R7172" s="15"/>
    </row>
    <row r="7173" spans="1:18" x14ac:dyDescent="0.25">
      <c r="A7173" s="15"/>
      <c r="R7173" s="15"/>
    </row>
    <row r="7174" spans="1:18" x14ac:dyDescent="0.25">
      <c r="A7174" s="15"/>
      <c r="R7174" s="15"/>
    </row>
    <row r="7175" spans="1:18" x14ac:dyDescent="0.25">
      <c r="A7175" s="15"/>
      <c r="R7175" s="15"/>
    </row>
    <row r="7176" spans="1:18" x14ac:dyDescent="0.25">
      <c r="A7176" s="15"/>
      <c r="R7176" s="15"/>
    </row>
    <row r="7177" spans="1:18" x14ac:dyDescent="0.25">
      <c r="A7177" s="15"/>
      <c r="R7177" s="15"/>
    </row>
    <row r="7178" spans="1:18" x14ac:dyDescent="0.25">
      <c r="A7178" s="15"/>
      <c r="R7178" s="15"/>
    </row>
    <row r="7179" spans="1:18" x14ac:dyDescent="0.25">
      <c r="A7179" s="15"/>
      <c r="R7179" s="15"/>
    </row>
    <row r="7180" spans="1:18" x14ac:dyDescent="0.25">
      <c r="A7180" s="15"/>
      <c r="R7180" s="15"/>
    </row>
    <row r="7181" spans="1:18" x14ac:dyDescent="0.25">
      <c r="A7181" s="15"/>
      <c r="R7181" s="15"/>
    </row>
    <row r="7182" spans="1:18" x14ac:dyDescent="0.25">
      <c r="A7182" s="15"/>
      <c r="R7182" s="15"/>
    </row>
    <row r="7183" spans="1:18" x14ac:dyDescent="0.25">
      <c r="A7183" s="15"/>
      <c r="R7183" s="15"/>
    </row>
    <row r="7184" spans="1:18" x14ac:dyDescent="0.25">
      <c r="A7184" s="15"/>
      <c r="R7184" s="15"/>
    </row>
    <row r="7185" spans="1:18" x14ac:dyDescent="0.25">
      <c r="A7185" s="15"/>
      <c r="R7185" s="15"/>
    </row>
    <row r="7186" spans="1:18" x14ac:dyDescent="0.25">
      <c r="A7186" s="15"/>
      <c r="R7186" s="15"/>
    </row>
    <row r="7187" spans="1:18" x14ac:dyDescent="0.25">
      <c r="A7187" s="15"/>
      <c r="R7187" s="15"/>
    </row>
    <row r="7188" spans="1:18" x14ac:dyDescent="0.25">
      <c r="A7188" s="15"/>
      <c r="R7188" s="15"/>
    </row>
    <row r="7189" spans="1:18" x14ac:dyDescent="0.25">
      <c r="A7189" s="15"/>
      <c r="R7189" s="15"/>
    </row>
    <row r="7190" spans="1:18" x14ac:dyDescent="0.25">
      <c r="A7190" s="15"/>
      <c r="R7190" s="15"/>
    </row>
    <row r="7191" spans="1:18" x14ac:dyDescent="0.25">
      <c r="A7191" s="15"/>
      <c r="R7191" s="15"/>
    </row>
    <row r="7192" spans="1:18" x14ac:dyDescent="0.25">
      <c r="A7192" s="15"/>
      <c r="R7192" s="15"/>
    </row>
    <row r="7193" spans="1:18" x14ac:dyDescent="0.25">
      <c r="A7193" s="15"/>
      <c r="R7193" s="15"/>
    </row>
    <row r="7194" spans="1:18" x14ac:dyDescent="0.25">
      <c r="A7194" s="15"/>
      <c r="R7194" s="15"/>
    </row>
    <row r="7195" spans="1:18" x14ac:dyDescent="0.25">
      <c r="A7195" s="15"/>
      <c r="R7195" s="15"/>
    </row>
    <row r="7196" spans="1:18" x14ac:dyDescent="0.25">
      <c r="A7196" s="15"/>
      <c r="R7196" s="15"/>
    </row>
    <row r="7197" spans="1:18" x14ac:dyDescent="0.25">
      <c r="A7197" s="15"/>
      <c r="R7197" s="15"/>
    </row>
    <row r="7198" spans="1:18" x14ac:dyDescent="0.25">
      <c r="A7198" s="15"/>
      <c r="R7198" s="15"/>
    </row>
    <row r="7199" spans="1:18" x14ac:dyDescent="0.25">
      <c r="A7199" s="15"/>
      <c r="R7199" s="15"/>
    </row>
    <row r="7200" spans="1:18" x14ac:dyDescent="0.25">
      <c r="A7200" s="15"/>
      <c r="R7200" s="15"/>
    </row>
    <row r="7201" spans="1:18" x14ac:dyDescent="0.25">
      <c r="A7201" s="15"/>
      <c r="R7201" s="15"/>
    </row>
    <row r="7202" spans="1:18" x14ac:dyDescent="0.25">
      <c r="A7202" s="15"/>
      <c r="R7202" s="15"/>
    </row>
    <row r="7203" spans="1:18" x14ac:dyDescent="0.25">
      <c r="A7203" s="15"/>
      <c r="R7203" s="15"/>
    </row>
    <row r="7204" spans="1:18" x14ac:dyDescent="0.25">
      <c r="A7204" s="15"/>
      <c r="R7204" s="15"/>
    </row>
    <row r="7205" spans="1:18" x14ac:dyDescent="0.25">
      <c r="A7205" s="15"/>
      <c r="R7205" s="15"/>
    </row>
    <row r="7206" spans="1:18" x14ac:dyDescent="0.25">
      <c r="A7206" s="15"/>
      <c r="R7206" s="15"/>
    </row>
    <row r="7207" spans="1:18" x14ac:dyDescent="0.25">
      <c r="A7207" s="15"/>
      <c r="R7207" s="15"/>
    </row>
    <row r="7208" spans="1:18" x14ac:dyDescent="0.25">
      <c r="A7208" s="15"/>
      <c r="R7208" s="15"/>
    </row>
    <row r="7209" spans="1:18" x14ac:dyDescent="0.25">
      <c r="A7209" s="15"/>
      <c r="R7209" s="15"/>
    </row>
    <row r="7210" spans="1:18" x14ac:dyDescent="0.25">
      <c r="A7210" s="15"/>
      <c r="R7210" s="15"/>
    </row>
    <row r="7211" spans="1:18" x14ac:dyDescent="0.25">
      <c r="A7211" s="15"/>
      <c r="R7211" s="15"/>
    </row>
    <row r="7212" spans="1:18" x14ac:dyDescent="0.25">
      <c r="A7212" s="15"/>
      <c r="R7212" s="15"/>
    </row>
    <row r="7213" spans="1:18" x14ac:dyDescent="0.25">
      <c r="A7213" s="15"/>
      <c r="R7213" s="15"/>
    </row>
    <row r="7214" spans="1:18" x14ac:dyDescent="0.25">
      <c r="A7214" s="15"/>
      <c r="R7214" s="15"/>
    </row>
    <row r="7215" spans="1:18" x14ac:dyDescent="0.25">
      <c r="A7215" s="15"/>
      <c r="R7215" s="15"/>
    </row>
    <row r="7216" spans="1:18" x14ac:dyDescent="0.25">
      <c r="A7216" s="15"/>
      <c r="R7216" s="15"/>
    </row>
    <row r="7217" spans="1:18" x14ac:dyDescent="0.25">
      <c r="A7217" s="15"/>
      <c r="R7217" s="15"/>
    </row>
    <row r="7218" spans="1:18" x14ac:dyDescent="0.25">
      <c r="A7218" s="15"/>
      <c r="R7218" s="15"/>
    </row>
    <row r="7219" spans="1:18" x14ac:dyDescent="0.25">
      <c r="A7219" s="15"/>
      <c r="R7219" s="15"/>
    </row>
    <row r="7220" spans="1:18" x14ac:dyDescent="0.25">
      <c r="A7220" s="15"/>
      <c r="R7220" s="15"/>
    </row>
    <row r="7221" spans="1:18" x14ac:dyDescent="0.25">
      <c r="A7221" s="15"/>
      <c r="R7221" s="15"/>
    </row>
    <row r="7222" spans="1:18" x14ac:dyDescent="0.25">
      <c r="A7222" s="15"/>
      <c r="R7222" s="15"/>
    </row>
    <row r="7223" spans="1:18" x14ac:dyDescent="0.25">
      <c r="A7223" s="15"/>
      <c r="R7223" s="15"/>
    </row>
    <row r="7224" spans="1:18" x14ac:dyDescent="0.25">
      <c r="A7224" s="15"/>
      <c r="R7224" s="15"/>
    </row>
    <row r="7225" spans="1:18" x14ac:dyDescent="0.25">
      <c r="A7225" s="15"/>
      <c r="R7225" s="15"/>
    </row>
    <row r="7226" spans="1:18" x14ac:dyDescent="0.25">
      <c r="A7226" s="15"/>
      <c r="R7226" s="15"/>
    </row>
    <row r="7227" spans="1:18" x14ac:dyDescent="0.25">
      <c r="A7227" s="15"/>
      <c r="R7227" s="15"/>
    </row>
    <row r="7228" spans="1:18" x14ac:dyDescent="0.25">
      <c r="A7228" s="15"/>
      <c r="R7228" s="15"/>
    </row>
    <row r="7229" spans="1:18" x14ac:dyDescent="0.25">
      <c r="A7229" s="15"/>
      <c r="R7229" s="15"/>
    </row>
    <row r="7230" spans="1:18" x14ac:dyDescent="0.25">
      <c r="A7230" s="15"/>
      <c r="R7230" s="15"/>
    </row>
    <row r="7231" spans="1:18" x14ac:dyDescent="0.25">
      <c r="A7231" s="15"/>
      <c r="R7231" s="15"/>
    </row>
    <row r="7232" spans="1:18" x14ac:dyDescent="0.25">
      <c r="A7232" s="15"/>
      <c r="R7232" s="15"/>
    </row>
    <row r="7233" spans="1:18" x14ac:dyDescent="0.25">
      <c r="A7233" s="15"/>
      <c r="R7233" s="15"/>
    </row>
    <row r="7234" spans="1:18" x14ac:dyDescent="0.25">
      <c r="A7234" s="15"/>
      <c r="R7234" s="15"/>
    </row>
    <row r="7235" spans="1:18" x14ac:dyDescent="0.25">
      <c r="A7235" s="15"/>
      <c r="R7235" s="15"/>
    </row>
    <row r="7236" spans="1:18" x14ac:dyDescent="0.25">
      <c r="A7236" s="15"/>
      <c r="R7236" s="15"/>
    </row>
    <row r="7237" spans="1:18" x14ac:dyDescent="0.25">
      <c r="A7237" s="15"/>
      <c r="R7237" s="15"/>
    </row>
    <row r="7238" spans="1:18" x14ac:dyDescent="0.25">
      <c r="A7238" s="15"/>
      <c r="R7238" s="15"/>
    </row>
    <row r="7239" spans="1:18" x14ac:dyDescent="0.25">
      <c r="A7239" s="15"/>
      <c r="R7239" s="15"/>
    </row>
    <row r="7240" spans="1:18" x14ac:dyDescent="0.25">
      <c r="A7240" s="15"/>
      <c r="R7240" s="15"/>
    </row>
    <row r="7241" spans="1:18" x14ac:dyDescent="0.25">
      <c r="A7241" s="15"/>
      <c r="R7241" s="15"/>
    </row>
    <row r="7242" spans="1:18" x14ac:dyDescent="0.25">
      <c r="A7242" s="15"/>
      <c r="R7242" s="15"/>
    </row>
    <row r="7243" spans="1:18" x14ac:dyDescent="0.25">
      <c r="A7243" s="15"/>
      <c r="R7243" s="15"/>
    </row>
    <row r="7244" spans="1:18" x14ac:dyDescent="0.25">
      <c r="A7244" s="15"/>
      <c r="R7244" s="15"/>
    </row>
    <row r="7245" spans="1:18" x14ac:dyDescent="0.25">
      <c r="A7245" s="15"/>
      <c r="R7245" s="15"/>
    </row>
    <row r="7246" spans="1:18" x14ac:dyDescent="0.25">
      <c r="A7246" s="15"/>
      <c r="R7246" s="15"/>
    </row>
    <row r="7247" spans="1:18" x14ac:dyDescent="0.25">
      <c r="A7247" s="15"/>
      <c r="R7247" s="15"/>
    </row>
    <row r="7248" spans="1:18" x14ac:dyDescent="0.25">
      <c r="A7248" s="15"/>
      <c r="R7248" s="15"/>
    </row>
    <row r="7249" spans="1:18" x14ac:dyDescent="0.25">
      <c r="A7249" s="15"/>
      <c r="R7249" s="15"/>
    </row>
    <row r="7250" spans="1:18" x14ac:dyDescent="0.25">
      <c r="A7250" s="15"/>
      <c r="R7250" s="15"/>
    </row>
    <row r="7251" spans="1:18" x14ac:dyDescent="0.25">
      <c r="A7251" s="15"/>
      <c r="R7251" s="15"/>
    </row>
    <row r="7252" spans="1:18" x14ac:dyDescent="0.25">
      <c r="A7252" s="15"/>
      <c r="R7252" s="15"/>
    </row>
    <row r="7253" spans="1:18" x14ac:dyDescent="0.25">
      <c r="A7253" s="15"/>
      <c r="R7253" s="15"/>
    </row>
    <row r="7254" spans="1:18" x14ac:dyDescent="0.25">
      <c r="A7254" s="15"/>
      <c r="R7254" s="15"/>
    </row>
    <row r="7255" spans="1:18" x14ac:dyDescent="0.25">
      <c r="A7255" s="15"/>
      <c r="R7255" s="15"/>
    </row>
    <row r="7256" spans="1:18" x14ac:dyDescent="0.25">
      <c r="A7256" s="15"/>
      <c r="R7256" s="15"/>
    </row>
    <row r="7257" spans="1:18" x14ac:dyDescent="0.25">
      <c r="A7257" s="15"/>
      <c r="R7257" s="15"/>
    </row>
    <row r="7258" spans="1:18" x14ac:dyDescent="0.25">
      <c r="A7258" s="15"/>
      <c r="R7258" s="15"/>
    </row>
    <row r="7259" spans="1:18" x14ac:dyDescent="0.25">
      <c r="A7259" s="15"/>
      <c r="R7259" s="15"/>
    </row>
    <row r="7260" spans="1:18" x14ac:dyDescent="0.25">
      <c r="A7260" s="15"/>
      <c r="R7260" s="15"/>
    </row>
    <row r="7261" spans="1:18" x14ac:dyDescent="0.25">
      <c r="A7261" s="15"/>
      <c r="R7261" s="15"/>
    </row>
    <row r="7262" spans="1:18" x14ac:dyDescent="0.25">
      <c r="A7262" s="15"/>
      <c r="R7262" s="15"/>
    </row>
    <row r="7263" spans="1:18" x14ac:dyDescent="0.25">
      <c r="A7263" s="15"/>
      <c r="R7263" s="15"/>
    </row>
    <row r="7264" spans="1:18" x14ac:dyDescent="0.25">
      <c r="A7264" s="15"/>
      <c r="R7264" s="15"/>
    </row>
    <row r="7265" spans="1:18" x14ac:dyDescent="0.25">
      <c r="A7265" s="15"/>
      <c r="R7265" s="15"/>
    </row>
    <row r="7266" spans="1:18" x14ac:dyDescent="0.25">
      <c r="A7266" s="15"/>
      <c r="R7266" s="15"/>
    </row>
    <row r="7267" spans="1:18" x14ac:dyDescent="0.25">
      <c r="A7267" s="15"/>
      <c r="R7267" s="15"/>
    </row>
    <row r="7268" spans="1:18" x14ac:dyDescent="0.25">
      <c r="A7268" s="15"/>
      <c r="R7268" s="15"/>
    </row>
    <row r="7269" spans="1:18" x14ac:dyDescent="0.25">
      <c r="A7269" s="15"/>
      <c r="R7269" s="15"/>
    </row>
    <row r="7270" spans="1:18" x14ac:dyDescent="0.25">
      <c r="A7270" s="15"/>
      <c r="R7270" s="15"/>
    </row>
    <row r="7271" spans="1:18" x14ac:dyDescent="0.25">
      <c r="A7271" s="15"/>
      <c r="R7271" s="15"/>
    </row>
    <row r="7272" spans="1:18" x14ac:dyDescent="0.25">
      <c r="A7272" s="15"/>
      <c r="R7272" s="15"/>
    </row>
    <row r="7273" spans="1:18" x14ac:dyDescent="0.25">
      <c r="A7273" s="15"/>
      <c r="R7273" s="15"/>
    </row>
    <row r="7274" spans="1:18" x14ac:dyDescent="0.25">
      <c r="A7274" s="15"/>
      <c r="R7274" s="15"/>
    </row>
    <row r="7275" spans="1:18" x14ac:dyDescent="0.25">
      <c r="A7275" s="15"/>
      <c r="R7275" s="15"/>
    </row>
    <row r="7276" spans="1:18" x14ac:dyDescent="0.25">
      <c r="A7276" s="15"/>
      <c r="R7276" s="15"/>
    </row>
    <row r="7277" spans="1:18" x14ac:dyDescent="0.25">
      <c r="A7277" s="15"/>
      <c r="R7277" s="15"/>
    </row>
    <row r="7278" spans="1:18" x14ac:dyDescent="0.25">
      <c r="A7278" s="15"/>
      <c r="R7278" s="15"/>
    </row>
    <row r="7279" spans="1:18" x14ac:dyDescent="0.25">
      <c r="A7279" s="15"/>
      <c r="R7279" s="15"/>
    </row>
    <row r="7280" spans="1:18" x14ac:dyDescent="0.25">
      <c r="A7280" s="15"/>
      <c r="R7280" s="15"/>
    </row>
    <row r="7281" spans="1:18" x14ac:dyDescent="0.25">
      <c r="A7281" s="15"/>
      <c r="R7281" s="15"/>
    </row>
    <row r="7282" spans="1:18" x14ac:dyDescent="0.25">
      <c r="A7282" s="15"/>
      <c r="R7282" s="15"/>
    </row>
    <row r="7283" spans="1:18" x14ac:dyDescent="0.25">
      <c r="A7283" s="15"/>
      <c r="R7283" s="15"/>
    </row>
    <row r="7284" spans="1:18" x14ac:dyDescent="0.25">
      <c r="A7284" s="15"/>
      <c r="R7284" s="15"/>
    </row>
    <row r="7285" spans="1:18" x14ac:dyDescent="0.25">
      <c r="A7285" s="15"/>
      <c r="R7285" s="15"/>
    </row>
    <row r="7286" spans="1:18" x14ac:dyDescent="0.25">
      <c r="A7286" s="15"/>
      <c r="R7286" s="15"/>
    </row>
    <row r="7287" spans="1:18" x14ac:dyDescent="0.25">
      <c r="A7287" s="15"/>
      <c r="R7287" s="15"/>
    </row>
    <row r="7288" spans="1:18" x14ac:dyDescent="0.25">
      <c r="A7288" s="15"/>
      <c r="R7288" s="15"/>
    </row>
    <row r="7289" spans="1:18" x14ac:dyDescent="0.25">
      <c r="A7289" s="15"/>
      <c r="R7289" s="15"/>
    </row>
    <row r="7290" spans="1:18" x14ac:dyDescent="0.25">
      <c r="A7290" s="15"/>
      <c r="R7290" s="15"/>
    </row>
    <row r="7291" spans="1:18" x14ac:dyDescent="0.25">
      <c r="A7291" s="15"/>
      <c r="R7291" s="15"/>
    </row>
    <row r="7292" spans="1:18" x14ac:dyDescent="0.25">
      <c r="A7292" s="15"/>
      <c r="R7292" s="15"/>
    </row>
    <row r="7293" spans="1:18" x14ac:dyDescent="0.25">
      <c r="A7293" s="15"/>
      <c r="R7293" s="15"/>
    </row>
    <row r="7294" spans="1:18" x14ac:dyDescent="0.25">
      <c r="A7294" s="15"/>
      <c r="R7294" s="15"/>
    </row>
    <row r="7295" spans="1:18" x14ac:dyDescent="0.25">
      <c r="A7295" s="15"/>
      <c r="R7295" s="15"/>
    </row>
    <row r="7296" spans="1:18" x14ac:dyDescent="0.25">
      <c r="A7296" s="15"/>
      <c r="R7296" s="15"/>
    </row>
    <row r="7297" spans="1:18" x14ac:dyDescent="0.25">
      <c r="A7297" s="15"/>
      <c r="R7297" s="15"/>
    </row>
    <row r="7298" spans="1:18" x14ac:dyDescent="0.25">
      <c r="A7298" s="15"/>
      <c r="R7298" s="15"/>
    </row>
    <row r="7299" spans="1:18" x14ac:dyDescent="0.25">
      <c r="A7299" s="15"/>
      <c r="R7299" s="15"/>
    </row>
    <row r="7300" spans="1:18" x14ac:dyDescent="0.25">
      <c r="A7300" s="15"/>
      <c r="R7300" s="15"/>
    </row>
    <row r="7301" spans="1:18" x14ac:dyDescent="0.25">
      <c r="A7301" s="15"/>
      <c r="R7301" s="15"/>
    </row>
    <row r="7302" spans="1:18" x14ac:dyDescent="0.25">
      <c r="A7302" s="15"/>
      <c r="R7302" s="15"/>
    </row>
    <row r="7303" spans="1:18" x14ac:dyDescent="0.25">
      <c r="A7303" s="15"/>
      <c r="R7303" s="15"/>
    </row>
    <row r="7304" spans="1:18" x14ac:dyDescent="0.25">
      <c r="A7304" s="15"/>
      <c r="R7304" s="15"/>
    </row>
    <row r="7305" spans="1:18" x14ac:dyDescent="0.25">
      <c r="A7305" s="15"/>
      <c r="R7305" s="15"/>
    </row>
    <row r="7306" spans="1:18" x14ac:dyDescent="0.25">
      <c r="A7306" s="15"/>
      <c r="R7306" s="15"/>
    </row>
    <row r="7307" spans="1:18" x14ac:dyDescent="0.25">
      <c r="A7307" s="15"/>
      <c r="R7307" s="15"/>
    </row>
    <row r="7308" spans="1:18" x14ac:dyDescent="0.25">
      <c r="A7308" s="15"/>
      <c r="R7308" s="15"/>
    </row>
    <row r="7309" spans="1:18" x14ac:dyDescent="0.25">
      <c r="A7309" s="15"/>
      <c r="R7309" s="15"/>
    </row>
    <row r="7310" spans="1:18" x14ac:dyDescent="0.25">
      <c r="A7310" s="15"/>
      <c r="R7310" s="15"/>
    </row>
    <row r="7311" spans="1:18" x14ac:dyDescent="0.25">
      <c r="A7311" s="15"/>
      <c r="R7311" s="15"/>
    </row>
    <row r="7312" spans="1:18" x14ac:dyDescent="0.25">
      <c r="A7312" s="15"/>
      <c r="R7312" s="15"/>
    </row>
    <row r="7313" spans="1:18" x14ac:dyDescent="0.25">
      <c r="A7313" s="15"/>
      <c r="R7313" s="15"/>
    </row>
    <row r="7314" spans="1:18" x14ac:dyDescent="0.25">
      <c r="A7314" s="15"/>
      <c r="R7314" s="15"/>
    </row>
    <row r="7315" spans="1:18" x14ac:dyDescent="0.25">
      <c r="A7315" s="15"/>
      <c r="R7315" s="15"/>
    </row>
    <row r="7316" spans="1:18" x14ac:dyDescent="0.25">
      <c r="A7316" s="15"/>
      <c r="R7316" s="15"/>
    </row>
    <row r="7317" spans="1:18" x14ac:dyDescent="0.25">
      <c r="A7317" s="15"/>
      <c r="R7317" s="15"/>
    </row>
    <row r="7318" spans="1:18" x14ac:dyDescent="0.25">
      <c r="A7318" s="15"/>
      <c r="R7318" s="15"/>
    </row>
    <row r="7319" spans="1:18" x14ac:dyDescent="0.25">
      <c r="A7319" s="15"/>
      <c r="R7319" s="15"/>
    </row>
    <row r="7320" spans="1:18" x14ac:dyDescent="0.25">
      <c r="A7320" s="15"/>
      <c r="R7320" s="15"/>
    </row>
    <row r="7321" spans="1:18" x14ac:dyDescent="0.25">
      <c r="A7321" s="15"/>
      <c r="R7321" s="15"/>
    </row>
    <row r="7322" spans="1:18" x14ac:dyDescent="0.25">
      <c r="A7322" s="15"/>
      <c r="R7322" s="15"/>
    </row>
    <row r="7323" spans="1:18" x14ac:dyDescent="0.25">
      <c r="A7323" s="15"/>
      <c r="R7323" s="15"/>
    </row>
    <row r="7324" spans="1:18" x14ac:dyDescent="0.25">
      <c r="A7324" s="15"/>
      <c r="R7324" s="15"/>
    </row>
    <row r="7325" spans="1:18" x14ac:dyDescent="0.25">
      <c r="A7325" s="15"/>
      <c r="R7325" s="15"/>
    </row>
    <row r="7326" spans="1:18" x14ac:dyDescent="0.25">
      <c r="A7326" s="15"/>
      <c r="R7326" s="15"/>
    </row>
    <row r="7327" spans="1:18" x14ac:dyDescent="0.25">
      <c r="A7327" s="15"/>
      <c r="R7327" s="15"/>
    </row>
    <row r="7328" spans="1:18" x14ac:dyDescent="0.25">
      <c r="A7328" s="15"/>
      <c r="R7328" s="15"/>
    </row>
    <row r="7329" spans="1:18" x14ac:dyDescent="0.25">
      <c r="A7329" s="15"/>
      <c r="R7329" s="15"/>
    </row>
    <row r="7330" spans="1:18" x14ac:dyDescent="0.25">
      <c r="A7330" s="15"/>
      <c r="R7330" s="15"/>
    </row>
    <row r="7331" spans="1:18" x14ac:dyDescent="0.25">
      <c r="A7331" s="15"/>
      <c r="R7331" s="15"/>
    </row>
    <row r="7332" spans="1:18" x14ac:dyDescent="0.25">
      <c r="A7332" s="15"/>
      <c r="R7332" s="15"/>
    </row>
    <row r="7333" spans="1:18" x14ac:dyDescent="0.25">
      <c r="A7333" s="15"/>
      <c r="R7333" s="15"/>
    </row>
    <row r="7334" spans="1:18" x14ac:dyDescent="0.25">
      <c r="A7334" s="15"/>
      <c r="R7334" s="15"/>
    </row>
    <row r="7335" spans="1:18" x14ac:dyDescent="0.25">
      <c r="A7335" s="15"/>
      <c r="R7335" s="15"/>
    </row>
    <row r="7336" spans="1:18" x14ac:dyDescent="0.25">
      <c r="A7336" s="15"/>
      <c r="R7336" s="15"/>
    </row>
    <row r="7337" spans="1:18" x14ac:dyDescent="0.25">
      <c r="A7337" s="15"/>
      <c r="R7337" s="15"/>
    </row>
    <row r="7338" spans="1:18" x14ac:dyDescent="0.25">
      <c r="A7338" s="15"/>
      <c r="R7338" s="15"/>
    </row>
    <row r="7339" spans="1:18" x14ac:dyDescent="0.25">
      <c r="A7339" s="15"/>
      <c r="R7339" s="15"/>
    </row>
    <row r="7340" spans="1:18" x14ac:dyDescent="0.25">
      <c r="A7340" s="15"/>
      <c r="R7340" s="15"/>
    </row>
    <row r="7341" spans="1:18" x14ac:dyDescent="0.25">
      <c r="A7341" s="15"/>
      <c r="R7341" s="15"/>
    </row>
    <row r="7342" spans="1:18" x14ac:dyDescent="0.25">
      <c r="A7342" s="15"/>
      <c r="R7342" s="15"/>
    </row>
    <row r="7343" spans="1:18" x14ac:dyDescent="0.25">
      <c r="A7343" s="15"/>
      <c r="R7343" s="15"/>
    </row>
    <row r="7344" spans="1:18" x14ac:dyDescent="0.25">
      <c r="A7344" s="15"/>
      <c r="R7344" s="15"/>
    </row>
    <row r="7345" spans="1:18" x14ac:dyDescent="0.25">
      <c r="A7345" s="15"/>
      <c r="R7345" s="15"/>
    </row>
    <row r="7346" spans="1:18" x14ac:dyDescent="0.25">
      <c r="A7346" s="15"/>
      <c r="R7346" s="15"/>
    </row>
    <row r="7347" spans="1:18" x14ac:dyDescent="0.25">
      <c r="A7347" s="15"/>
      <c r="R7347" s="15"/>
    </row>
    <row r="7348" spans="1:18" x14ac:dyDescent="0.25">
      <c r="A7348" s="15"/>
      <c r="R7348" s="15"/>
    </row>
    <row r="7349" spans="1:18" x14ac:dyDescent="0.25">
      <c r="A7349" s="15"/>
      <c r="R7349" s="15"/>
    </row>
    <row r="7350" spans="1:18" x14ac:dyDescent="0.25">
      <c r="A7350" s="15"/>
      <c r="R7350" s="15"/>
    </row>
    <row r="7351" spans="1:18" x14ac:dyDescent="0.25">
      <c r="A7351" s="15"/>
      <c r="R7351" s="15"/>
    </row>
    <row r="7352" spans="1:18" x14ac:dyDescent="0.25">
      <c r="A7352" s="15"/>
      <c r="R7352" s="15"/>
    </row>
    <row r="7353" spans="1:18" x14ac:dyDescent="0.25">
      <c r="A7353" s="15"/>
      <c r="R7353" s="15"/>
    </row>
    <row r="7354" spans="1:18" x14ac:dyDescent="0.25">
      <c r="A7354" s="15"/>
      <c r="R7354" s="15"/>
    </row>
    <row r="7355" spans="1:18" x14ac:dyDescent="0.25">
      <c r="A7355" s="15"/>
      <c r="R7355" s="15"/>
    </row>
    <row r="7356" spans="1:18" x14ac:dyDescent="0.25">
      <c r="A7356" s="15"/>
      <c r="R7356" s="15"/>
    </row>
    <row r="7357" spans="1:18" x14ac:dyDescent="0.25">
      <c r="A7357" s="15"/>
      <c r="R7357" s="15"/>
    </row>
    <row r="7358" spans="1:18" x14ac:dyDescent="0.25">
      <c r="A7358" s="15"/>
      <c r="R7358" s="15"/>
    </row>
    <row r="7359" spans="1:18" x14ac:dyDescent="0.25">
      <c r="A7359" s="15"/>
      <c r="R7359" s="15"/>
    </row>
    <row r="7360" spans="1:18" x14ac:dyDescent="0.25">
      <c r="A7360" s="15"/>
      <c r="R7360" s="15"/>
    </row>
    <row r="7361" spans="1:18" x14ac:dyDescent="0.25">
      <c r="A7361" s="15"/>
      <c r="R7361" s="15"/>
    </row>
    <row r="7362" spans="1:18" x14ac:dyDescent="0.25">
      <c r="A7362" s="15"/>
      <c r="R7362" s="15"/>
    </row>
    <row r="7363" spans="1:18" x14ac:dyDescent="0.25">
      <c r="A7363" s="15"/>
      <c r="R7363" s="15"/>
    </row>
    <row r="7364" spans="1:18" x14ac:dyDescent="0.25">
      <c r="A7364" s="15"/>
      <c r="R7364" s="15"/>
    </row>
    <row r="7365" spans="1:18" x14ac:dyDescent="0.25">
      <c r="A7365" s="15"/>
      <c r="R7365" s="15"/>
    </row>
    <row r="7366" spans="1:18" x14ac:dyDescent="0.25">
      <c r="A7366" s="15"/>
      <c r="R7366" s="15"/>
    </row>
    <row r="7367" spans="1:18" x14ac:dyDescent="0.25">
      <c r="A7367" s="15"/>
      <c r="R7367" s="15"/>
    </row>
    <row r="7368" spans="1:18" x14ac:dyDescent="0.25">
      <c r="A7368" s="15"/>
      <c r="R7368" s="15"/>
    </row>
    <row r="7369" spans="1:18" x14ac:dyDescent="0.25">
      <c r="A7369" s="15"/>
      <c r="R7369" s="15"/>
    </row>
    <row r="7370" spans="1:18" x14ac:dyDescent="0.25">
      <c r="A7370" s="15"/>
      <c r="R7370" s="15"/>
    </row>
    <row r="7371" spans="1:18" x14ac:dyDescent="0.25">
      <c r="A7371" s="15"/>
      <c r="R7371" s="15"/>
    </row>
    <row r="7372" spans="1:18" x14ac:dyDescent="0.25">
      <c r="A7372" s="15"/>
      <c r="R7372" s="15"/>
    </row>
    <row r="7373" spans="1:18" x14ac:dyDescent="0.25">
      <c r="A7373" s="15"/>
      <c r="R7373" s="15"/>
    </row>
    <row r="7374" spans="1:18" x14ac:dyDescent="0.25">
      <c r="A7374" s="15"/>
      <c r="R7374" s="15"/>
    </row>
    <row r="7375" spans="1:18" x14ac:dyDescent="0.25">
      <c r="A7375" s="15"/>
      <c r="R7375" s="15"/>
    </row>
    <row r="7376" spans="1:18" x14ac:dyDescent="0.25">
      <c r="A7376" s="15"/>
      <c r="R7376" s="15"/>
    </row>
    <row r="7377" spans="1:18" x14ac:dyDescent="0.25">
      <c r="A7377" s="15"/>
      <c r="R7377" s="15"/>
    </row>
    <row r="7378" spans="1:18" x14ac:dyDescent="0.25">
      <c r="A7378" s="15"/>
      <c r="R7378" s="15"/>
    </row>
    <row r="7379" spans="1:18" x14ac:dyDescent="0.25">
      <c r="A7379" s="15"/>
      <c r="R7379" s="15"/>
    </row>
    <row r="7380" spans="1:18" x14ac:dyDescent="0.25">
      <c r="A7380" s="15"/>
      <c r="R7380" s="15"/>
    </row>
    <row r="7381" spans="1:18" x14ac:dyDescent="0.25">
      <c r="A7381" s="15"/>
      <c r="R7381" s="15"/>
    </row>
    <row r="7382" spans="1:18" x14ac:dyDescent="0.25">
      <c r="A7382" s="15"/>
      <c r="R7382" s="15"/>
    </row>
    <row r="7383" spans="1:18" x14ac:dyDescent="0.25">
      <c r="A7383" s="15"/>
      <c r="R7383" s="15"/>
    </row>
    <row r="7384" spans="1:18" x14ac:dyDescent="0.25">
      <c r="A7384" s="15"/>
      <c r="R7384" s="15"/>
    </row>
    <row r="7385" spans="1:18" x14ac:dyDescent="0.25">
      <c r="A7385" s="15"/>
      <c r="R7385" s="15"/>
    </row>
    <row r="7386" spans="1:18" x14ac:dyDescent="0.25">
      <c r="A7386" s="15"/>
      <c r="R7386" s="15"/>
    </row>
    <row r="7387" spans="1:18" x14ac:dyDescent="0.25">
      <c r="A7387" s="15"/>
      <c r="R7387" s="15"/>
    </row>
    <row r="7388" spans="1:18" x14ac:dyDescent="0.25">
      <c r="A7388" s="15"/>
      <c r="R7388" s="15"/>
    </row>
    <row r="7389" spans="1:18" x14ac:dyDescent="0.25">
      <c r="A7389" s="15"/>
      <c r="R7389" s="15"/>
    </row>
    <row r="7390" spans="1:18" x14ac:dyDescent="0.25">
      <c r="A7390" s="15"/>
      <c r="R7390" s="15"/>
    </row>
    <row r="7391" spans="1:18" x14ac:dyDescent="0.25">
      <c r="A7391" s="15"/>
      <c r="R7391" s="15"/>
    </row>
    <row r="7392" spans="1:18" x14ac:dyDescent="0.25">
      <c r="A7392" s="15"/>
      <c r="R7392" s="15"/>
    </row>
    <row r="7393" spans="1:18" x14ac:dyDescent="0.25">
      <c r="A7393" s="15"/>
      <c r="R7393" s="15"/>
    </row>
    <row r="7394" spans="1:18" x14ac:dyDescent="0.25">
      <c r="A7394" s="15"/>
      <c r="R7394" s="15"/>
    </row>
    <row r="7395" spans="1:18" x14ac:dyDescent="0.25">
      <c r="A7395" s="15"/>
      <c r="R7395" s="15"/>
    </row>
    <row r="7396" spans="1:18" x14ac:dyDescent="0.25">
      <c r="A7396" s="15"/>
      <c r="R7396" s="15"/>
    </row>
    <row r="7397" spans="1:18" x14ac:dyDescent="0.25">
      <c r="A7397" s="15"/>
      <c r="R7397" s="15"/>
    </row>
    <row r="7398" spans="1:18" x14ac:dyDescent="0.25">
      <c r="A7398" s="15"/>
      <c r="R7398" s="15"/>
    </row>
    <row r="7399" spans="1:18" x14ac:dyDescent="0.25">
      <c r="A7399" s="15"/>
      <c r="R7399" s="15"/>
    </row>
    <row r="7400" spans="1:18" x14ac:dyDescent="0.25">
      <c r="A7400" s="15"/>
      <c r="R7400" s="15"/>
    </row>
    <row r="7401" spans="1:18" x14ac:dyDescent="0.25">
      <c r="A7401" s="15"/>
      <c r="R7401" s="15"/>
    </row>
    <row r="7402" spans="1:18" x14ac:dyDescent="0.25">
      <c r="A7402" s="15"/>
      <c r="R7402" s="15"/>
    </row>
    <row r="7403" spans="1:18" x14ac:dyDescent="0.25">
      <c r="A7403" s="15"/>
      <c r="R7403" s="15"/>
    </row>
    <row r="7404" spans="1:18" x14ac:dyDescent="0.25">
      <c r="A7404" s="15"/>
      <c r="R7404" s="15"/>
    </row>
    <row r="7405" spans="1:18" x14ac:dyDescent="0.25">
      <c r="A7405" s="15"/>
      <c r="R7405" s="15"/>
    </row>
    <row r="7406" spans="1:18" x14ac:dyDescent="0.25">
      <c r="A7406" s="15"/>
      <c r="R7406" s="15"/>
    </row>
    <row r="7407" spans="1:18" x14ac:dyDescent="0.25">
      <c r="A7407" s="15"/>
      <c r="R7407" s="15"/>
    </row>
    <row r="7408" spans="1:18" x14ac:dyDescent="0.25">
      <c r="A7408" s="15"/>
      <c r="R7408" s="15"/>
    </row>
    <row r="7409" spans="1:18" x14ac:dyDescent="0.25">
      <c r="A7409" s="15"/>
      <c r="R7409" s="15"/>
    </row>
    <row r="7410" spans="1:18" x14ac:dyDescent="0.25">
      <c r="A7410" s="15"/>
      <c r="R7410" s="15"/>
    </row>
    <row r="7411" spans="1:18" x14ac:dyDescent="0.25">
      <c r="A7411" s="15"/>
      <c r="R7411" s="15"/>
    </row>
    <row r="7412" spans="1:18" x14ac:dyDescent="0.25">
      <c r="A7412" s="15"/>
      <c r="R7412" s="15"/>
    </row>
    <row r="7413" spans="1:18" x14ac:dyDescent="0.25">
      <c r="A7413" s="15"/>
      <c r="R7413" s="15"/>
    </row>
    <row r="7414" spans="1:18" x14ac:dyDescent="0.25">
      <c r="A7414" s="15"/>
      <c r="R7414" s="15"/>
    </row>
    <row r="7415" spans="1:18" x14ac:dyDescent="0.25">
      <c r="A7415" s="15"/>
      <c r="R7415" s="15"/>
    </row>
    <row r="7416" spans="1:18" x14ac:dyDescent="0.25">
      <c r="A7416" s="15"/>
      <c r="R7416" s="15"/>
    </row>
    <row r="7417" spans="1:18" x14ac:dyDescent="0.25">
      <c r="A7417" s="15"/>
      <c r="R7417" s="15"/>
    </row>
    <row r="7418" spans="1:18" x14ac:dyDescent="0.25">
      <c r="A7418" s="15"/>
      <c r="R7418" s="15"/>
    </row>
    <row r="7419" spans="1:18" x14ac:dyDescent="0.25">
      <c r="A7419" s="15"/>
      <c r="R7419" s="15"/>
    </row>
    <row r="7420" spans="1:18" x14ac:dyDescent="0.25">
      <c r="A7420" s="15"/>
      <c r="R7420" s="15"/>
    </row>
    <row r="7421" spans="1:18" x14ac:dyDescent="0.25">
      <c r="A7421" s="15"/>
      <c r="R7421" s="15"/>
    </row>
    <row r="7422" spans="1:18" x14ac:dyDescent="0.25">
      <c r="A7422" s="15"/>
      <c r="R7422" s="15"/>
    </row>
    <row r="7423" spans="1:18" x14ac:dyDescent="0.25">
      <c r="A7423" s="15"/>
      <c r="R7423" s="15"/>
    </row>
    <row r="7424" spans="1:18" x14ac:dyDescent="0.25">
      <c r="A7424" s="15"/>
      <c r="R7424" s="15"/>
    </row>
    <row r="7425" spans="1:18" x14ac:dyDescent="0.25">
      <c r="A7425" s="15"/>
      <c r="R7425" s="15"/>
    </row>
    <row r="7426" spans="1:18" x14ac:dyDescent="0.25">
      <c r="A7426" s="15"/>
      <c r="R7426" s="15"/>
    </row>
    <row r="7427" spans="1:18" x14ac:dyDescent="0.25">
      <c r="A7427" s="15"/>
      <c r="R7427" s="15"/>
    </row>
    <row r="7428" spans="1:18" x14ac:dyDescent="0.25">
      <c r="A7428" s="15"/>
      <c r="R7428" s="15"/>
    </row>
    <row r="7429" spans="1:18" x14ac:dyDescent="0.25">
      <c r="A7429" s="15"/>
      <c r="R7429" s="15"/>
    </row>
    <row r="7430" spans="1:18" x14ac:dyDescent="0.25">
      <c r="A7430" s="15"/>
      <c r="R7430" s="15"/>
    </row>
    <row r="7431" spans="1:18" x14ac:dyDescent="0.25">
      <c r="A7431" s="15"/>
      <c r="R7431" s="15"/>
    </row>
    <row r="7432" spans="1:18" x14ac:dyDescent="0.25">
      <c r="A7432" s="15"/>
      <c r="R7432" s="15"/>
    </row>
    <row r="7433" spans="1:18" x14ac:dyDescent="0.25">
      <c r="A7433" s="15"/>
      <c r="R7433" s="15"/>
    </row>
    <row r="7434" spans="1:18" x14ac:dyDescent="0.25">
      <c r="A7434" s="15"/>
      <c r="R7434" s="15"/>
    </row>
    <row r="7435" spans="1:18" x14ac:dyDescent="0.25">
      <c r="A7435" s="15"/>
      <c r="R7435" s="15"/>
    </row>
    <row r="7436" spans="1:18" x14ac:dyDescent="0.25">
      <c r="A7436" s="15"/>
      <c r="R7436" s="15"/>
    </row>
    <row r="7437" spans="1:18" x14ac:dyDescent="0.25">
      <c r="A7437" s="15"/>
      <c r="R7437" s="15"/>
    </row>
    <row r="7438" spans="1:18" x14ac:dyDescent="0.25">
      <c r="A7438" s="15"/>
      <c r="R7438" s="15"/>
    </row>
    <row r="7439" spans="1:18" x14ac:dyDescent="0.25">
      <c r="A7439" s="15"/>
      <c r="R7439" s="15"/>
    </row>
    <row r="7440" spans="1:18" x14ac:dyDescent="0.25">
      <c r="A7440" s="15"/>
      <c r="R7440" s="15"/>
    </row>
    <row r="7441" spans="1:18" x14ac:dyDescent="0.25">
      <c r="A7441" s="15"/>
      <c r="R7441" s="15"/>
    </row>
    <row r="7442" spans="1:18" x14ac:dyDescent="0.25">
      <c r="A7442" s="15"/>
      <c r="R7442" s="15"/>
    </row>
    <row r="7443" spans="1:18" x14ac:dyDescent="0.25">
      <c r="A7443" s="15"/>
      <c r="R7443" s="15"/>
    </row>
    <row r="7444" spans="1:18" x14ac:dyDescent="0.25">
      <c r="A7444" s="15"/>
      <c r="R7444" s="15"/>
    </row>
    <row r="7445" spans="1:18" x14ac:dyDescent="0.25">
      <c r="A7445" s="15"/>
      <c r="R7445" s="15"/>
    </row>
    <row r="7446" spans="1:18" x14ac:dyDescent="0.25">
      <c r="A7446" s="15"/>
      <c r="R7446" s="15"/>
    </row>
    <row r="7447" spans="1:18" x14ac:dyDescent="0.25">
      <c r="A7447" s="15"/>
      <c r="R7447" s="15"/>
    </row>
    <row r="7448" spans="1:18" x14ac:dyDescent="0.25">
      <c r="A7448" s="15"/>
      <c r="R7448" s="15"/>
    </row>
    <row r="7449" spans="1:18" x14ac:dyDescent="0.25">
      <c r="A7449" s="15"/>
      <c r="R7449" s="15"/>
    </row>
    <row r="7450" spans="1:18" x14ac:dyDescent="0.25">
      <c r="A7450" s="15"/>
      <c r="R7450" s="15"/>
    </row>
    <row r="7451" spans="1:18" x14ac:dyDescent="0.25">
      <c r="A7451" s="15"/>
      <c r="R7451" s="15"/>
    </row>
    <row r="7452" spans="1:18" x14ac:dyDescent="0.25">
      <c r="A7452" s="15"/>
      <c r="R7452" s="15"/>
    </row>
    <row r="7453" spans="1:18" x14ac:dyDescent="0.25">
      <c r="A7453" s="15"/>
      <c r="R7453" s="15"/>
    </row>
    <row r="7454" spans="1:18" x14ac:dyDescent="0.25">
      <c r="A7454" s="15"/>
      <c r="R7454" s="15"/>
    </row>
    <row r="7455" spans="1:18" x14ac:dyDescent="0.25">
      <c r="A7455" s="15"/>
      <c r="R7455" s="15"/>
    </row>
    <row r="7456" spans="1:18" x14ac:dyDescent="0.25">
      <c r="A7456" s="15"/>
      <c r="R7456" s="15"/>
    </row>
    <row r="7457" spans="1:18" x14ac:dyDescent="0.25">
      <c r="A7457" s="15"/>
      <c r="R7457" s="15"/>
    </row>
    <row r="7458" spans="1:18" x14ac:dyDescent="0.25">
      <c r="A7458" s="15"/>
      <c r="R7458" s="15"/>
    </row>
    <row r="7459" spans="1:18" x14ac:dyDescent="0.25">
      <c r="A7459" s="15"/>
      <c r="R7459" s="15"/>
    </row>
    <row r="7460" spans="1:18" x14ac:dyDescent="0.25">
      <c r="A7460" s="15"/>
      <c r="R7460" s="15"/>
    </row>
    <row r="7461" spans="1:18" x14ac:dyDescent="0.25">
      <c r="A7461" s="15"/>
      <c r="R7461" s="15"/>
    </row>
    <row r="7462" spans="1:18" x14ac:dyDescent="0.25">
      <c r="A7462" s="15"/>
      <c r="R7462" s="15"/>
    </row>
    <row r="7463" spans="1:18" x14ac:dyDescent="0.25">
      <c r="A7463" s="15"/>
      <c r="R7463" s="15"/>
    </row>
    <row r="7464" spans="1:18" x14ac:dyDescent="0.25">
      <c r="A7464" s="15"/>
      <c r="R7464" s="15"/>
    </row>
    <row r="7465" spans="1:18" x14ac:dyDescent="0.25">
      <c r="A7465" s="15"/>
      <c r="R7465" s="15"/>
    </row>
    <row r="7466" spans="1:18" x14ac:dyDescent="0.25">
      <c r="A7466" s="15"/>
      <c r="R7466" s="15"/>
    </row>
    <row r="7467" spans="1:18" x14ac:dyDescent="0.25">
      <c r="A7467" s="15"/>
      <c r="R7467" s="15"/>
    </row>
    <row r="7468" spans="1:18" x14ac:dyDescent="0.25">
      <c r="A7468" s="15"/>
      <c r="R7468" s="15"/>
    </row>
    <row r="7469" spans="1:18" x14ac:dyDescent="0.25">
      <c r="A7469" s="15"/>
      <c r="R7469" s="15"/>
    </row>
    <row r="7470" spans="1:18" x14ac:dyDescent="0.25">
      <c r="A7470" s="15"/>
      <c r="R7470" s="15"/>
    </row>
    <row r="7471" spans="1:18" x14ac:dyDescent="0.25">
      <c r="A7471" s="15"/>
      <c r="R7471" s="15"/>
    </row>
    <row r="7472" spans="1:18" x14ac:dyDescent="0.25">
      <c r="A7472" s="15"/>
      <c r="R7472" s="15"/>
    </row>
    <row r="7473" spans="1:18" x14ac:dyDescent="0.25">
      <c r="A7473" s="15"/>
      <c r="R7473" s="15"/>
    </row>
    <row r="7474" spans="1:18" x14ac:dyDescent="0.25">
      <c r="A7474" s="15"/>
      <c r="R7474" s="15"/>
    </row>
    <row r="7475" spans="1:18" x14ac:dyDescent="0.25">
      <c r="A7475" s="15"/>
      <c r="R7475" s="15"/>
    </row>
    <row r="7476" spans="1:18" x14ac:dyDescent="0.25">
      <c r="A7476" s="15"/>
      <c r="R7476" s="15"/>
    </row>
    <row r="7477" spans="1:18" x14ac:dyDescent="0.25">
      <c r="A7477" s="15"/>
      <c r="R7477" s="15"/>
    </row>
    <row r="7478" spans="1:18" x14ac:dyDescent="0.25">
      <c r="A7478" s="15"/>
      <c r="R7478" s="15"/>
    </row>
    <row r="7479" spans="1:18" x14ac:dyDescent="0.25">
      <c r="A7479" s="15"/>
      <c r="R7479" s="15"/>
    </row>
    <row r="7480" spans="1:18" x14ac:dyDescent="0.25">
      <c r="A7480" s="15"/>
      <c r="R7480" s="15"/>
    </row>
    <row r="7481" spans="1:18" x14ac:dyDescent="0.25">
      <c r="A7481" s="15"/>
      <c r="R7481" s="15"/>
    </row>
    <row r="7482" spans="1:18" x14ac:dyDescent="0.25">
      <c r="A7482" s="15"/>
      <c r="R7482" s="15"/>
    </row>
    <row r="7483" spans="1:18" x14ac:dyDescent="0.25">
      <c r="A7483" s="15"/>
      <c r="R7483" s="15"/>
    </row>
    <row r="7484" spans="1:18" x14ac:dyDescent="0.25">
      <c r="A7484" s="15"/>
      <c r="R7484" s="15"/>
    </row>
    <row r="7485" spans="1:18" x14ac:dyDescent="0.25">
      <c r="A7485" s="15"/>
      <c r="R7485" s="15"/>
    </row>
    <row r="7486" spans="1:18" x14ac:dyDescent="0.25">
      <c r="A7486" s="15"/>
      <c r="R7486" s="15"/>
    </row>
    <row r="7487" spans="1:18" x14ac:dyDescent="0.25">
      <c r="A7487" s="15"/>
      <c r="R7487" s="15"/>
    </row>
    <row r="7488" spans="1:18" x14ac:dyDescent="0.25">
      <c r="A7488" s="15"/>
      <c r="R7488" s="15"/>
    </row>
    <row r="7489" spans="1:18" x14ac:dyDescent="0.25">
      <c r="A7489" s="15"/>
      <c r="R7489" s="15"/>
    </row>
    <row r="7490" spans="1:18" x14ac:dyDescent="0.25">
      <c r="A7490" s="15"/>
      <c r="R7490" s="15"/>
    </row>
    <row r="7491" spans="1:18" x14ac:dyDescent="0.25">
      <c r="A7491" s="15"/>
      <c r="R7491" s="15"/>
    </row>
    <row r="7492" spans="1:18" x14ac:dyDescent="0.25">
      <c r="A7492" s="15"/>
      <c r="R7492" s="15"/>
    </row>
    <row r="7493" spans="1:18" x14ac:dyDescent="0.25">
      <c r="A7493" s="15"/>
      <c r="R7493" s="15"/>
    </row>
    <row r="7494" spans="1:18" x14ac:dyDescent="0.25">
      <c r="A7494" s="15"/>
      <c r="R7494" s="15"/>
    </row>
    <row r="7495" spans="1:18" x14ac:dyDescent="0.25">
      <c r="A7495" s="15"/>
      <c r="R7495" s="15"/>
    </row>
    <row r="7496" spans="1:18" x14ac:dyDescent="0.25">
      <c r="A7496" s="15"/>
      <c r="R7496" s="15"/>
    </row>
    <row r="7497" spans="1:18" x14ac:dyDescent="0.25">
      <c r="A7497" s="15"/>
      <c r="R7497" s="15"/>
    </row>
    <row r="7498" spans="1:18" x14ac:dyDescent="0.25">
      <c r="A7498" s="15"/>
      <c r="R7498" s="15"/>
    </row>
    <row r="7499" spans="1:18" x14ac:dyDescent="0.25">
      <c r="A7499" s="15"/>
      <c r="R7499" s="15"/>
    </row>
    <row r="7500" spans="1:18" x14ac:dyDescent="0.25">
      <c r="A7500" s="15"/>
      <c r="R7500" s="15"/>
    </row>
    <row r="7501" spans="1:18" x14ac:dyDescent="0.25">
      <c r="A7501" s="15"/>
      <c r="R7501" s="15"/>
    </row>
    <row r="7502" spans="1:18" x14ac:dyDescent="0.25">
      <c r="A7502" s="15"/>
      <c r="R7502" s="15"/>
    </row>
    <row r="7503" spans="1:18" x14ac:dyDescent="0.25">
      <c r="A7503" s="15"/>
      <c r="R7503" s="15"/>
    </row>
    <row r="7504" spans="1:18" x14ac:dyDescent="0.25">
      <c r="A7504" s="15"/>
      <c r="R7504" s="15"/>
    </row>
    <row r="7505" spans="1:18" x14ac:dyDescent="0.25">
      <c r="A7505" s="15"/>
      <c r="R7505" s="15"/>
    </row>
    <row r="7506" spans="1:18" x14ac:dyDescent="0.25">
      <c r="A7506" s="15"/>
      <c r="R7506" s="15"/>
    </row>
    <row r="7507" spans="1:18" x14ac:dyDescent="0.25">
      <c r="A7507" s="15"/>
      <c r="R7507" s="15"/>
    </row>
    <row r="7508" spans="1:18" x14ac:dyDescent="0.25">
      <c r="A7508" s="15"/>
      <c r="R7508" s="15"/>
    </row>
    <row r="7509" spans="1:18" x14ac:dyDescent="0.25">
      <c r="A7509" s="15"/>
      <c r="R7509" s="15"/>
    </row>
    <row r="7510" spans="1:18" x14ac:dyDescent="0.25">
      <c r="A7510" s="15"/>
      <c r="R7510" s="15"/>
    </row>
    <row r="7511" spans="1:18" x14ac:dyDescent="0.25">
      <c r="A7511" s="15"/>
      <c r="R7511" s="15"/>
    </row>
    <row r="7512" spans="1:18" x14ac:dyDescent="0.25">
      <c r="A7512" s="15"/>
      <c r="R7512" s="15"/>
    </row>
    <row r="7513" spans="1:18" x14ac:dyDescent="0.25">
      <c r="A7513" s="15"/>
      <c r="R7513" s="15"/>
    </row>
    <row r="7514" spans="1:18" x14ac:dyDescent="0.25">
      <c r="A7514" s="15"/>
      <c r="R7514" s="15"/>
    </row>
    <row r="7515" spans="1:18" x14ac:dyDescent="0.25">
      <c r="A7515" s="15"/>
      <c r="R7515" s="15"/>
    </row>
    <row r="7516" spans="1:18" x14ac:dyDescent="0.25">
      <c r="A7516" s="15"/>
      <c r="R7516" s="15"/>
    </row>
    <row r="7517" spans="1:18" x14ac:dyDescent="0.25">
      <c r="A7517" s="15"/>
      <c r="R7517" s="15"/>
    </row>
    <row r="7518" spans="1:18" x14ac:dyDescent="0.25">
      <c r="A7518" s="15"/>
      <c r="R7518" s="15"/>
    </row>
    <row r="7519" spans="1:18" x14ac:dyDescent="0.25">
      <c r="A7519" s="15"/>
      <c r="R7519" s="15"/>
    </row>
    <row r="7520" spans="1:18" x14ac:dyDescent="0.25">
      <c r="A7520" s="15"/>
      <c r="R7520" s="15"/>
    </row>
    <row r="7521" spans="1:18" x14ac:dyDescent="0.25">
      <c r="A7521" s="15"/>
      <c r="R7521" s="15"/>
    </row>
    <row r="7522" spans="1:18" x14ac:dyDescent="0.25">
      <c r="A7522" s="15"/>
      <c r="R7522" s="15"/>
    </row>
    <row r="7523" spans="1:18" x14ac:dyDescent="0.25">
      <c r="A7523" s="15"/>
      <c r="R7523" s="15"/>
    </row>
    <row r="7524" spans="1:18" x14ac:dyDescent="0.25">
      <c r="A7524" s="15"/>
      <c r="R7524" s="15"/>
    </row>
    <row r="7525" spans="1:18" x14ac:dyDescent="0.25">
      <c r="A7525" s="15"/>
      <c r="R7525" s="15"/>
    </row>
    <row r="7526" spans="1:18" x14ac:dyDescent="0.25">
      <c r="A7526" s="15"/>
      <c r="R7526" s="15"/>
    </row>
    <row r="7527" spans="1:18" x14ac:dyDescent="0.25">
      <c r="A7527" s="15"/>
      <c r="R7527" s="15"/>
    </row>
    <row r="7528" spans="1:18" x14ac:dyDescent="0.25">
      <c r="A7528" s="15"/>
      <c r="R7528" s="15"/>
    </row>
    <row r="7529" spans="1:18" x14ac:dyDescent="0.25">
      <c r="A7529" s="15"/>
      <c r="R7529" s="15"/>
    </row>
    <row r="7530" spans="1:18" x14ac:dyDescent="0.25">
      <c r="A7530" s="15"/>
      <c r="R7530" s="15"/>
    </row>
    <row r="7531" spans="1:18" x14ac:dyDescent="0.25">
      <c r="A7531" s="15"/>
      <c r="R7531" s="15"/>
    </row>
    <row r="7532" spans="1:18" x14ac:dyDescent="0.25">
      <c r="A7532" s="15"/>
      <c r="R7532" s="15"/>
    </row>
    <row r="7533" spans="1:18" x14ac:dyDescent="0.25">
      <c r="A7533" s="15"/>
      <c r="R7533" s="15"/>
    </row>
    <row r="7534" spans="1:18" x14ac:dyDescent="0.25">
      <c r="A7534" s="15"/>
      <c r="R7534" s="15"/>
    </row>
    <row r="7535" spans="1:18" x14ac:dyDescent="0.25">
      <c r="A7535" s="15"/>
      <c r="R7535" s="15"/>
    </row>
    <row r="7536" spans="1:18" x14ac:dyDescent="0.25">
      <c r="A7536" s="15"/>
      <c r="R7536" s="15"/>
    </row>
    <row r="7537" spans="1:18" x14ac:dyDescent="0.25">
      <c r="A7537" s="15"/>
      <c r="R7537" s="15"/>
    </row>
    <row r="7538" spans="1:18" x14ac:dyDescent="0.25">
      <c r="A7538" s="15"/>
      <c r="R7538" s="15"/>
    </row>
    <row r="7539" spans="1:18" x14ac:dyDescent="0.25">
      <c r="A7539" s="15"/>
      <c r="R7539" s="15"/>
    </row>
    <row r="7540" spans="1:18" x14ac:dyDescent="0.25">
      <c r="A7540" s="15"/>
      <c r="R7540" s="15"/>
    </row>
    <row r="7541" spans="1:18" x14ac:dyDescent="0.25">
      <c r="A7541" s="15"/>
      <c r="R7541" s="15"/>
    </row>
    <row r="7542" spans="1:18" x14ac:dyDescent="0.25">
      <c r="A7542" s="15"/>
      <c r="R7542" s="15"/>
    </row>
    <row r="7543" spans="1:18" x14ac:dyDescent="0.25">
      <c r="A7543" s="15"/>
      <c r="R7543" s="15"/>
    </row>
    <row r="7544" spans="1:18" x14ac:dyDescent="0.25">
      <c r="A7544" s="15"/>
      <c r="R7544" s="15"/>
    </row>
    <row r="7545" spans="1:18" x14ac:dyDescent="0.25">
      <c r="A7545" s="15"/>
      <c r="R7545" s="15"/>
    </row>
    <row r="7546" spans="1:18" x14ac:dyDescent="0.25">
      <c r="A7546" s="15"/>
      <c r="R7546" s="15"/>
    </row>
    <row r="7547" spans="1:18" x14ac:dyDescent="0.25">
      <c r="A7547" s="15"/>
      <c r="R7547" s="15"/>
    </row>
    <row r="7548" spans="1:18" x14ac:dyDescent="0.25">
      <c r="A7548" s="15"/>
      <c r="R7548" s="15"/>
    </row>
    <row r="7549" spans="1:18" x14ac:dyDescent="0.25">
      <c r="A7549" s="15"/>
      <c r="R7549" s="15"/>
    </row>
    <row r="7550" spans="1:18" x14ac:dyDescent="0.25">
      <c r="A7550" s="15"/>
      <c r="R7550" s="15"/>
    </row>
    <row r="7551" spans="1:18" x14ac:dyDescent="0.25">
      <c r="A7551" s="15"/>
      <c r="R7551" s="15"/>
    </row>
    <row r="7552" spans="1:18" x14ac:dyDescent="0.25">
      <c r="A7552" s="15"/>
      <c r="R7552" s="15"/>
    </row>
    <row r="7553" spans="1:18" x14ac:dyDescent="0.25">
      <c r="A7553" s="15"/>
      <c r="R7553" s="15"/>
    </row>
    <row r="7554" spans="1:18" x14ac:dyDescent="0.25">
      <c r="A7554" s="15"/>
      <c r="R7554" s="15"/>
    </row>
    <row r="7555" spans="1:18" x14ac:dyDescent="0.25">
      <c r="A7555" s="15"/>
      <c r="R7555" s="15"/>
    </row>
    <row r="7556" spans="1:18" x14ac:dyDescent="0.25">
      <c r="A7556" s="15"/>
      <c r="R7556" s="15"/>
    </row>
    <row r="7557" spans="1:18" x14ac:dyDescent="0.25">
      <c r="A7557" s="15"/>
      <c r="R7557" s="15"/>
    </row>
    <row r="7558" spans="1:18" x14ac:dyDescent="0.25">
      <c r="A7558" s="15"/>
      <c r="R7558" s="15"/>
    </row>
    <row r="7559" spans="1:18" x14ac:dyDescent="0.25">
      <c r="A7559" s="15"/>
      <c r="R7559" s="15"/>
    </row>
    <row r="7560" spans="1:18" x14ac:dyDescent="0.25">
      <c r="A7560" s="15"/>
      <c r="R7560" s="15"/>
    </row>
    <row r="7561" spans="1:18" x14ac:dyDescent="0.25">
      <c r="A7561" s="15"/>
      <c r="R7561" s="15"/>
    </row>
    <row r="7562" spans="1:18" x14ac:dyDescent="0.25">
      <c r="A7562" s="15"/>
      <c r="R7562" s="15"/>
    </row>
    <row r="7563" spans="1:18" x14ac:dyDescent="0.25">
      <c r="A7563" s="15"/>
      <c r="R7563" s="15"/>
    </row>
    <row r="7564" spans="1:18" x14ac:dyDescent="0.25">
      <c r="A7564" s="15"/>
      <c r="R7564" s="15"/>
    </row>
    <row r="7565" spans="1:18" x14ac:dyDescent="0.25">
      <c r="A7565" s="15"/>
      <c r="R7565" s="15"/>
    </row>
    <row r="7566" spans="1:18" x14ac:dyDescent="0.25">
      <c r="A7566" s="15"/>
      <c r="R7566" s="15"/>
    </row>
    <row r="7567" spans="1:18" x14ac:dyDescent="0.25">
      <c r="A7567" s="15"/>
      <c r="R7567" s="15"/>
    </row>
    <row r="7568" spans="1:18" x14ac:dyDescent="0.25">
      <c r="A7568" s="15"/>
      <c r="R7568" s="15"/>
    </row>
    <row r="7569" spans="1:18" x14ac:dyDescent="0.25">
      <c r="A7569" s="15"/>
      <c r="R7569" s="15"/>
    </row>
    <row r="7570" spans="1:18" x14ac:dyDescent="0.25">
      <c r="A7570" s="15"/>
      <c r="R7570" s="15"/>
    </row>
    <row r="7571" spans="1:18" x14ac:dyDescent="0.25">
      <c r="A7571" s="15"/>
      <c r="R7571" s="15"/>
    </row>
    <row r="7572" spans="1:18" x14ac:dyDescent="0.25">
      <c r="A7572" s="15"/>
      <c r="R7572" s="15"/>
    </row>
    <row r="7573" spans="1:18" x14ac:dyDescent="0.25">
      <c r="A7573" s="15"/>
      <c r="R7573" s="15"/>
    </row>
    <row r="7574" spans="1:18" x14ac:dyDescent="0.25">
      <c r="A7574" s="15"/>
      <c r="R7574" s="15"/>
    </row>
    <row r="7575" spans="1:18" x14ac:dyDescent="0.25">
      <c r="A7575" s="15"/>
      <c r="R7575" s="15"/>
    </row>
    <row r="7576" spans="1:18" x14ac:dyDescent="0.25">
      <c r="A7576" s="15"/>
      <c r="R7576" s="15"/>
    </row>
    <row r="7577" spans="1:18" x14ac:dyDescent="0.25">
      <c r="A7577" s="15"/>
      <c r="R7577" s="15"/>
    </row>
    <row r="7578" spans="1:18" x14ac:dyDescent="0.25">
      <c r="A7578" s="15"/>
      <c r="R7578" s="15"/>
    </row>
    <row r="7579" spans="1:18" x14ac:dyDescent="0.25">
      <c r="A7579" s="15"/>
      <c r="R7579" s="15"/>
    </row>
    <row r="7580" spans="1:18" x14ac:dyDescent="0.25">
      <c r="A7580" s="15"/>
      <c r="R7580" s="15"/>
    </row>
    <row r="7581" spans="1:18" x14ac:dyDescent="0.25">
      <c r="A7581" s="15"/>
      <c r="R7581" s="15"/>
    </row>
    <row r="7582" spans="1:18" x14ac:dyDescent="0.25">
      <c r="A7582" s="15"/>
      <c r="R7582" s="15"/>
    </row>
    <row r="7583" spans="1:18" x14ac:dyDescent="0.25">
      <c r="A7583" s="15"/>
      <c r="R7583" s="15"/>
    </row>
    <row r="7584" spans="1:18" x14ac:dyDescent="0.25">
      <c r="A7584" s="15"/>
      <c r="R7584" s="15"/>
    </row>
    <row r="7585" spans="1:18" x14ac:dyDescent="0.25">
      <c r="A7585" s="15"/>
      <c r="R7585" s="15"/>
    </row>
    <row r="7586" spans="1:18" x14ac:dyDescent="0.25">
      <c r="A7586" s="15"/>
      <c r="R7586" s="15"/>
    </row>
    <row r="7587" spans="1:18" x14ac:dyDescent="0.25">
      <c r="A7587" s="15"/>
      <c r="R7587" s="15"/>
    </row>
    <row r="7588" spans="1:18" x14ac:dyDescent="0.25">
      <c r="A7588" s="15"/>
      <c r="R7588" s="15"/>
    </row>
    <row r="7589" spans="1:18" x14ac:dyDescent="0.25">
      <c r="A7589" s="15"/>
      <c r="R7589" s="15"/>
    </row>
    <row r="7590" spans="1:18" x14ac:dyDescent="0.25">
      <c r="A7590" s="15"/>
      <c r="R7590" s="15"/>
    </row>
    <row r="7591" spans="1:18" x14ac:dyDescent="0.25">
      <c r="A7591" s="15"/>
      <c r="R7591" s="15"/>
    </row>
    <row r="7592" spans="1:18" x14ac:dyDescent="0.25">
      <c r="A7592" s="15"/>
      <c r="R7592" s="15"/>
    </row>
    <row r="7593" spans="1:18" x14ac:dyDescent="0.25">
      <c r="A7593" s="15"/>
      <c r="R7593" s="15"/>
    </row>
    <row r="7594" spans="1:18" x14ac:dyDescent="0.25">
      <c r="A7594" s="15"/>
      <c r="R7594" s="15"/>
    </row>
    <row r="7595" spans="1:18" x14ac:dyDescent="0.25">
      <c r="A7595" s="15"/>
      <c r="R7595" s="15"/>
    </row>
    <row r="7596" spans="1:18" x14ac:dyDescent="0.25">
      <c r="A7596" s="15"/>
      <c r="R7596" s="15"/>
    </row>
    <row r="7597" spans="1:18" x14ac:dyDescent="0.25">
      <c r="A7597" s="15"/>
      <c r="R7597" s="15"/>
    </row>
    <row r="7598" spans="1:18" x14ac:dyDescent="0.25">
      <c r="A7598" s="15"/>
      <c r="R7598" s="15"/>
    </row>
    <row r="7599" spans="1:18" x14ac:dyDescent="0.25">
      <c r="A7599" s="15"/>
      <c r="R7599" s="15"/>
    </row>
    <row r="7600" spans="1:18" x14ac:dyDescent="0.25">
      <c r="A7600" s="15"/>
      <c r="R7600" s="15"/>
    </row>
    <row r="7601" spans="1:18" x14ac:dyDescent="0.25">
      <c r="A7601" s="15"/>
      <c r="R7601" s="15"/>
    </row>
    <row r="7602" spans="1:18" x14ac:dyDescent="0.25">
      <c r="A7602" s="15"/>
      <c r="R7602" s="15"/>
    </row>
    <row r="7603" spans="1:18" x14ac:dyDescent="0.25">
      <c r="A7603" s="15"/>
      <c r="R7603" s="15"/>
    </row>
    <row r="7604" spans="1:18" x14ac:dyDescent="0.25">
      <c r="A7604" s="15"/>
      <c r="R7604" s="15"/>
    </row>
    <row r="7605" spans="1:18" x14ac:dyDescent="0.25">
      <c r="A7605" s="15"/>
      <c r="R7605" s="15"/>
    </row>
    <row r="7606" spans="1:18" x14ac:dyDescent="0.25">
      <c r="A7606" s="15"/>
      <c r="R7606" s="15"/>
    </row>
    <row r="7607" spans="1:18" x14ac:dyDescent="0.25">
      <c r="A7607" s="15"/>
      <c r="R7607" s="15"/>
    </row>
    <row r="7608" spans="1:18" x14ac:dyDescent="0.25">
      <c r="A7608" s="15"/>
      <c r="R7608" s="15"/>
    </row>
    <row r="7609" spans="1:18" x14ac:dyDescent="0.25">
      <c r="A7609" s="15"/>
      <c r="R7609" s="15"/>
    </row>
    <row r="7610" spans="1:18" x14ac:dyDescent="0.25">
      <c r="A7610" s="15"/>
      <c r="R7610" s="15"/>
    </row>
    <row r="7611" spans="1:18" x14ac:dyDescent="0.25">
      <c r="A7611" s="15"/>
      <c r="R7611" s="15"/>
    </row>
    <row r="7612" spans="1:18" x14ac:dyDescent="0.25">
      <c r="A7612" s="15"/>
      <c r="R7612" s="15"/>
    </row>
    <row r="7613" spans="1:18" x14ac:dyDescent="0.25">
      <c r="A7613" s="15"/>
      <c r="R7613" s="15"/>
    </row>
    <row r="7614" spans="1:18" x14ac:dyDescent="0.25">
      <c r="A7614" s="15"/>
      <c r="R7614" s="15"/>
    </row>
    <row r="7615" spans="1:18" x14ac:dyDescent="0.25">
      <c r="A7615" s="15"/>
      <c r="R7615" s="15"/>
    </row>
    <row r="7616" spans="1:18" x14ac:dyDescent="0.25">
      <c r="A7616" s="15"/>
      <c r="R7616" s="15"/>
    </row>
    <row r="7617" spans="1:18" x14ac:dyDescent="0.25">
      <c r="A7617" s="15"/>
      <c r="R7617" s="15"/>
    </row>
    <row r="7618" spans="1:18" x14ac:dyDescent="0.25">
      <c r="A7618" s="15"/>
      <c r="R7618" s="15"/>
    </row>
    <row r="7619" spans="1:18" x14ac:dyDescent="0.25">
      <c r="A7619" s="15"/>
      <c r="R7619" s="15"/>
    </row>
    <row r="7620" spans="1:18" x14ac:dyDescent="0.25">
      <c r="A7620" s="15"/>
      <c r="R7620" s="15"/>
    </row>
    <row r="7621" spans="1:18" x14ac:dyDescent="0.25">
      <c r="A7621" s="15"/>
      <c r="R7621" s="15"/>
    </row>
    <row r="7622" spans="1:18" x14ac:dyDescent="0.25">
      <c r="A7622" s="15"/>
      <c r="R7622" s="15"/>
    </row>
    <row r="7623" spans="1:18" x14ac:dyDescent="0.25">
      <c r="A7623" s="15"/>
      <c r="R7623" s="15"/>
    </row>
    <row r="7624" spans="1:18" x14ac:dyDescent="0.25">
      <c r="A7624" s="15"/>
      <c r="R7624" s="15"/>
    </row>
    <row r="7625" spans="1:18" x14ac:dyDescent="0.25">
      <c r="A7625" s="15"/>
      <c r="R7625" s="15"/>
    </row>
    <row r="7626" spans="1:18" x14ac:dyDescent="0.25">
      <c r="A7626" s="15"/>
      <c r="R7626" s="15"/>
    </row>
    <row r="7627" spans="1:18" x14ac:dyDescent="0.25">
      <c r="A7627" s="15"/>
      <c r="R7627" s="15"/>
    </row>
    <row r="7628" spans="1:18" x14ac:dyDescent="0.25">
      <c r="A7628" s="15"/>
      <c r="R7628" s="15"/>
    </row>
    <row r="7629" spans="1:18" x14ac:dyDescent="0.25">
      <c r="A7629" s="15"/>
      <c r="R7629" s="15"/>
    </row>
    <row r="7630" spans="1:18" x14ac:dyDescent="0.25">
      <c r="A7630" s="15"/>
      <c r="R7630" s="15"/>
    </row>
    <row r="7631" spans="1:18" x14ac:dyDescent="0.25">
      <c r="A7631" s="15"/>
      <c r="R7631" s="15"/>
    </row>
    <row r="7632" spans="1:18" x14ac:dyDescent="0.25">
      <c r="A7632" s="15"/>
      <c r="R7632" s="15"/>
    </row>
    <row r="7633" spans="1:18" x14ac:dyDescent="0.25">
      <c r="A7633" s="15"/>
      <c r="R7633" s="15"/>
    </row>
    <row r="7634" spans="1:18" x14ac:dyDescent="0.25">
      <c r="A7634" s="15"/>
      <c r="R7634" s="15"/>
    </row>
    <row r="7635" spans="1:18" x14ac:dyDescent="0.25">
      <c r="A7635" s="15"/>
      <c r="R7635" s="15"/>
    </row>
    <row r="7636" spans="1:18" x14ac:dyDescent="0.25">
      <c r="A7636" s="15"/>
      <c r="R7636" s="15"/>
    </row>
    <row r="7637" spans="1:18" x14ac:dyDescent="0.25">
      <c r="A7637" s="15"/>
      <c r="R7637" s="15"/>
    </row>
    <row r="7638" spans="1:18" x14ac:dyDescent="0.25">
      <c r="A7638" s="15"/>
      <c r="R7638" s="15"/>
    </row>
    <row r="7639" spans="1:18" x14ac:dyDescent="0.25">
      <c r="A7639" s="15"/>
      <c r="R7639" s="15"/>
    </row>
    <row r="7640" spans="1:18" x14ac:dyDescent="0.25">
      <c r="A7640" s="15"/>
      <c r="R7640" s="15"/>
    </row>
    <row r="7641" spans="1:18" x14ac:dyDescent="0.25">
      <c r="A7641" s="15"/>
      <c r="R7641" s="15"/>
    </row>
    <row r="7642" spans="1:18" x14ac:dyDescent="0.25">
      <c r="A7642" s="15"/>
      <c r="R7642" s="15"/>
    </row>
    <row r="7643" spans="1:18" x14ac:dyDescent="0.25">
      <c r="A7643" s="15"/>
      <c r="R7643" s="15"/>
    </row>
    <row r="7644" spans="1:18" x14ac:dyDescent="0.25">
      <c r="A7644" s="15"/>
      <c r="R7644" s="15"/>
    </row>
    <row r="7645" spans="1:18" x14ac:dyDescent="0.25">
      <c r="A7645" s="15"/>
      <c r="R7645" s="15"/>
    </row>
    <row r="7646" spans="1:18" x14ac:dyDescent="0.25">
      <c r="A7646" s="15"/>
      <c r="R7646" s="15"/>
    </row>
    <row r="7647" spans="1:18" x14ac:dyDescent="0.25">
      <c r="A7647" s="15"/>
      <c r="R7647" s="15"/>
    </row>
    <row r="7648" spans="1:18" x14ac:dyDescent="0.25">
      <c r="A7648" s="15"/>
      <c r="R7648" s="15"/>
    </row>
    <row r="7649" spans="1:18" x14ac:dyDescent="0.25">
      <c r="A7649" s="15"/>
      <c r="R7649" s="15"/>
    </row>
    <row r="7650" spans="1:18" x14ac:dyDescent="0.25">
      <c r="A7650" s="15"/>
      <c r="R7650" s="15"/>
    </row>
    <row r="7651" spans="1:18" x14ac:dyDescent="0.25">
      <c r="A7651" s="15"/>
      <c r="R7651" s="15"/>
    </row>
    <row r="7652" spans="1:18" x14ac:dyDescent="0.25">
      <c r="A7652" s="15"/>
      <c r="R7652" s="15"/>
    </row>
    <row r="7653" spans="1:18" x14ac:dyDescent="0.25">
      <c r="A7653" s="15"/>
      <c r="R7653" s="15"/>
    </row>
    <row r="7654" spans="1:18" x14ac:dyDescent="0.25">
      <c r="A7654" s="15"/>
      <c r="R7654" s="15"/>
    </row>
    <row r="7655" spans="1:18" x14ac:dyDescent="0.25">
      <c r="A7655" s="15"/>
      <c r="R7655" s="15"/>
    </row>
    <row r="7656" spans="1:18" x14ac:dyDescent="0.25">
      <c r="A7656" s="15"/>
      <c r="R7656" s="15"/>
    </row>
    <row r="7657" spans="1:18" x14ac:dyDescent="0.25">
      <c r="A7657" s="15"/>
      <c r="R7657" s="15"/>
    </row>
    <row r="7658" spans="1:18" x14ac:dyDescent="0.25">
      <c r="A7658" s="15"/>
      <c r="R7658" s="15"/>
    </row>
    <row r="7659" spans="1:18" x14ac:dyDescent="0.25">
      <c r="A7659" s="15"/>
      <c r="R7659" s="15"/>
    </row>
    <row r="7660" spans="1:18" x14ac:dyDescent="0.25">
      <c r="A7660" s="15"/>
      <c r="R7660" s="15"/>
    </row>
    <row r="7661" spans="1:18" x14ac:dyDescent="0.25">
      <c r="A7661" s="15"/>
      <c r="R7661" s="15"/>
    </row>
    <row r="7662" spans="1:18" x14ac:dyDescent="0.25">
      <c r="A7662" s="15"/>
      <c r="R7662" s="15"/>
    </row>
    <row r="7663" spans="1:18" x14ac:dyDescent="0.25">
      <c r="A7663" s="15"/>
      <c r="R7663" s="15"/>
    </row>
    <row r="7664" spans="1:18" x14ac:dyDescent="0.25">
      <c r="A7664" s="15"/>
      <c r="R7664" s="15"/>
    </row>
    <row r="7665" spans="1:18" x14ac:dyDescent="0.25">
      <c r="A7665" s="15"/>
      <c r="R7665" s="15"/>
    </row>
    <row r="7666" spans="1:18" x14ac:dyDescent="0.25">
      <c r="A7666" s="15"/>
      <c r="R7666" s="15"/>
    </row>
    <row r="7667" spans="1:18" x14ac:dyDescent="0.25">
      <c r="A7667" s="15"/>
      <c r="R7667" s="15"/>
    </row>
    <row r="7668" spans="1:18" x14ac:dyDescent="0.25">
      <c r="A7668" s="15"/>
      <c r="R7668" s="15"/>
    </row>
    <row r="7669" spans="1:18" x14ac:dyDescent="0.25">
      <c r="A7669" s="15"/>
      <c r="R7669" s="15"/>
    </row>
    <row r="7670" spans="1:18" x14ac:dyDescent="0.25">
      <c r="A7670" s="15"/>
      <c r="R7670" s="15"/>
    </row>
    <row r="7671" spans="1:18" x14ac:dyDescent="0.25">
      <c r="A7671" s="15"/>
      <c r="R7671" s="15"/>
    </row>
    <row r="7672" spans="1:18" x14ac:dyDescent="0.25">
      <c r="A7672" s="15"/>
      <c r="R7672" s="15"/>
    </row>
    <row r="7673" spans="1:18" x14ac:dyDescent="0.25">
      <c r="A7673" s="15"/>
      <c r="R7673" s="15"/>
    </row>
    <row r="7674" spans="1:18" x14ac:dyDescent="0.25">
      <c r="A7674" s="15"/>
      <c r="R7674" s="15"/>
    </row>
    <row r="7675" spans="1:18" x14ac:dyDescent="0.25">
      <c r="A7675" s="15"/>
      <c r="R7675" s="15"/>
    </row>
    <row r="7676" spans="1:18" x14ac:dyDescent="0.25">
      <c r="A7676" s="15"/>
      <c r="R7676" s="15"/>
    </row>
    <row r="7677" spans="1:18" x14ac:dyDescent="0.25">
      <c r="A7677" s="15"/>
      <c r="R7677" s="15"/>
    </row>
    <row r="7678" spans="1:18" x14ac:dyDescent="0.25">
      <c r="A7678" s="15"/>
      <c r="R7678" s="15"/>
    </row>
    <row r="7679" spans="1:18" x14ac:dyDescent="0.25">
      <c r="A7679" s="15"/>
      <c r="R7679" s="15"/>
    </row>
    <row r="7680" spans="1:18" x14ac:dyDescent="0.25">
      <c r="A7680" s="15"/>
      <c r="R7680" s="15"/>
    </row>
    <row r="7681" spans="1:18" x14ac:dyDescent="0.25">
      <c r="A7681" s="15"/>
      <c r="R7681" s="15"/>
    </row>
    <row r="7682" spans="1:18" x14ac:dyDescent="0.25">
      <c r="A7682" s="15"/>
      <c r="R7682" s="15"/>
    </row>
    <row r="7683" spans="1:18" x14ac:dyDescent="0.25">
      <c r="A7683" s="15"/>
      <c r="R7683" s="15"/>
    </row>
    <row r="7684" spans="1:18" x14ac:dyDescent="0.25">
      <c r="A7684" s="15"/>
      <c r="R7684" s="15"/>
    </row>
    <row r="7685" spans="1:18" x14ac:dyDescent="0.25">
      <c r="A7685" s="15"/>
      <c r="R7685" s="15"/>
    </row>
    <row r="7686" spans="1:18" x14ac:dyDescent="0.25">
      <c r="A7686" s="15"/>
      <c r="R7686" s="15"/>
    </row>
    <row r="7687" spans="1:18" x14ac:dyDescent="0.25">
      <c r="A7687" s="15"/>
      <c r="R7687" s="15"/>
    </row>
    <row r="7688" spans="1:18" x14ac:dyDescent="0.25">
      <c r="A7688" s="15"/>
      <c r="R7688" s="15"/>
    </row>
    <row r="7689" spans="1:18" x14ac:dyDescent="0.25">
      <c r="A7689" s="15"/>
      <c r="R7689" s="15"/>
    </row>
    <row r="7690" spans="1:18" x14ac:dyDescent="0.25">
      <c r="A7690" s="15"/>
      <c r="R7690" s="15"/>
    </row>
    <row r="7691" spans="1:18" x14ac:dyDescent="0.25">
      <c r="A7691" s="15"/>
      <c r="R7691" s="15"/>
    </row>
    <row r="7692" spans="1:18" x14ac:dyDescent="0.25">
      <c r="A7692" s="15"/>
      <c r="R7692" s="15"/>
    </row>
    <row r="7693" spans="1:18" x14ac:dyDescent="0.25">
      <c r="A7693" s="15"/>
      <c r="R7693" s="15"/>
    </row>
    <row r="7694" spans="1:18" x14ac:dyDescent="0.25">
      <c r="A7694" s="15"/>
      <c r="R7694" s="15"/>
    </row>
    <row r="7695" spans="1:18" x14ac:dyDescent="0.25">
      <c r="A7695" s="15"/>
      <c r="R7695" s="15"/>
    </row>
    <row r="7696" spans="1:18" x14ac:dyDescent="0.25">
      <c r="A7696" s="15"/>
      <c r="R7696" s="15"/>
    </row>
    <row r="7697" spans="1:18" x14ac:dyDescent="0.25">
      <c r="A7697" s="15"/>
      <c r="R7697" s="15"/>
    </row>
    <row r="7698" spans="1:18" x14ac:dyDescent="0.25">
      <c r="A7698" s="15"/>
      <c r="R7698" s="15"/>
    </row>
    <row r="7699" spans="1:18" x14ac:dyDescent="0.25">
      <c r="A7699" s="15"/>
      <c r="R7699" s="15"/>
    </row>
    <row r="7700" spans="1:18" x14ac:dyDescent="0.25">
      <c r="A7700" s="15"/>
      <c r="R7700" s="15"/>
    </row>
    <row r="7701" spans="1:18" x14ac:dyDescent="0.25">
      <c r="A7701" s="15"/>
      <c r="R7701" s="15"/>
    </row>
    <row r="7702" spans="1:18" x14ac:dyDescent="0.25">
      <c r="A7702" s="15"/>
      <c r="R7702" s="15"/>
    </row>
    <row r="7703" spans="1:18" x14ac:dyDescent="0.25">
      <c r="A7703" s="15"/>
      <c r="R7703" s="15"/>
    </row>
    <row r="7704" spans="1:18" x14ac:dyDescent="0.25">
      <c r="A7704" s="15"/>
      <c r="R7704" s="15"/>
    </row>
    <row r="7705" spans="1:18" x14ac:dyDescent="0.25">
      <c r="A7705" s="15"/>
      <c r="R7705" s="15"/>
    </row>
    <row r="7706" spans="1:18" x14ac:dyDescent="0.25">
      <c r="A7706" s="15"/>
      <c r="R7706" s="15"/>
    </row>
    <row r="7707" spans="1:18" x14ac:dyDescent="0.25">
      <c r="A7707" s="15"/>
      <c r="R7707" s="15"/>
    </row>
    <row r="7708" spans="1:18" x14ac:dyDescent="0.25">
      <c r="A7708" s="15"/>
      <c r="R7708" s="15"/>
    </row>
    <row r="7709" spans="1:18" x14ac:dyDescent="0.25">
      <c r="A7709" s="15"/>
      <c r="R7709" s="15"/>
    </row>
    <row r="7710" spans="1:18" x14ac:dyDescent="0.25">
      <c r="A7710" s="15"/>
      <c r="R7710" s="15"/>
    </row>
    <row r="7711" spans="1:18" x14ac:dyDescent="0.25">
      <c r="A7711" s="15"/>
      <c r="R7711" s="15"/>
    </row>
    <row r="7712" spans="1:18" x14ac:dyDescent="0.25">
      <c r="A7712" s="15"/>
      <c r="R7712" s="15"/>
    </row>
    <row r="7713" spans="1:18" x14ac:dyDescent="0.25">
      <c r="A7713" s="15"/>
      <c r="R7713" s="15"/>
    </row>
    <row r="7714" spans="1:18" x14ac:dyDescent="0.25">
      <c r="A7714" s="15"/>
      <c r="R7714" s="15"/>
    </row>
    <row r="7715" spans="1:18" x14ac:dyDescent="0.25">
      <c r="A7715" s="15"/>
      <c r="R7715" s="15"/>
    </row>
    <row r="7716" spans="1:18" x14ac:dyDescent="0.25">
      <c r="A7716" s="15"/>
      <c r="R7716" s="15"/>
    </row>
    <row r="7717" spans="1:18" x14ac:dyDescent="0.25">
      <c r="A7717" s="15"/>
      <c r="R7717" s="15"/>
    </row>
    <row r="7718" spans="1:18" x14ac:dyDescent="0.25">
      <c r="A7718" s="15"/>
      <c r="R7718" s="15"/>
    </row>
    <row r="7719" spans="1:18" x14ac:dyDescent="0.25">
      <c r="A7719" s="15"/>
      <c r="R7719" s="15"/>
    </row>
    <row r="7720" spans="1:18" x14ac:dyDescent="0.25">
      <c r="A7720" s="15"/>
      <c r="R7720" s="15"/>
    </row>
    <row r="7721" spans="1:18" x14ac:dyDescent="0.25">
      <c r="A7721" s="15"/>
      <c r="R7721" s="15"/>
    </row>
    <row r="7722" spans="1:18" x14ac:dyDescent="0.25">
      <c r="A7722" s="15"/>
      <c r="R7722" s="15"/>
    </row>
    <row r="7723" spans="1:18" x14ac:dyDescent="0.25">
      <c r="A7723" s="15"/>
      <c r="R7723" s="15"/>
    </row>
    <row r="7724" spans="1:18" x14ac:dyDescent="0.25">
      <c r="A7724" s="15"/>
      <c r="R7724" s="15"/>
    </row>
    <row r="7725" spans="1:18" x14ac:dyDescent="0.25">
      <c r="A7725" s="15"/>
      <c r="R7725" s="15"/>
    </row>
    <row r="7726" spans="1:18" x14ac:dyDescent="0.25">
      <c r="A7726" s="15"/>
      <c r="R7726" s="15"/>
    </row>
    <row r="7727" spans="1:18" x14ac:dyDescent="0.25">
      <c r="A7727" s="15"/>
      <c r="R7727" s="15"/>
    </row>
    <row r="7728" spans="1:18" x14ac:dyDescent="0.25">
      <c r="A7728" s="15"/>
      <c r="R7728" s="15"/>
    </row>
    <row r="7729" spans="1:18" x14ac:dyDescent="0.25">
      <c r="A7729" s="15"/>
      <c r="R7729" s="15"/>
    </row>
    <row r="7730" spans="1:18" x14ac:dyDescent="0.25">
      <c r="A7730" s="15"/>
      <c r="R7730" s="15"/>
    </row>
    <row r="7731" spans="1:18" x14ac:dyDescent="0.25">
      <c r="A7731" s="15"/>
      <c r="R7731" s="15"/>
    </row>
    <row r="7732" spans="1:18" x14ac:dyDescent="0.25">
      <c r="A7732" s="15"/>
      <c r="R7732" s="15"/>
    </row>
    <row r="7733" spans="1:18" x14ac:dyDescent="0.25">
      <c r="A7733" s="15"/>
      <c r="R7733" s="15"/>
    </row>
    <row r="7734" spans="1:18" x14ac:dyDescent="0.25">
      <c r="A7734" s="15"/>
      <c r="R7734" s="15"/>
    </row>
    <row r="7735" spans="1:18" x14ac:dyDescent="0.25">
      <c r="A7735" s="15"/>
      <c r="R7735" s="15"/>
    </row>
    <row r="7736" spans="1:18" x14ac:dyDescent="0.25">
      <c r="A7736" s="15"/>
      <c r="R7736" s="15"/>
    </row>
    <row r="7737" spans="1:18" x14ac:dyDescent="0.25">
      <c r="A7737" s="15"/>
      <c r="R7737" s="15"/>
    </row>
    <row r="7738" spans="1:18" x14ac:dyDescent="0.25">
      <c r="A7738" s="15"/>
      <c r="R7738" s="15"/>
    </row>
    <row r="7739" spans="1:18" x14ac:dyDescent="0.25">
      <c r="A7739" s="15"/>
      <c r="R7739" s="15"/>
    </row>
    <row r="7740" spans="1:18" x14ac:dyDescent="0.25">
      <c r="A7740" s="15"/>
      <c r="R7740" s="15"/>
    </row>
    <row r="7741" spans="1:18" x14ac:dyDescent="0.25">
      <c r="A7741" s="15"/>
      <c r="R7741" s="15"/>
    </row>
    <row r="7742" spans="1:18" x14ac:dyDescent="0.25">
      <c r="A7742" s="15"/>
      <c r="R7742" s="15"/>
    </row>
    <row r="7743" spans="1:18" x14ac:dyDescent="0.25">
      <c r="A7743" s="15"/>
      <c r="R7743" s="15"/>
    </row>
    <row r="7744" spans="1:18" x14ac:dyDescent="0.25">
      <c r="A7744" s="15"/>
      <c r="R7744" s="15"/>
    </row>
    <row r="7745" spans="1:18" x14ac:dyDescent="0.25">
      <c r="A7745" s="15"/>
      <c r="R7745" s="15"/>
    </row>
    <row r="7746" spans="1:18" x14ac:dyDescent="0.25">
      <c r="A7746" s="15"/>
      <c r="R7746" s="15"/>
    </row>
    <row r="7747" spans="1:18" x14ac:dyDescent="0.25">
      <c r="A7747" s="15"/>
      <c r="R7747" s="15"/>
    </row>
    <row r="7748" spans="1:18" x14ac:dyDescent="0.25">
      <c r="A7748" s="15"/>
      <c r="R7748" s="15"/>
    </row>
    <row r="7749" spans="1:18" x14ac:dyDescent="0.25">
      <c r="A7749" s="15"/>
      <c r="R7749" s="15"/>
    </row>
    <row r="7750" spans="1:18" x14ac:dyDescent="0.25">
      <c r="A7750" s="15"/>
      <c r="R7750" s="15"/>
    </row>
    <row r="7751" spans="1:18" x14ac:dyDescent="0.25">
      <c r="A7751" s="15"/>
      <c r="R7751" s="15"/>
    </row>
    <row r="7752" spans="1:18" x14ac:dyDescent="0.25">
      <c r="A7752" s="15"/>
      <c r="R7752" s="15"/>
    </row>
    <row r="7753" spans="1:18" x14ac:dyDescent="0.25">
      <c r="A7753" s="15"/>
      <c r="R7753" s="15"/>
    </row>
    <row r="7754" spans="1:18" x14ac:dyDescent="0.25">
      <c r="A7754" s="15"/>
      <c r="R7754" s="15"/>
    </row>
    <row r="7755" spans="1:18" x14ac:dyDescent="0.25">
      <c r="A7755" s="15"/>
      <c r="R7755" s="15"/>
    </row>
    <row r="7756" spans="1:18" x14ac:dyDescent="0.25">
      <c r="A7756" s="15"/>
      <c r="R7756" s="15"/>
    </row>
    <row r="7757" spans="1:18" x14ac:dyDescent="0.25">
      <c r="A7757" s="15"/>
      <c r="R7757" s="15"/>
    </row>
    <row r="7758" spans="1:18" x14ac:dyDescent="0.25">
      <c r="A7758" s="15"/>
      <c r="R7758" s="15"/>
    </row>
    <row r="7759" spans="1:18" x14ac:dyDescent="0.25">
      <c r="A7759" s="15"/>
      <c r="R7759" s="15"/>
    </row>
    <row r="7760" spans="1:18" x14ac:dyDescent="0.25">
      <c r="A7760" s="15"/>
      <c r="R7760" s="15"/>
    </row>
    <row r="7761" spans="1:18" x14ac:dyDescent="0.25">
      <c r="A7761" s="15"/>
      <c r="R7761" s="15"/>
    </row>
    <row r="7762" spans="1:18" x14ac:dyDescent="0.25">
      <c r="A7762" s="15"/>
      <c r="R7762" s="15"/>
    </row>
    <row r="7763" spans="1:18" x14ac:dyDescent="0.25">
      <c r="A7763" s="15"/>
      <c r="R7763" s="15"/>
    </row>
    <row r="7764" spans="1:18" x14ac:dyDescent="0.25">
      <c r="A7764" s="15"/>
      <c r="R7764" s="15"/>
    </row>
    <row r="7765" spans="1:18" x14ac:dyDescent="0.25">
      <c r="A7765" s="15"/>
      <c r="R7765" s="15"/>
    </row>
    <row r="7766" spans="1:18" x14ac:dyDescent="0.25">
      <c r="A7766" s="15"/>
      <c r="R7766" s="15"/>
    </row>
    <row r="7767" spans="1:18" x14ac:dyDescent="0.25">
      <c r="A7767" s="15"/>
      <c r="R7767" s="15"/>
    </row>
    <row r="7768" spans="1:18" x14ac:dyDescent="0.25">
      <c r="A7768" s="15"/>
      <c r="R7768" s="15"/>
    </row>
    <row r="7769" spans="1:18" x14ac:dyDescent="0.25">
      <c r="A7769" s="15"/>
      <c r="R7769" s="15"/>
    </row>
    <row r="7770" spans="1:18" x14ac:dyDescent="0.25">
      <c r="A7770" s="15"/>
      <c r="R7770" s="15"/>
    </row>
    <row r="7771" spans="1:18" x14ac:dyDescent="0.25">
      <c r="A7771" s="15"/>
      <c r="R7771" s="15"/>
    </row>
    <row r="7772" spans="1:18" x14ac:dyDescent="0.25">
      <c r="A7772" s="15"/>
      <c r="R7772" s="15"/>
    </row>
    <row r="7773" spans="1:18" x14ac:dyDescent="0.25">
      <c r="A7773" s="15"/>
      <c r="R7773" s="15"/>
    </row>
    <row r="7774" spans="1:18" x14ac:dyDescent="0.25">
      <c r="A7774" s="15"/>
      <c r="R7774" s="15"/>
    </row>
    <row r="7775" spans="1:18" x14ac:dyDescent="0.25">
      <c r="A7775" s="15"/>
      <c r="R7775" s="15"/>
    </row>
    <row r="7776" spans="1:18" x14ac:dyDescent="0.25">
      <c r="A7776" s="15"/>
      <c r="R7776" s="15"/>
    </row>
    <row r="7777" spans="1:18" x14ac:dyDescent="0.25">
      <c r="A7777" s="15"/>
      <c r="R7777" s="15"/>
    </row>
    <row r="7778" spans="1:18" x14ac:dyDescent="0.25">
      <c r="A7778" s="15"/>
      <c r="R7778" s="15"/>
    </row>
    <row r="7779" spans="1:18" x14ac:dyDescent="0.25">
      <c r="A7779" s="15"/>
      <c r="R7779" s="15"/>
    </row>
    <row r="7780" spans="1:18" x14ac:dyDescent="0.25">
      <c r="A7780" s="15"/>
      <c r="R7780" s="15"/>
    </row>
    <row r="7781" spans="1:18" x14ac:dyDescent="0.25">
      <c r="A7781" s="15"/>
      <c r="R7781" s="15"/>
    </row>
    <row r="7782" spans="1:18" x14ac:dyDescent="0.25">
      <c r="A7782" s="15"/>
      <c r="R7782" s="15"/>
    </row>
    <row r="7783" spans="1:18" x14ac:dyDescent="0.25">
      <c r="A7783" s="15"/>
      <c r="R7783" s="15"/>
    </row>
    <row r="7784" spans="1:18" x14ac:dyDescent="0.25">
      <c r="A7784" s="15"/>
      <c r="R7784" s="15"/>
    </row>
    <row r="7785" spans="1:18" x14ac:dyDescent="0.25">
      <c r="A7785" s="15"/>
      <c r="R7785" s="15"/>
    </row>
    <row r="7786" spans="1:18" x14ac:dyDescent="0.25">
      <c r="A7786" s="15"/>
      <c r="R7786" s="15"/>
    </row>
    <row r="7787" spans="1:18" x14ac:dyDescent="0.25">
      <c r="A7787" s="15"/>
      <c r="R7787" s="15"/>
    </row>
    <row r="7788" spans="1:18" x14ac:dyDescent="0.25">
      <c r="A7788" s="15"/>
      <c r="R7788" s="15"/>
    </row>
    <row r="7789" spans="1:18" x14ac:dyDescent="0.25">
      <c r="A7789" s="15"/>
      <c r="R7789" s="15"/>
    </row>
    <row r="7790" spans="1:18" x14ac:dyDescent="0.25">
      <c r="A7790" s="15"/>
      <c r="R7790" s="15"/>
    </row>
    <row r="7791" spans="1:18" x14ac:dyDescent="0.25">
      <c r="A7791" s="15"/>
      <c r="R7791" s="15"/>
    </row>
    <row r="7792" spans="1:18" x14ac:dyDescent="0.25">
      <c r="A7792" s="15"/>
      <c r="R7792" s="15"/>
    </row>
    <row r="7793" spans="1:18" x14ac:dyDescent="0.25">
      <c r="A7793" s="15"/>
      <c r="R7793" s="15"/>
    </row>
    <row r="7794" spans="1:18" x14ac:dyDescent="0.25">
      <c r="A7794" s="15"/>
      <c r="R7794" s="15"/>
    </row>
    <row r="7795" spans="1:18" x14ac:dyDescent="0.25">
      <c r="A7795" s="15"/>
      <c r="R7795" s="15"/>
    </row>
    <row r="7796" spans="1:18" x14ac:dyDescent="0.25">
      <c r="A7796" s="15"/>
      <c r="R7796" s="15"/>
    </row>
    <row r="7797" spans="1:18" x14ac:dyDescent="0.25">
      <c r="A7797" s="15"/>
      <c r="R7797" s="15"/>
    </row>
    <row r="7798" spans="1:18" x14ac:dyDescent="0.25">
      <c r="A7798" s="15"/>
      <c r="R7798" s="15"/>
    </row>
    <row r="7799" spans="1:18" x14ac:dyDescent="0.25">
      <c r="A7799" s="15"/>
      <c r="R7799" s="15"/>
    </row>
    <row r="7800" spans="1:18" x14ac:dyDescent="0.25">
      <c r="A7800" s="15"/>
      <c r="R7800" s="15"/>
    </row>
    <row r="7801" spans="1:18" x14ac:dyDescent="0.25">
      <c r="A7801" s="15"/>
      <c r="R7801" s="15"/>
    </row>
    <row r="7802" spans="1:18" x14ac:dyDescent="0.25">
      <c r="A7802" s="15"/>
      <c r="R7802" s="15"/>
    </row>
    <row r="7803" spans="1:18" x14ac:dyDescent="0.25">
      <c r="A7803" s="15"/>
      <c r="R7803" s="15"/>
    </row>
    <row r="7804" spans="1:18" x14ac:dyDescent="0.25">
      <c r="A7804" s="15"/>
      <c r="R7804" s="15"/>
    </row>
    <row r="7805" spans="1:18" x14ac:dyDescent="0.25">
      <c r="A7805" s="15"/>
      <c r="R7805" s="15"/>
    </row>
    <row r="7806" spans="1:18" x14ac:dyDescent="0.25">
      <c r="A7806" s="15"/>
      <c r="R7806" s="15"/>
    </row>
    <row r="7807" spans="1:18" x14ac:dyDescent="0.25">
      <c r="A7807" s="15"/>
      <c r="R7807" s="15"/>
    </row>
    <row r="7808" spans="1:18" x14ac:dyDescent="0.25">
      <c r="A7808" s="15"/>
      <c r="R7808" s="15"/>
    </row>
    <row r="7809" spans="1:18" x14ac:dyDescent="0.25">
      <c r="A7809" s="15"/>
      <c r="R7809" s="15"/>
    </row>
    <row r="7810" spans="1:18" x14ac:dyDescent="0.25">
      <c r="A7810" s="15"/>
      <c r="R7810" s="15"/>
    </row>
    <row r="7811" spans="1:18" x14ac:dyDescent="0.25">
      <c r="A7811" s="15"/>
      <c r="R7811" s="15"/>
    </row>
    <row r="7812" spans="1:18" x14ac:dyDescent="0.25">
      <c r="A7812" s="15"/>
      <c r="R7812" s="15"/>
    </row>
    <row r="7813" spans="1:18" x14ac:dyDescent="0.25">
      <c r="A7813" s="15"/>
      <c r="R7813" s="15"/>
    </row>
    <row r="7814" spans="1:18" x14ac:dyDescent="0.25">
      <c r="A7814" s="15"/>
      <c r="R7814" s="15"/>
    </row>
    <row r="7815" spans="1:18" x14ac:dyDescent="0.25">
      <c r="A7815" s="15"/>
      <c r="R7815" s="15"/>
    </row>
    <row r="7816" spans="1:18" x14ac:dyDescent="0.25">
      <c r="A7816" s="15"/>
      <c r="R7816" s="15"/>
    </row>
    <row r="7817" spans="1:18" x14ac:dyDescent="0.25">
      <c r="A7817" s="15"/>
      <c r="R7817" s="15"/>
    </row>
    <row r="7818" spans="1:18" x14ac:dyDescent="0.25">
      <c r="A7818" s="15"/>
      <c r="R7818" s="15"/>
    </row>
    <row r="7819" spans="1:18" x14ac:dyDescent="0.25">
      <c r="A7819" s="15"/>
      <c r="R7819" s="15"/>
    </row>
    <row r="7820" spans="1:18" x14ac:dyDescent="0.25">
      <c r="A7820" s="15"/>
      <c r="R7820" s="15"/>
    </row>
    <row r="7821" spans="1:18" x14ac:dyDescent="0.25">
      <c r="A7821" s="15"/>
      <c r="R7821" s="15"/>
    </row>
    <row r="7822" spans="1:18" x14ac:dyDescent="0.25">
      <c r="A7822" s="15"/>
      <c r="R7822" s="15"/>
    </row>
    <row r="7823" spans="1:18" x14ac:dyDescent="0.25">
      <c r="A7823" s="15"/>
      <c r="R7823" s="15"/>
    </row>
    <row r="7824" spans="1:18" x14ac:dyDescent="0.25">
      <c r="A7824" s="15"/>
      <c r="R7824" s="15"/>
    </row>
    <row r="7825" spans="1:18" x14ac:dyDescent="0.25">
      <c r="A7825" s="15"/>
      <c r="R7825" s="15"/>
    </row>
    <row r="7826" spans="1:18" x14ac:dyDescent="0.25">
      <c r="A7826" s="15"/>
      <c r="R7826" s="15"/>
    </row>
    <row r="7827" spans="1:18" x14ac:dyDescent="0.25">
      <c r="A7827" s="15"/>
      <c r="R7827" s="15"/>
    </row>
    <row r="7828" spans="1:18" x14ac:dyDescent="0.25">
      <c r="A7828" s="15"/>
      <c r="R7828" s="15"/>
    </row>
    <row r="7829" spans="1:18" x14ac:dyDescent="0.25">
      <c r="A7829" s="15"/>
      <c r="R7829" s="15"/>
    </row>
    <row r="7830" spans="1:18" x14ac:dyDescent="0.25">
      <c r="A7830" s="15"/>
      <c r="R7830" s="15"/>
    </row>
    <row r="7831" spans="1:18" x14ac:dyDescent="0.25">
      <c r="A7831" s="15"/>
      <c r="R7831" s="15"/>
    </row>
    <row r="7832" spans="1:18" x14ac:dyDescent="0.25">
      <c r="A7832" s="15"/>
      <c r="R7832" s="15"/>
    </row>
    <row r="7833" spans="1:18" x14ac:dyDescent="0.25">
      <c r="A7833" s="15"/>
      <c r="R7833" s="15"/>
    </row>
    <row r="7834" spans="1:18" x14ac:dyDescent="0.25">
      <c r="A7834" s="15"/>
      <c r="R7834" s="15"/>
    </row>
    <row r="7835" spans="1:18" x14ac:dyDescent="0.25">
      <c r="A7835" s="15"/>
      <c r="R7835" s="15"/>
    </row>
    <row r="7836" spans="1:18" x14ac:dyDescent="0.25">
      <c r="A7836" s="15"/>
      <c r="R7836" s="15"/>
    </row>
    <row r="7837" spans="1:18" x14ac:dyDescent="0.25">
      <c r="A7837" s="15"/>
      <c r="R7837" s="15"/>
    </row>
    <row r="7838" spans="1:18" x14ac:dyDescent="0.25">
      <c r="A7838" s="15"/>
      <c r="R7838" s="15"/>
    </row>
    <row r="7839" spans="1:18" x14ac:dyDescent="0.25">
      <c r="A7839" s="15"/>
      <c r="R7839" s="15"/>
    </row>
    <row r="7840" spans="1:18" x14ac:dyDescent="0.25">
      <c r="A7840" s="15"/>
      <c r="R7840" s="15"/>
    </row>
    <row r="7841" spans="1:18" x14ac:dyDescent="0.25">
      <c r="A7841" s="15"/>
      <c r="R7841" s="15"/>
    </row>
    <row r="7842" spans="1:18" x14ac:dyDescent="0.25">
      <c r="A7842" s="15"/>
      <c r="R7842" s="15"/>
    </row>
    <row r="7843" spans="1:18" x14ac:dyDescent="0.25">
      <c r="A7843" s="15"/>
      <c r="R7843" s="15"/>
    </row>
    <row r="7844" spans="1:18" x14ac:dyDescent="0.25">
      <c r="A7844" s="15"/>
      <c r="R7844" s="15"/>
    </row>
    <row r="7845" spans="1:18" x14ac:dyDescent="0.25">
      <c r="A7845" s="15"/>
      <c r="R7845" s="15"/>
    </row>
    <row r="7846" spans="1:18" x14ac:dyDescent="0.25">
      <c r="A7846" s="15"/>
      <c r="R7846" s="15"/>
    </row>
    <row r="7847" spans="1:18" x14ac:dyDescent="0.25">
      <c r="A7847" s="15"/>
      <c r="R7847" s="15"/>
    </row>
    <row r="7848" spans="1:18" x14ac:dyDescent="0.25">
      <c r="A7848" s="15"/>
      <c r="R7848" s="15"/>
    </row>
    <row r="7849" spans="1:18" x14ac:dyDescent="0.25">
      <c r="A7849" s="15"/>
      <c r="R7849" s="15"/>
    </row>
    <row r="7850" spans="1:18" x14ac:dyDescent="0.25">
      <c r="A7850" s="15"/>
      <c r="R7850" s="15"/>
    </row>
    <row r="7851" spans="1:18" x14ac:dyDescent="0.25">
      <c r="A7851" s="15"/>
      <c r="R7851" s="15"/>
    </row>
    <row r="7852" spans="1:18" x14ac:dyDescent="0.25">
      <c r="A7852" s="15"/>
      <c r="R7852" s="15"/>
    </row>
    <row r="7853" spans="1:18" x14ac:dyDescent="0.25">
      <c r="A7853" s="15"/>
      <c r="R7853" s="15"/>
    </row>
    <row r="7854" spans="1:18" x14ac:dyDescent="0.25">
      <c r="A7854" s="15"/>
      <c r="R7854" s="15"/>
    </row>
    <row r="7855" spans="1:18" x14ac:dyDescent="0.25">
      <c r="A7855" s="15"/>
      <c r="R7855" s="15"/>
    </row>
    <row r="7856" spans="1:18" x14ac:dyDescent="0.25">
      <c r="A7856" s="15"/>
      <c r="R7856" s="15"/>
    </row>
    <row r="7857" spans="1:18" x14ac:dyDescent="0.25">
      <c r="A7857" s="15"/>
      <c r="R7857" s="15"/>
    </row>
    <row r="7858" spans="1:18" x14ac:dyDescent="0.25">
      <c r="A7858" s="15"/>
      <c r="R7858" s="15"/>
    </row>
    <row r="7859" spans="1:18" x14ac:dyDescent="0.25">
      <c r="A7859" s="15"/>
      <c r="R7859" s="15"/>
    </row>
    <row r="7860" spans="1:18" x14ac:dyDescent="0.25">
      <c r="A7860" s="15"/>
      <c r="R7860" s="15"/>
    </row>
    <row r="7861" spans="1:18" x14ac:dyDescent="0.25">
      <c r="A7861" s="15"/>
      <c r="R7861" s="15"/>
    </row>
    <row r="7862" spans="1:18" x14ac:dyDescent="0.25">
      <c r="A7862" s="15"/>
      <c r="R7862" s="15"/>
    </row>
    <row r="7863" spans="1:18" x14ac:dyDescent="0.25">
      <c r="A7863" s="15"/>
      <c r="R7863" s="15"/>
    </row>
    <row r="7864" spans="1:18" x14ac:dyDescent="0.25">
      <c r="A7864" s="15"/>
      <c r="R7864" s="15"/>
    </row>
    <row r="7865" spans="1:18" x14ac:dyDescent="0.25">
      <c r="A7865" s="15"/>
      <c r="R7865" s="15"/>
    </row>
    <row r="7866" spans="1:18" x14ac:dyDescent="0.25">
      <c r="A7866" s="15"/>
      <c r="R7866" s="15"/>
    </row>
    <row r="7867" spans="1:18" x14ac:dyDescent="0.25">
      <c r="A7867" s="15"/>
      <c r="R7867" s="15"/>
    </row>
    <row r="7868" spans="1:18" x14ac:dyDescent="0.25">
      <c r="A7868" s="15"/>
      <c r="R7868" s="15"/>
    </row>
    <row r="7869" spans="1:18" x14ac:dyDescent="0.25">
      <c r="A7869" s="15"/>
      <c r="R7869" s="15"/>
    </row>
    <row r="7870" spans="1:18" x14ac:dyDescent="0.25">
      <c r="A7870" s="15"/>
      <c r="R7870" s="15"/>
    </row>
    <row r="7871" spans="1:18" x14ac:dyDescent="0.25">
      <c r="A7871" s="15"/>
      <c r="R7871" s="15"/>
    </row>
    <row r="7872" spans="1:18" x14ac:dyDescent="0.25">
      <c r="A7872" s="15"/>
      <c r="R7872" s="15"/>
    </row>
    <row r="7873" spans="1:18" x14ac:dyDescent="0.25">
      <c r="A7873" s="15"/>
      <c r="R7873" s="15"/>
    </row>
    <row r="7874" spans="1:18" x14ac:dyDescent="0.25">
      <c r="A7874" s="15"/>
      <c r="R7874" s="15"/>
    </row>
    <row r="7875" spans="1:18" x14ac:dyDescent="0.25">
      <c r="A7875" s="15"/>
      <c r="R7875" s="15"/>
    </row>
    <row r="7876" spans="1:18" x14ac:dyDescent="0.25">
      <c r="A7876" s="15"/>
      <c r="R7876" s="15"/>
    </row>
    <row r="7877" spans="1:18" x14ac:dyDescent="0.25">
      <c r="A7877" s="15"/>
      <c r="R7877" s="15"/>
    </row>
    <row r="7878" spans="1:18" x14ac:dyDescent="0.25">
      <c r="A7878" s="15"/>
      <c r="R7878" s="15"/>
    </row>
    <row r="7879" spans="1:18" x14ac:dyDescent="0.25">
      <c r="A7879" s="15"/>
      <c r="R7879" s="15"/>
    </row>
    <row r="7880" spans="1:18" x14ac:dyDescent="0.25">
      <c r="A7880" s="15"/>
      <c r="R7880" s="15"/>
    </row>
    <row r="7881" spans="1:18" x14ac:dyDescent="0.25">
      <c r="A7881" s="15"/>
      <c r="R7881" s="15"/>
    </row>
    <row r="7882" spans="1:18" x14ac:dyDescent="0.25">
      <c r="A7882" s="15"/>
      <c r="R7882" s="15"/>
    </row>
    <row r="7883" spans="1:18" x14ac:dyDescent="0.25">
      <c r="A7883" s="15"/>
      <c r="R7883" s="15"/>
    </row>
    <row r="7884" spans="1:18" x14ac:dyDescent="0.25">
      <c r="A7884" s="15"/>
      <c r="R7884" s="15"/>
    </row>
    <row r="7885" spans="1:18" x14ac:dyDescent="0.25">
      <c r="A7885" s="15"/>
      <c r="R7885" s="15"/>
    </row>
    <row r="7886" spans="1:18" x14ac:dyDescent="0.25">
      <c r="A7886" s="15"/>
      <c r="R7886" s="15"/>
    </row>
    <row r="7887" spans="1:18" x14ac:dyDescent="0.25">
      <c r="A7887" s="15"/>
      <c r="R7887" s="15"/>
    </row>
    <row r="7888" spans="1:18" x14ac:dyDescent="0.25">
      <c r="A7888" s="15"/>
      <c r="R7888" s="15"/>
    </row>
    <row r="7889" spans="1:18" x14ac:dyDescent="0.25">
      <c r="A7889" s="15"/>
      <c r="R7889" s="15"/>
    </row>
    <row r="7890" spans="1:18" x14ac:dyDescent="0.25">
      <c r="A7890" s="15"/>
      <c r="R7890" s="15"/>
    </row>
    <row r="7891" spans="1:18" x14ac:dyDescent="0.25">
      <c r="A7891" s="15"/>
      <c r="R7891" s="15"/>
    </row>
    <row r="7892" spans="1:18" x14ac:dyDescent="0.25">
      <c r="A7892" s="15"/>
      <c r="R7892" s="15"/>
    </row>
    <row r="7893" spans="1:18" x14ac:dyDescent="0.25">
      <c r="A7893" s="15"/>
      <c r="R7893" s="15"/>
    </row>
    <row r="7894" spans="1:18" x14ac:dyDescent="0.25">
      <c r="A7894" s="15"/>
      <c r="R7894" s="15"/>
    </row>
    <row r="7895" spans="1:18" x14ac:dyDescent="0.25">
      <c r="A7895" s="15"/>
      <c r="R7895" s="15"/>
    </row>
    <row r="7896" spans="1:18" x14ac:dyDescent="0.25">
      <c r="A7896" s="15"/>
      <c r="R7896" s="15"/>
    </row>
    <row r="7897" spans="1:18" x14ac:dyDescent="0.25">
      <c r="A7897" s="15"/>
      <c r="R7897" s="15"/>
    </row>
    <row r="7898" spans="1:18" x14ac:dyDescent="0.25">
      <c r="A7898" s="15"/>
      <c r="R7898" s="15"/>
    </row>
    <row r="7899" spans="1:18" x14ac:dyDescent="0.25">
      <c r="A7899" s="15"/>
      <c r="R7899" s="15"/>
    </row>
    <row r="7900" spans="1:18" x14ac:dyDescent="0.25">
      <c r="A7900" s="15"/>
      <c r="R7900" s="15"/>
    </row>
    <row r="7901" spans="1:18" x14ac:dyDescent="0.25">
      <c r="A7901" s="15"/>
      <c r="R7901" s="15"/>
    </row>
    <row r="7902" spans="1:18" x14ac:dyDescent="0.25">
      <c r="A7902" s="15"/>
      <c r="R7902" s="15"/>
    </row>
    <row r="7903" spans="1:18" x14ac:dyDescent="0.25">
      <c r="A7903" s="15"/>
      <c r="R7903" s="15"/>
    </row>
    <row r="7904" spans="1:18" x14ac:dyDescent="0.25">
      <c r="A7904" s="15"/>
      <c r="R7904" s="15"/>
    </row>
    <row r="7905" spans="1:18" x14ac:dyDescent="0.25">
      <c r="A7905" s="15"/>
      <c r="R7905" s="15"/>
    </row>
    <row r="7906" spans="1:18" x14ac:dyDescent="0.25">
      <c r="A7906" s="15"/>
      <c r="R7906" s="15"/>
    </row>
    <row r="7907" spans="1:18" x14ac:dyDescent="0.25">
      <c r="A7907" s="15"/>
      <c r="R7907" s="15"/>
    </row>
    <row r="7908" spans="1:18" x14ac:dyDescent="0.25">
      <c r="A7908" s="15"/>
      <c r="R7908" s="15"/>
    </row>
    <row r="7909" spans="1:18" x14ac:dyDescent="0.25">
      <c r="A7909" s="15"/>
      <c r="R7909" s="15"/>
    </row>
    <row r="7910" spans="1:18" x14ac:dyDescent="0.25">
      <c r="A7910" s="15"/>
      <c r="R7910" s="15"/>
    </row>
    <row r="7911" spans="1:18" x14ac:dyDescent="0.25">
      <c r="A7911" s="15"/>
      <c r="R7911" s="15"/>
    </row>
    <row r="7912" spans="1:18" x14ac:dyDescent="0.25">
      <c r="A7912" s="15"/>
      <c r="R7912" s="15"/>
    </row>
    <row r="7913" spans="1:18" x14ac:dyDescent="0.25">
      <c r="A7913" s="15"/>
      <c r="R7913" s="15"/>
    </row>
    <row r="7914" spans="1:18" x14ac:dyDescent="0.25">
      <c r="A7914" s="15"/>
      <c r="R7914" s="15"/>
    </row>
    <row r="7915" spans="1:18" x14ac:dyDescent="0.25">
      <c r="A7915" s="15"/>
      <c r="R7915" s="15"/>
    </row>
    <row r="7916" spans="1:18" x14ac:dyDescent="0.25">
      <c r="A7916" s="15"/>
      <c r="R7916" s="15"/>
    </row>
    <row r="7917" spans="1:18" x14ac:dyDescent="0.25">
      <c r="A7917" s="15"/>
      <c r="R7917" s="15"/>
    </row>
    <row r="7918" spans="1:18" x14ac:dyDescent="0.25">
      <c r="A7918" s="15"/>
      <c r="R7918" s="15"/>
    </row>
    <row r="7919" spans="1:18" x14ac:dyDescent="0.25">
      <c r="A7919" s="15"/>
      <c r="R7919" s="15"/>
    </row>
    <row r="7920" spans="1:18" x14ac:dyDescent="0.25">
      <c r="A7920" s="15"/>
      <c r="R7920" s="15"/>
    </row>
    <row r="7921" spans="1:18" x14ac:dyDescent="0.25">
      <c r="A7921" s="15"/>
      <c r="R7921" s="15"/>
    </row>
    <row r="7922" spans="1:18" x14ac:dyDescent="0.25">
      <c r="A7922" s="15"/>
      <c r="R7922" s="15"/>
    </row>
    <row r="7923" spans="1:18" x14ac:dyDescent="0.25">
      <c r="A7923" s="15"/>
      <c r="R7923" s="15"/>
    </row>
    <row r="7924" spans="1:18" x14ac:dyDescent="0.25">
      <c r="A7924" s="15"/>
      <c r="R7924" s="15"/>
    </row>
    <row r="7925" spans="1:18" x14ac:dyDescent="0.25">
      <c r="A7925" s="15"/>
      <c r="R7925" s="15"/>
    </row>
    <row r="7926" spans="1:18" x14ac:dyDescent="0.25">
      <c r="A7926" s="15"/>
      <c r="R7926" s="15"/>
    </row>
    <row r="7927" spans="1:18" x14ac:dyDescent="0.25">
      <c r="A7927" s="15"/>
      <c r="R7927" s="15"/>
    </row>
    <row r="7928" spans="1:18" x14ac:dyDescent="0.25">
      <c r="A7928" s="15"/>
      <c r="R7928" s="15"/>
    </row>
    <row r="7929" spans="1:18" x14ac:dyDescent="0.25">
      <c r="A7929" s="15"/>
      <c r="R7929" s="15"/>
    </row>
    <row r="7930" spans="1:18" x14ac:dyDescent="0.25">
      <c r="A7930" s="15"/>
      <c r="R7930" s="15"/>
    </row>
    <row r="7931" spans="1:18" x14ac:dyDescent="0.25">
      <c r="A7931" s="15"/>
      <c r="R7931" s="15"/>
    </row>
    <row r="7932" spans="1:18" x14ac:dyDescent="0.25">
      <c r="A7932" s="15"/>
      <c r="R7932" s="15"/>
    </row>
    <row r="7933" spans="1:18" x14ac:dyDescent="0.25">
      <c r="A7933" s="15"/>
      <c r="R7933" s="15"/>
    </row>
    <row r="7934" spans="1:18" x14ac:dyDescent="0.25">
      <c r="A7934" s="15"/>
      <c r="R7934" s="15"/>
    </row>
    <row r="7935" spans="1:18" x14ac:dyDescent="0.25">
      <c r="A7935" s="15"/>
      <c r="R7935" s="15"/>
    </row>
    <row r="7936" spans="1:18" x14ac:dyDescent="0.25">
      <c r="A7936" s="15"/>
      <c r="R7936" s="15"/>
    </row>
    <row r="7937" spans="1:18" x14ac:dyDescent="0.25">
      <c r="A7937" s="15"/>
      <c r="R7937" s="15"/>
    </row>
    <row r="7938" spans="1:18" x14ac:dyDescent="0.25">
      <c r="A7938" s="15"/>
      <c r="R7938" s="15"/>
    </row>
    <row r="7939" spans="1:18" x14ac:dyDescent="0.25">
      <c r="A7939" s="15"/>
      <c r="R7939" s="15"/>
    </row>
    <row r="7940" spans="1:18" x14ac:dyDescent="0.25">
      <c r="A7940" s="15"/>
      <c r="R7940" s="15"/>
    </row>
    <row r="7941" spans="1:18" x14ac:dyDescent="0.25">
      <c r="A7941" s="15"/>
      <c r="R7941" s="15"/>
    </row>
    <row r="7942" spans="1:18" x14ac:dyDescent="0.25">
      <c r="A7942" s="15"/>
      <c r="R7942" s="15"/>
    </row>
    <row r="7943" spans="1:18" x14ac:dyDescent="0.25">
      <c r="A7943" s="15"/>
      <c r="R7943" s="15"/>
    </row>
    <row r="7944" spans="1:18" x14ac:dyDescent="0.25">
      <c r="A7944" s="15"/>
      <c r="R7944" s="15"/>
    </row>
    <row r="7945" spans="1:18" x14ac:dyDescent="0.25">
      <c r="A7945" s="15"/>
      <c r="R7945" s="15"/>
    </row>
    <row r="7946" spans="1:18" x14ac:dyDescent="0.25">
      <c r="A7946" s="15"/>
      <c r="R7946" s="15"/>
    </row>
    <row r="7947" spans="1:18" x14ac:dyDescent="0.25">
      <c r="A7947" s="15"/>
      <c r="R7947" s="15"/>
    </row>
    <row r="7948" spans="1:18" x14ac:dyDescent="0.25">
      <c r="A7948" s="15"/>
      <c r="R7948" s="15"/>
    </row>
    <row r="7949" spans="1:18" x14ac:dyDescent="0.25">
      <c r="A7949" s="15"/>
      <c r="R7949" s="15"/>
    </row>
    <row r="7950" spans="1:18" x14ac:dyDescent="0.25">
      <c r="A7950" s="15"/>
      <c r="R7950" s="15"/>
    </row>
    <row r="7951" spans="1:18" x14ac:dyDescent="0.25">
      <c r="A7951" s="15"/>
      <c r="R7951" s="15"/>
    </row>
    <row r="7952" spans="1:18" x14ac:dyDescent="0.25">
      <c r="A7952" s="15"/>
      <c r="R7952" s="15"/>
    </row>
    <row r="7953" spans="1:18" x14ac:dyDescent="0.25">
      <c r="A7953" s="15"/>
      <c r="R7953" s="15"/>
    </row>
    <row r="7954" spans="1:18" x14ac:dyDescent="0.25">
      <c r="A7954" s="15"/>
      <c r="R7954" s="15"/>
    </row>
    <row r="7955" spans="1:18" x14ac:dyDescent="0.25">
      <c r="A7955" s="15"/>
      <c r="R7955" s="15"/>
    </row>
    <row r="7956" spans="1:18" x14ac:dyDescent="0.25">
      <c r="A7956" s="15"/>
      <c r="R7956" s="15"/>
    </row>
    <row r="7957" spans="1:18" x14ac:dyDescent="0.25">
      <c r="A7957" s="15"/>
      <c r="R7957" s="15"/>
    </row>
    <row r="7958" spans="1:18" x14ac:dyDescent="0.25">
      <c r="A7958" s="15"/>
      <c r="R7958" s="15"/>
    </row>
    <row r="7959" spans="1:18" x14ac:dyDescent="0.25">
      <c r="A7959" s="15"/>
      <c r="R7959" s="15"/>
    </row>
    <row r="7960" spans="1:18" x14ac:dyDescent="0.25">
      <c r="A7960" s="15"/>
      <c r="R7960" s="15"/>
    </row>
    <row r="7961" spans="1:18" x14ac:dyDescent="0.25">
      <c r="A7961" s="15"/>
      <c r="R7961" s="15"/>
    </row>
    <row r="7962" spans="1:18" x14ac:dyDescent="0.25">
      <c r="A7962" s="15"/>
      <c r="R7962" s="15"/>
    </row>
    <row r="7963" spans="1:18" x14ac:dyDescent="0.25">
      <c r="A7963" s="15"/>
      <c r="R7963" s="15"/>
    </row>
    <row r="7964" spans="1:18" x14ac:dyDescent="0.25">
      <c r="A7964" s="15"/>
      <c r="R7964" s="15"/>
    </row>
    <row r="7965" spans="1:18" x14ac:dyDescent="0.25">
      <c r="A7965" s="15"/>
      <c r="R7965" s="15"/>
    </row>
    <row r="7966" spans="1:18" x14ac:dyDescent="0.25">
      <c r="A7966" s="15"/>
      <c r="R7966" s="15"/>
    </row>
    <row r="7967" spans="1:18" x14ac:dyDescent="0.25">
      <c r="A7967" s="15"/>
      <c r="R7967" s="15"/>
    </row>
    <row r="7968" spans="1:18" x14ac:dyDescent="0.25">
      <c r="A7968" s="15"/>
      <c r="R7968" s="15"/>
    </row>
    <row r="7969" spans="1:18" x14ac:dyDescent="0.25">
      <c r="A7969" s="15"/>
      <c r="R7969" s="15"/>
    </row>
    <row r="7970" spans="1:18" x14ac:dyDescent="0.25">
      <c r="A7970" s="15"/>
      <c r="R7970" s="15"/>
    </row>
    <row r="7971" spans="1:18" x14ac:dyDescent="0.25">
      <c r="A7971" s="15"/>
      <c r="R7971" s="15"/>
    </row>
    <row r="7972" spans="1:18" x14ac:dyDescent="0.25">
      <c r="A7972" s="15"/>
      <c r="R7972" s="15"/>
    </row>
    <row r="7973" spans="1:18" x14ac:dyDescent="0.25">
      <c r="A7973" s="15"/>
      <c r="R7973" s="15"/>
    </row>
    <row r="7974" spans="1:18" x14ac:dyDescent="0.25">
      <c r="A7974" s="15"/>
      <c r="R7974" s="15"/>
    </row>
    <row r="7975" spans="1:18" x14ac:dyDescent="0.25">
      <c r="A7975" s="15"/>
      <c r="R7975" s="15"/>
    </row>
    <row r="7976" spans="1:18" x14ac:dyDescent="0.25">
      <c r="A7976" s="15"/>
      <c r="R7976" s="15"/>
    </row>
    <row r="7977" spans="1:18" x14ac:dyDescent="0.25">
      <c r="A7977" s="15"/>
      <c r="R7977" s="15"/>
    </row>
    <row r="7978" spans="1:18" x14ac:dyDescent="0.25">
      <c r="A7978" s="15"/>
      <c r="R7978" s="15"/>
    </row>
    <row r="7979" spans="1:18" x14ac:dyDescent="0.25">
      <c r="A7979" s="15"/>
      <c r="R7979" s="15"/>
    </row>
    <row r="7980" spans="1:18" x14ac:dyDescent="0.25">
      <c r="A7980" s="15"/>
      <c r="R7980" s="15"/>
    </row>
    <row r="7981" spans="1:18" x14ac:dyDescent="0.25">
      <c r="A7981" s="15"/>
      <c r="R7981" s="15"/>
    </row>
    <row r="7982" spans="1:18" x14ac:dyDescent="0.25">
      <c r="A7982" s="15"/>
      <c r="R7982" s="15"/>
    </row>
    <row r="7983" spans="1:18" x14ac:dyDescent="0.25">
      <c r="A7983" s="15"/>
      <c r="R7983" s="15"/>
    </row>
    <row r="7984" spans="1:18" x14ac:dyDescent="0.25">
      <c r="A7984" s="15"/>
      <c r="R7984" s="15"/>
    </row>
    <row r="7985" spans="1:18" x14ac:dyDescent="0.25">
      <c r="A7985" s="15"/>
      <c r="R7985" s="15"/>
    </row>
    <row r="7986" spans="1:18" x14ac:dyDescent="0.25">
      <c r="A7986" s="15"/>
      <c r="R7986" s="15"/>
    </row>
    <row r="7987" spans="1:18" x14ac:dyDescent="0.25">
      <c r="A7987" s="15"/>
      <c r="R7987" s="15"/>
    </row>
    <row r="7988" spans="1:18" x14ac:dyDescent="0.25">
      <c r="A7988" s="15"/>
      <c r="R7988" s="15"/>
    </row>
    <row r="7989" spans="1:18" x14ac:dyDescent="0.25">
      <c r="A7989" s="15"/>
      <c r="R7989" s="15"/>
    </row>
    <row r="7990" spans="1:18" x14ac:dyDescent="0.25">
      <c r="A7990" s="15"/>
      <c r="R7990" s="15"/>
    </row>
    <row r="7991" spans="1:18" x14ac:dyDescent="0.25">
      <c r="A7991" s="15"/>
      <c r="R7991" s="15"/>
    </row>
    <row r="7992" spans="1:18" x14ac:dyDescent="0.25">
      <c r="A7992" s="15"/>
      <c r="R7992" s="15"/>
    </row>
    <row r="7993" spans="1:18" x14ac:dyDescent="0.25">
      <c r="A7993" s="15"/>
      <c r="R7993" s="15"/>
    </row>
    <row r="7994" spans="1:18" x14ac:dyDescent="0.25">
      <c r="A7994" s="15"/>
      <c r="R7994" s="15"/>
    </row>
    <row r="7995" spans="1:18" x14ac:dyDescent="0.25">
      <c r="A7995" s="15"/>
      <c r="R7995" s="15"/>
    </row>
    <row r="7996" spans="1:18" x14ac:dyDescent="0.25">
      <c r="A7996" s="15"/>
      <c r="R7996" s="15"/>
    </row>
    <row r="7997" spans="1:18" x14ac:dyDescent="0.25">
      <c r="A7997" s="15"/>
      <c r="R7997" s="15"/>
    </row>
    <row r="7998" spans="1:18" x14ac:dyDescent="0.25">
      <c r="A7998" s="15"/>
      <c r="R7998" s="15"/>
    </row>
    <row r="7999" spans="1:18" x14ac:dyDescent="0.25">
      <c r="A7999" s="15"/>
      <c r="R7999" s="15"/>
    </row>
    <row r="8000" spans="1:18" x14ac:dyDescent="0.25">
      <c r="A8000" s="15"/>
      <c r="R8000" s="15"/>
    </row>
    <row r="8001" spans="1:18" x14ac:dyDescent="0.25">
      <c r="A8001" s="15"/>
      <c r="R8001" s="15"/>
    </row>
    <row r="8002" spans="1:18" x14ac:dyDescent="0.25">
      <c r="A8002" s="15"/>
      <c r="R8002" s="15"/>
    </row>
    <row r="8003" spans="1:18" x14ac:dyDescent="0.25">
      <c r="A8003" s="15"/>
      <c r="R8003" s="15"/>
    </row>
    <row r="8004" spans="1:18" x14ac:dyDescent="0.25">
      <c r="A8004" s="15"/>
      <c r="R8004" s="15"/>
    </row>
    <row r="8005" spans="1:18" x14ac:dyDescent="0.25">
      <c r="A8005" s="15"/>
      <c r="R8005" s="15"/>
    </row>
    <row r="8006" spans="1:18" x14ac:dyDescent="0.25">
      <c r="A8006" s="15"/>
      <c r="R8006" s="15"/>
    </row>
    <row r="8007" spans="1:18" x14ac:dyDescent="0.25">
      <c r="A8007" s="15"/>
      <c r="R8007" s="15"/>
    </row>
    <row r="8008" spans="1:18" x14ac:dyDescent="0.25">
      <c r="A8008" s="15"/>
      <c r="R8008" s="15"/>
    </row>
    <row r="8009" spans="1:18" x14ac:dyDescent="0.25">
      <c r="A8009" s="15"/>
      <c r="R8009" s="15"/>
    </row>
    <row r="8010" spans="1:18" x14ac:dyDescent="0.25">
      <c r="A8010" s="15"/>
      <c r="R8010" s="15"/>
    </row>
    <row r="8011" spans="1:18" x14ac:dyDescent="0.25">
      <c r="A8011" s="15"/>
      <c r="R8011" s="15"/>
    </row>
    <row r="8012" spans="1:18" x14ac:dyDescent="0.25">
      <c r="A8012" s="15"/>
      <c r="R8012" s="15"/>
    </row>
    <row r="8013" spans="1:18" x14ac:dyDescent="0.25">
      <c r="A8013" s="15"/>
      <c r="R8013" s="15"/>
    </row>
    <row r="8014" spans="1:18" x14ac:dyDescent="0.25">
      <c r="A8014" s="15"/>
      <c r="R8014" s="15"/>
    </row>
    <row r="8015" spans="1:18" x14ac:dyDescent="0.25">
      <c r="A8015" s="15"/>
      <c r="R8015" s="15"/>
    </row>
    <row r="8016" spans="1:18" x14ac:dyDescent="0.25">
      <c r="A8016" s="15"/>
      <c r="R8016" s="15"/>
    </row>
    <row r="8017" spans="1:18" x14ac:dyDescent="0.25">
      <c r="A8017" s="15"/>
      <c r="R8017" s="15"/>
    </row>
    <row r="8018" spans="1:18" x14ac:dyDescent="0.25">
      <c r="A8018" s="15"/>
      <c r="R8018" s="15"/>
    </row>
    <row r="8019" spans="1:18" x14ac:dyDescent="0.25">
      <c r="A8019" s="15"/>
      <c r="R8019" s="15"/>
    </row>
    <row r="8020" spans="1:18" x14ac:dyDescent="0.25">
      <c r="A8020" s="15"/>
      <c r="R8020" s="15"/>
    </row>
    <row r="8021" spans="1:18" x14ac:dyDescent="0.25">
      <c r="A8021" s="15"/>
      <c r="R8021" s="15"/>
    </row>
    <row r="8022" spans="1:18" x14ac:dyDescent="0.25">
      <c r="A8022" s="15"/>
      <c r="R8022" s="15"/>
    </row>
    <row r="8023" spans="1:18" x14ac:dyDescent="0.25">
      <c r="A8023" s="15"/>
      <c r="R8023" s="15"/>
    </row>
    <row r="8024" spans="1:18" x14ac:dyDescent="0.25">
      <c r="A8024" s="15"/>
      <c r="R8024" s="15"/>
    </row>
    <row r="8025" spans="1:18" x14ac:dyDescent="0.25">
      <c r="A8025" s="15"/>
      <c r="R8025" s="15"/>
    </row>
    <row r="8026" spans="1:18" x14ac:dyDescent="0.25">
      <c r="A8026" s="15"/>
      <c r="R8026" s="15"/>
    </row>
    <row r="8027" spans="1:18" x14ac:dyDescent="0.25">
      <c r="A8027" s="15"/>
      <c r="R8027" s="15"/>
    </row>
    <row r="8028" spans="1:18" x14ac:dyDescent="0.25">
      <c r="A8028" s="15"/>
      <c r="R8028" s="15"/>
    </row>
    <row r="8029" spans="1:18" x14ac:dyDescent="0.25">
      <c r="A8029" s="15"/>
      <c r="R8029" s="15"/>
    </row>
    <row r="8030" spans="1:18" x14ac:dyDescent="0.25">
      <c r="A8030" s="15"/>
      <c r="R8030" s="15"/>
    </row>
    <row r="8031" spans="1:18" x14ac:dyDescent="0.25">
      <c r="A8031" s="15"/>
      <c r="R8031" s="15"/>
    </row>
    <row r="8032" spans="1:18" x14ac:dyDescent="0.25">
      <c r="A8032" s="15"/>
      <c r="R8032" s="15"/>
    </row>
    <row r="8033" spans="1:18" x14ac:dyDescent="0.25">
      <c r="A8033" s="15"/>
      <c r="R8033" s="15"/>
    </row>
    <row r="8034" spans="1:18" x14ac:dyDescent="0.25">
      <c r="A8034" s="15"/>
      <c r="R8034" s="15"/>
    </row>
    <row r="8035" spans="1:18" x14ac:dyDescent="0.25">
      <c r="A8035" s="15"/>
      <c r="R8035" s="15"/>
    </row>
    <row r="8036" spans="1:18" x14ac:dyDescent="0.25">
      <c r="A8036" s="15"/>
      <c r="R8036" s="15"/>
    </row>
    <row r="8037" spans="1:18" x14ac:dyDescent="0.25">
      <c r="A8037" s="15"/>
      <c r="R8037" s="15"/>
    </row>
    <row r="8038" spans="1:18" x14ac:dyDescent="0.25">
      <c r="A8038" s="15"/>
      <c r="R8038" s="15"/>
    </row>
    <row r="8039" spans="1:18" x14ac:dyDescent="0.25">
      <c r="A8039" s="15"/>
      <c r="R8039" s="15"/>
    </row>
    <row r="8040" spans="1:18" x14ac:dyDescent="0.25">
      <c r="A8040" s="15"/>
      <c r="R8040" s="15"/>
    </row>
    <row r="8041" spans="1:18" x14ac:dyDescent="0.25">
      <c r="A8041" s="15"/>
      <c r="R8041" s="15"/>
    </row>
    <row r="8042" spans="1:18" x14ac:dyDescent="0.25">
      <c r="A8042" s="15"/>
      <c r="R8042" s="15"/>
    </row>
    <row r="8043" spans="1:18" x14ac:dyDescent="0.25">
      <c r="A8043" s="15"/>
      <c r="R8043" s="15"/>
    </row>
    <row r="8044" spans="1:18" x14ac:dyDescent="0.25">
      <c r="A8044" s="15"/>
      <c r="R8044" s="15"/>
    </row>
    <row r="8045" spans="1:18" x14ac:dyDescent="0.25">
      <c r="A8045" s="15"/>
      <c r="R8045" s="15"/>
    </row>
    <row r="8046" spans="1:18" x14ac:dyDescent="0.25">
      <c r="A8046" s="15"/>
      <c r="R8046" s="15"/>
    </row>
    <row r="8047" spans="1:18" x14ac:dyDescent="0.25">
      <c r="A8047" s="15"/>
      <c r="R8047" s="15"/>
    </row>
    <row r="8048" spans="1:18" x14ac:dyDescent="0.25">
      <c r="A8048" s="15"/>
      <c r="R8048" s="15"/>
    </row>
    <row r="8049" spans="1:18" x14ac:dyDescent="0.25">
      <c r="A8049" s="15"/>
      <c r="R8049" s="15"/>
    </row>
    <row r="8050" spans="1:18" x14ac:dyDescent="0.25">
      <c r="A8050" s="15"/>
      <c r="R8050" s="15"/>
    </row>
    <row r="8051" spans="1:18" x14ac:dyDescent="0.25">
      <c r="A8051" s="15"/>
      <c r="R8051" s="15"/>
    </row>
    <row r="8052" spans="1:18" x14ac:dyDescent="0.25">
      <c r="A8052" s="15"/>
      <c r="R8052" s="15"/>
    </row>
    <row r="8053" spans="1:18" x14ac:dyDescent="0.25">
      <c r="A8053" s="15"/>
      <c r="R8053" s="15"/>
    </row>
    <row r="8054" spans="1:18" x14ac:dyDescent="0.25">
      <c r="A8054" s="15"/>
      <c r="R8054" s="15"/>
    </row>
    <row r="8055" spans="1:18" x14ac:dyDescent="0.25">
      <c r="A8055" s="15"/>
      <c r="R8055" s="15"/>
    </row>
    <row r="8056" spans="1:18" x14ac:dyDescent="0.25">
      <c r="A8056" s="15"/>
      <c r="R8056" s="15"/>
    </row>
    <row r="8057" spans="1:18" x14ac:dyDescent="0.25">
      <c r="A8057" s="15"/>
      <c r="R8057" s="15"/>
    </row>
    <row r="8058" spans="1:18" x14ac:dyDescent="0.25">
      <c r="A8058" s="15"/>
      <c r="R8058" s="15"/>
    </row>
    <row r="8059" spans="1:18" x14ac:dyDescent="0.25">
      <c r="A8059" s="15"/>
      <c r="R8059" s="15"/>
    </row>
    <row r="8060" spans="1:18" x14ac:dyDescent="0.25">
      <c r="A8060" s="15"/>
      <c r="R8060" s="15"/>
    </row>
    <row r="8061" spans="1:18" x14ac:dyDescent="0.25">
      <c r="A8061" s="15"/>
      <c r="R8061" s="15"/>
    </row>
    <row r="8062" spans="1:18" x14ac:dyDescent="0.25">
      <c r="A8062" s="15"/>
      <c r="R8062" s="15"/>
    </row>
    <row r="8063" spans="1:18" x14ac:dyDescent="0.25">
      <c r="A8063" s="15"/>
      <c r="R8063" s="15"/>
    </row>
    <row r="8064" spans="1:18" x14ac:dyDescent="0.25">
      <c r="A8064" s="15"/>
      <c r="R8064" s="15"/>
    </row>
    <row r="8065" spans="1:18" x14ac:dyDescent="0.25">
      <c r="A8065" s="15"/>
      <c r="R8065" s="15"/>
    </row>
    <row r="8066" spans="1:18" x14ac:dyDescent="0.25">
      <c r="A8066" s="15"/>
      <c r="R8066" s="15"/>
    </row>
    <row r="8067" spans="1:18" x14ac:dyDescent="0.25">
      <c r="A8067" s="15"/>
      <c r="R8067" s="15"/>
    </row>
    <row r="8068" spans="1:18" x14ac:dyDescent="0.25">
      <c r="A8068" s="15"/>
      <c r="R8068" s="15"/>
    </row>
    <row r="8069" spans="1:18" x14ac:dyDescent="0.25">
      <c r="A8069" s="15"/>
      <c r="R8069" s="15"/>
    </row>
    <row r="8070" spans="1:18" x14ac:dyDescent="0.25">
      <c r="A8070" s="15"/>
      <c r="R8070" s="15"/>
    </row>
    <row r="8071" spans="1:18" x14ac:dyDescent="0.25">
      <c r="A8071" s="15"/>
      <c r="R8071" s="15"/>
    </row>
    <row r="8072" spans="1:18" x14ac:dyDescent="0.25">
      <c r="A8072" s="15"/>
      <c r="R8072" s="15"/>
    </row>
    <row r="8073" spans="1:18" x14ac:dyDescent="0.25">
      <c r="A8073" s="15"/>
      <c r="R8073" s="15"/>
    </row>
    <row r="8074" spans="1:18" x14ac:dyDescent="0.25">
      <c r="A8074" s="15"/>
      <c r="R8074" s="15"/>
    </row>
    <row r="8075" spans="1:18" x14ac:dyDescent="0.25">
      <c r="A8075" s="15"/>
      <c r="R8075" s="15"/>
    </row>
    <row r="8076" spans="1:18" x14ac:dyDescent="0.25">
      <c r="A8076" s="15"/>
      <c r="R8076" s="15"/>
    </row>
    <row r="8077" spans="1:18" x14ac:dyDescent="0.25">
      <c r="A8077" s="15"/>
      <c r="R8077" s="15"/>
    </row>
    <row r="8078" spans="1:18" x14ac:dyDescent="0.25">
      <c r="A8078" s="15"/>
      <c r="R8078" s="15"/>
    </row>
    <row r="8079" spans="1:18" x14ac:dyDescent="0.25">
      <c r="A8079" s="15"/>
      <c r="R8079" s="15"/>
    </row>
    <row r="8080" spans="1:18" x14ac:dyDescent="0.25">
      <c r="A8080" s="15"/>
      <c r="R8080" s="15"/>
    </row>
    <row r="8081" spans="1:18" x14ac:dyDescent="0.25">
      <c r="A8081" s="15"/>
      <c r="R8081" s="15"/>
    </row>
    <row r="8082" spans="1:18" x14ac:dyDescent="0.25">
      <c r="A8082" s="15"/>
      <c r="R8082" s="15"/>
    </row>
    <row r="8083" spans="1:18" x14ac:dyDescent="0.25">
      <c r="A8083" s="15"/>
      <c r="R8083" s="15"/>
    </row>
    <row r="8084" spans="1:18" x14ac:dyDescent="0.25">
      <c r="A8084" s="15"/>
      <c r="R8084" s="15"/>
    </row>
    <row r="8085" spans="1:18" x14ac:dyDescent="0.25">
      <c r="A8085" s="15"/>
      <c r="R8085" s="15"/>
    </row>
    <row r="8086" spans="1:18" x14ac:dyDescent="0.25">
      <c r="A8086" s="15"/>
      <c r="R8086" s="15"/>
    </row>
    <row r="8087" spans="1:18" x14ac:dyDescent="0.25">
      <c r="A8087" s="15"/>
      <c r="R8087" s="15"/>
    </row>
    <row r="8088" spans="1:18" x14ac:dyDescent="0.25">
      <c r="A8088" s="15"/>
      <c r="R8088" s="15"/>
    </row>
    <row r="8089" spans="1:18" x14ac:dyDescent="0.25">
      <c r="A8089" s="15"/>
      <c r="R8089" s="15"/>
    </row>
    <row r="8090" spans="1:18" x14ac:dyDescent="0.25">
      <c r="A8090" s="15"/>
      <c r="R8090" s="15"/>
    </row>
    <row r="8091" spans="1:18" x14ac:dyDescent="0.25">
      <c r="A8091" s="15"/>
      <c r="R8091" s="15"/>
    </row>
    <row r="8092" spans="1:18" x14ac:dyDescent="0.25">
      <c r="A8092" s="15"/>
      <c r="R8092" s="15"/>
    </row>
    <row r="8093" spans="1:18" x14ac:dyDescent="0.25">
      <c r="A8093" s="15"/>
      <c r="R8093" s="15"/>
    </row>
    <row r="8094" spans="1:18" x14ac:dyDescent="0.25">
      <c r="A8094" s="15"/>
      <c r="R8094" s="15"/>
    </row>
    <row r="8095" spans="1:18" x14ac:dyDescent="0.25">
      <c r="A8095" s="15"/>
      <c r="R8095" s="15"/>
    </row>
    <row r="8096" spans="1:18" x14ac:dyDescent="0.25">
      <c r="A8096" s="15"/>
      <c r="R8096" s="15"/>
    </row>
    <row r="8097" spans="1:18" x14ac:dyDescent="0.25">
      <c r="A8097" s="15"/>
      <c r="R8097" s="15"/>
    </row>
    <row r="8098" spans="1:18" x14ac:dyDescent="0.25">
      <c r="A8098" s="15"/>
      <c r="R8098" s="15"/>
    </row>
    <row r="8099" spans="1:18" x14ac:dyDescent="0.25">
      <c r="A8099" s="15"/>
      <c r="R8099" s="15"/>
    </row>
    <row r="8100" spans="1:18" x14ac:dyDescent="0.25">
      <c r="A8100" s="15"/>
      <c r="R8100" s="15"/>
    </row>
    <row r="8101" spans="1:18" x14ac:dyDescent="0.25">
      <c r="A8101" s="15"/>
      <c r="R8101" s="15"/>
    </row>
    <row r="8102" spans="1:18" x14ac:dyDescent="0.25">
      <c r="A8102" s="15"/>
      <c r="R8102" s="15"/>
    </row>
    <row r="8103" spans="1:18" x14ac:dyDescent="0.25">
      <c r="A8103" s="15"/>
      <c r="R8103" s="15"/>
    </row>
    <row r="8104" spans="1:18" x14ac:dyDescent="0.25">
      <c r="A8104" s="15"/>
      <c r="R8104" s="15"/>
    </row>
    <row r="8105" spans="1:18" x14ac:dyDescent="0.25">
      <c r="A8105" s="15"/>
      <c r="R8105" s="15"/>
    </row>
    <row r="8106" spans="1:18" x14ac:dyDescent="0.25">
      <c r="A8106" s="15"/>
      <c r="R8106" s="15"/>
    </row>
    <row r="8107" spans="1:18" x14ac:dyDescent="0.25">
      <c r="A8107" s="15"/>
      <c r="R8107" s="15"/>
    </row>
    <row r="8108" spans="1:18" x14ac:dyDescent="0.25">
      <c r="A8108" s="15"/>
      <c r="R8108" s="15"/>
    </row>
    <row r="8109" spans="1:18" x14ac:dyDescent="0.25">
      <c r="A8109" s="15"/>
      <c r="R8109" s="15"/>
    </row>
    <row r="8110" spans="1:18" x14ac:dyDescent="0.25">
      <c r="A8110" s="15"/>
      <c r="R8110" s="15"/>
    </row>
    <row r="8111" spans="1:18" x14ac:dyDescent="0.25">
      <c r="A8111" s="15"/>
      <c r="R8111" s="15"/>
    </row>
    <row r="8112" spans="1:18" x14ac:dyDescent="0.25">
      <c r="A8112" s="15"/>
      <c r="R8112" s="15"/>
    </row>
    <row r="8113" spans="1:18" x14ac:dyDescent="0.25">
      <c r="A8113" s="15"/>
      <c r="R8113" s="15"/>
    </row>
    <row r="8114" spans="1:18" x14ac:dyDescent="0.25">
      <c r="A8114" s="15"/>
      <c r="R8114" s="15"/>
    </row>
    <row r="8115" spans="1:18" x14ac:dyDescent="0.25">
      <c r="A8115" s="15"/>
      <c r="R8115" s="15"/>
    </row>
    <row r="8116" spans="1:18" x14ac:dyDescent="0.25">
      <c r="A8116" s="15"/>
      <c r="R8116" s="15"/>
    </row>
    <row r="8117" spans="1:18" x14ac:dyDescent="0.25">
      <c r="A8117" s="15"/>
      <c r="R8117" s="15"/>
    </row>
    <row r="8118" spans="1:18" x14ac:dyDescent="0.25">
      <c r="A8118" s="15"/>
      <c r="R8118" s="15"/>
    </row>
    <row r="8119" spans="1:18" x14ac:dyDescent="0.25">
      <c r="A8119" s="15"/>
      <c r="R8119" s="15"/>
    </row>
    <row r="8120" spans="1:18" x14ac:dyDescent="0.25">
      <c r="A8120" s="15"/>
      <c r="R8120" s="15"/>
    </row>
    <row r="8121" spans="1:18" x14ac:dyDescent="0.25">
      <c r="A8121" s="15"/>
      <c r="R8121" s="15"/>
    </row>
    <row r="8122" spans="1:18" x14ac:dyDescent="0.25">
      <c r="A8122" s="15"/>
      <c r="R8122" s="15"/>
    </row>
    <row r="8123" spans="1:18" x14ac:dyDescent="0.25">
      <c r="A8123" s="15"/>
      <c r="R8123" s="15"/>
    </row>
    <row r="8124" spans="1:18" x14ac:dyDescent="0.25">
      <c r="A8124" s="15"/>
      <c r="R8124" s="15"/>
    </row>
    <row r="8125" spans="1:18" x14ac:dyDescent="0.25">
      <c r="A8125" s="15"/>
      <c r="R8125" s="15"/>
    </row>
    <row r="8126" spans="1:18" x14ac:dyDescent="0.25">
      <c r="A8126" s="15"/>
      <c r="R8126" s="15"/>
    </row>
    <row r="8127" spans="1:18" x14ac:dyDescent="0.25">
      <c r="A8127" s="15"/>
      <c r="R8127" s="15"/>
    </row>
    <row r="8128" spans="1:18" x14ac:dyDescent="0.25">
      <c r="A8128" s="15"/>
      <c r="R8128" s="15"/>
    </row>
    <row r="8129" spans="1:18" x14ac:dyDescent="0.25">
      <c r="A8129" s="15"/>
      <c r="R8129" s="15"/>
    </row>
    <row r="8130" spans="1:18" x14ac:dyDescent="0.25">
      <c r="A8130" s="15"/>
      <c r="R8130" s="15"/>
    </row>
    <row r="8131" spans="1:18" x14ac:dyDescent="0.25">
      <c r="A8131" s="15"/>
      <c r="R8131" s="15"/>
    </row>
    <row r="8132" spans="1:18" x14ac:dyDescent="0.25">
      <c r="A8132" s="15"/>
      <c r="R8132" s="15"/>
    </row>
    <row r="8133" spans="1:18" x14ac:dyDescent="0.25">
      <c r="A8133" s="15"/>
      <c r="R8133" s="15"/>
    </row>
    <row r="8134" spans="1:18" x14ac:dyDescent="0.25">
      <c r="A8134" s="15"/>
      <c r="R8134" s="15"/>
    </row>
    <row r="8135" spans="1:18" x14ac:dyDescent="0.25">
      <c r="A8135" s="15"/>
      <c r="R8135" s="15"/>
    </row>
    <row r="8136" spans="1:18" x14ac:dyDescent="0.25">
      <c r="A8136" s="15"/>
      <c r="R8136" s="15"/>
    </row>
    <row r="8137" spans="1:18" x14ac:dyDescent="0.25">
      <c r="A8137" s="15"/>
      <c r="R8137" s="15"/>
    </row>
    <row r="8138" spans="1:18" x14ac:dyDescent="0.25">
      <c r="A8138" s="15"/>
      <c r="R8138" s="15"/>
    </row>
    <row r="8139" spans="1:18" x14ac:dyDescent="0.25">
      <c r="A8139" s="15"/>
      <c r="R8139" s="15"/>
    </row>
    <row r="8140" spans="1:18" x14ac:dyDescent="0.25">
      <c r="A8140" s="15"/>
      <c r="R8140" s="15"/>
    </row>
    <row r="8141" spans="1:18" x14ac:dyDescent="0.25">
      <c r="A8141" s="15"/>
      <c r="R8141" s="15"/>
    </row>
    <row r="8142" spans="1:18" x14ac:dyDescent="0.25">
      <c r="A8142" s="15"/>
      <c r="R8142" s="15"/>
    </row>
    <row r="8143" spans="1:18" x14ac:dyDescent="0.25">
      <c r="A8143" s="15"/>
      <c r="R8143" s="15"/>
    </row>
    <row r="8144" spans="1:18" x14ac:dyDescent="0.25">
      <c r="A8144" s="15"/>
      <c r="R8144" s="15"/>
    </row>
    <row r="8145" spans="1:18" x14ac:dyDescent="0.25">
      <c r="A8145" s="15"/>
      <c r="R8145" s="15"/>
    </row>
    <row r="8146" spans="1:18" x14ac:dyDescent="0.25">
      <c r="A8146" s="15"/>
      <c r="R8146" s="15"/>
    </row>
    <row r="8147" spans="1:18" x14ac:dyDescent="0.25">
      <c r="A8147" s="15"/>
      <c r="R8147" s="15"/>
    </row>
    <row r="8148" spans="1:18" x14ac:dyDescent="0.25">
      <c r="A8148" s="15"/>
      <c r="R8148" s="15"/>
    </row>
    <row r="8149" spans="1:18" x14ac:dyDescent="0.25">
      <c r="A8149" s="15"/>
      <c r="R8149" s="15"/>
    </row>
    <row r="8150" spans="1:18" x14ac:dyDescent="0.25">
      <c r="A8150" s="15"/>
      <c r="R8150" s="15"/>
    </row>
    <row r="8151" spans="1:18" x14ac:dyDescent="0.25">
      <c r="A8151" s="15"/>
      <c r="R8151" s="15"/>
    </row>
    <row r="8152" spans="1:18" x14ac:dyDescent="0.25">
      <c r="A8152" s="15"/>
      <c r="R8152" s="15"/>
    </row>
    <row r="8153" spans="1:18" x14ac:dyDescent="0.25">
      <c r="A8153" s="15"/>
      <c r="R8153" s="15"/>
    </row>
    <row r="8154" spans="1:18" x14ac:dyDescent="0.25">
      <c r="A8154" s="15"/>
      <c r="R8154" s="15"/>
    </row>
    <row r="8155" spans="1:18" x14ac:dyDescent="0.25">
      <c r="A8155" s="15"/>
      <c r="R8155" s="15"/>
    </row>
    <row r="8156" spans="1:18" x14ac:dyDescent="0.25">
      <c r="A8156" s="15"/>
      <c r="R8156" s="15"/>
    </row>
    <row r="8157" spans="1:18" x14ac:dyDescent="0.25">
      <c r="A8157" s="15"/>
      <c r="R8157" s="15"/>
    </row>
    <row r="8158" spans="1:18" x14ac:dyDescent="0.25">
      <c r="A8158" s="15"/>
      <c r="R8158" s="15"/>
    </row>
    <row r="8159" spans="1:18" x14ac:dyDescent="0.25">
      <c r="A8159" s="15"/>
      <c r="R8159" s="15"/>
    </row>
    <row r="8160" spans="1:18" x14ac:dyDescent="0.25">
      <c r="A8160" s="15"/>
      <c r="R8160" s="15"/>
    </row>
    <row r="8161" spans="1:18" x14ac:dyDescent="0.25">
      <c r="A8161" s="15"/>
      <c r="R8161" s="15"/>
    </row>
    <row r="8162" spans="1:18" x14ac:dyDescent="0.25">
      <c r="A8162" s="15"/>
      <c r="R8162" s="15"/>
    </row>
    <row r="8163" spans="1:18" x14ac:dyDescent="0.25">
      <c r="A8163" s="15"/>
      <c r="R8163" s="15"/>
    </row>
    <row r="8164" spans="1:18" x14ac:dyDescent="0.25">
      <c r="A8164" s="15"/>
      <c r="R8164" s="15"/>
    </row>
    <row r="8165" spans="1:18" x14ac:dyDescent="0.25">
      <c r="A8165" s="15"/>
      <c r="R8165" s="15"/>
    </row>
    <row r="8166" spans="1:18" x14ac:dyDescent="0.25">
      <c r="A8166" s="15"/>
      <c r="R8166" s="15"/>
    </row>
    <row r="8167" spans="1:18" x14ac:dyDescent="0.25">
      <c r="A8167" s="15"/>
      <c r="R8167" s="15"/>
    </row>
    <row r="8168" spans="1:18" x14ac:dyDescent="0.25">
      <c r="A8168" s="15"/>
      <c r="R8168" s="15"/>
    </row>
    <row r="8169" spans="1:18" x14ac:dyDescent="0.25">
      <c r="A8169" s="15"/>
      <c r="R8169" s="15"/>
    </row>
    <row r="8170" spans="1:18" x14ac:dyDescent="0.25">
      <c r="A8170" s="15"/>
      <c r="R8170" s="15"/>
    </row>
    <row r="8171" spans="1:18" x14ac:dyDescent="0.25">
      <c r="A8171" s="15"/>
      <c r="R8171" s="15"/>
    </row>
    <row r="8172" spans="1:18" x14ac:dyDescent="0.25">
      <c r="A8172" s="15"/>
      <c r="R8172" s="15"/>
    </row>
    <row r="8173" spans="1:18" x14ac:dyDescent="0.25">
      <c r="A8173" s="15"/>
      <c r="R8173" s="15"/>
    </row>
    <row r="8174" spans="1:18" x14ac:dyDescent="0.25">
      <c r="A8174" s="15"/>
      <c r="R8174" s="15"/>
    </row>
    <row r="8175" spans="1:18" x14ac:dyDescent="0.25">
      <c r="A8175" s="15"/>
      <c r="R8175" s="15"/>
    </row>
    <row r="8176" spans="1:18" x14ac:dyDescent="0.25">
      <c r="A8176" s="15"/>
      <c r="R8176" s="15"/>
    </row>
    <row r="8177" spans="1:18" x14ac:dyDescent="0.25">
      <c r="A8177" s="15"/>
      <c r="R8177" s="15"/>
    </row>
    <row r="8178" spans="1:18" x14ac:dyDescent="0.25">
      <c r="A8178" s="15"/>
      <c r="R8178" s="15"/>
    </row>
    <row r="8179" spans="1:18" x14ac:dyDescent="0.25">
      <c r="A8179" s="15"/>
      <c r="R8179" s="15"/>
    </row>
    <row r="8180" spans="1:18" x14ac:dyDescent="0.25">
      <c r="A8180" s="15"/>
      <c r="R8180" s="15"/>
    </row>
    <row r="8181" spans="1:18" x14ac:dyDescent="0.25">
      <c r="A8181" s="15"/>
      <c r="R8181" s="15"/>
    </row>
    <row r="8182" spans="1:18" x14ac:dyDescent="0.25">
      <c r="A8182" s="15"/>
      <c r="R8182" s="15"/>
    </row>
    <row r="8183" spans="1:18" x14ac:dyDescent="0.25">
      <c r="A8183" s="15"/>
      <c r="R8183" s="15"/>
    </row>
    <row r="8184" spans="1:18" x14ac:dyDescent="0.25">
      <c r="A8184" s="15"/>
      <c r="R8184" s="15"/>
    </row>
    <row r="8185" spans="1:18" x14ac:dyDescent="0.25">
      <c r="A8185" s="15"/>
      <c r="R8185" s="15"/>
    </row>
    <row r="8186" spans="1:18" x14ac:dyDescent="0.25">
      <c r="A8186" s="15"/>
      <c r="R8186" s="15"/>
    </row>
    <row r="8187" spans="1:18" x14ac:dyDescent="0.25">
      <c r="A8187" s="15"/>
      <c r="R8187" s="15"/>
    </row>
    <row r="8188" spans="1:18" x14ac:dyDescent="0.25">
      <c r="A8188" s="15"/>
      <c r="R8188" s="15"/>
    </row>
    <row r="8189" spans="1:18" x14ac:dyDescent="0.25">
      <c r="A8189" s="15"/>
      <c r="R8189" s="15"/>
    </row>
    <row r="8190" spans="1:18" x14ac:dyDescent="0.25">
      <c r="A8190" s="15"/>
      <c r="R8190" s="15"/>
    </row>
    <row r="8191" spans="1:18" x14ac:dyDescent="0.25">
      <c r="A8191" s="15"/>
      <c r="R8191" s="15"/>
    </row>
    <row r="8192" spans="1:18" x14ac:dyDescent="0.25">
      <c r="A8192" s="15"/>
      <c r="R8192" s="15"/>
    </row>
    <row r="8193" spans="1:18" x14ac:dyDescent="0.25">
      <c r="A8193" s="15"/>
      <c r="R8193" s="15"/>
    </row>
    <row r="8194" spans="1:18" x14ac:dyDescent="0.25">
      <c r="A8194" s="15"/>
      <c r="R8194" s="15"/>
    </row>
    <row r="8195" spans="1:18" x14ac:dyDescent="0.25">
      <c r="A8195" s="15"/>
      <c r="R8195" s="15"/>
    </row>
    <row r="8196" spans="1:18" x14ac:dyDescent="0.25">
      <c r="A8196" s="15"/>
      <c r="R8196" s="15"/>
    </row>
    <row r="8197" spans="1:18" x14ac:dyDescent="0.25">
      <c r="A8197" s="15"/>
      <c r="R8197" s="15"/>
    </row>
    <row r="8198" spans="1:18" x14ac:dyDescent="0.25">
      <c r="A8198" s="15"/>
      <c r="R8198" s="15"/>
    </row>
    <row r="8199" spans="1:18" x14ac:dyDescent="0.25">
      <c r="A8199" s="15"/>
      <c r="R8199" s="15"/>
    </row>
    <row r="8200" spans="1:18" x14ac:dyDescent="0.25">
      <c r="A8200" s="15"/>
      <c r="R8200" s="15"/>
    </row>
    <row r="8201" spans="1:18" x14ac:dyDescent="0.25">
      <c r="A8201" s="15"/>
      <c r="R8201" s="15"/>
    </row>
    <row r="8202" spans="1:18" x14ac:dyDescent="0.25">
      <c r="A8202" s="15"/>
      <c r="R8202" s="15"/>
    </row>
    <row r="8203" spans="1:18" x14ac:dyDescent="0.25">
      <c r="A8203" s="15"/>
      <c r="R8203" s="15"/>
    </row>
    <row r="8204" spans="1:18" x14ac:dyDescent="0.25">
      <c r="A8204" s="15"/>
      <c r="R8204" s="15"/>
    </row>
    <row r="8205" spans="1:18" x14ac:dyDescent="0.25">
      <c r="A8205" s="15"/>
      <c r="R8205" s="15"/>
    </row>
    <row r="8206" spans="1:18" x14ac:dyDescent="0.25">
      <c r="A8206" s="15"/>
      <c r="R8206" s="15"/>
    </row>
    <row r="8207" spans="1:18" x14ac:dyDescent="0.25">
      <c r="A8207" s="15"/>
      <c r="R8207" s="15"/>
    </row>
    <row r="8208" spans="1:18" x14ac:dyDescent="0.25">
      <c r="A8208" s="15"/>
      <c r="R8208" s="15"/>
    </row>
    <row r="8209" spans="1:18" x14ac:dyDescent="0.25">
      <c r="A8209" s="15"/>
      <c r="R8209" s="15"/>
    </row>
    <row r="8210" spans="1:18" x14ac:dyDescent="0.25">
      <c r="A8210" s="15"/>
      <c r="R8210" s="15"/>
    </row>
    <row r="8211" spans="1:18" x14ac:dyDescent="0.25">
      <c r="A8211" s="15"/>
      <c r="R8211" s="15"/>
    </row>
    <row r="8212" spans="1:18" x14ac:dyDescent="0.25">
      <c r="A8212" s="15"/>
      <c r="R8212" s="15"/>
    </row>
    <row r="8213" spans="1:18" x14ac:dyDescent="0.25">
      <c r="A8213" s="15"/>
      <c r="R8213" s="15"/>
    </row>
    <row r="8214" spans="1:18" x14ac:dyDescent="0.25">
      <c r="A8214" s="15"/>
      <c r="R8214" s="15"/>
    </row>
    <row r="8215" spans="1:18" x14ac:dyDescent="0.25">
      <c r="A8215" s="15"/>
      <c r="R8215" s="15"/>
    </row>
    <row r="8216" spans="1:18" x14ac:dyDescent="0.25">
      <c r="A8216" s="15"/>
      <c r="R8216" s="15"/>
    </row>
    <row r="8217" spans="1:18" x14ac:dyDescent="0.25">
      <c r="A8217" s="15"/>
      <c r="R8217" s="15"/>
    </row>
    <row r="8218" spans="1:18" x14ac:dyDescent="0.25">
      <c r="A8218" s="15"/>
      <c r="R8218" s="15"/>
    </row>
    <row r="8219" spans="1:18" x14ac:dyDescent="0.25">
      <c r="A8219" s="15"/>
      <c r="R8219" s="15"/>
    </row>
    <row r="8220" spans="1:18" x14ac:dyDescent="0.25">
      <c r="A8220" s="15"/>
      <c r="R8220" s="15"/>
    </row>
    <row r="8221" spans="1:18" x14ac:dyDescent="0.25">
      <c r="A8221" s="15"/>
      <c r="R8221" s="15"/>
    </row>
    <row r="8222" spans="1:18" x14ac:dyDescent="0.25">
      <c r="A8222" s="15"/>
      <c r="R8222" s="15"/>
    </row>
    <row r="8223" spans="1:18" x14ac:dyDescent="0.25">
      <c r="A8223" s="15"/>
      <c r="R8223" s="15"/>
    </row>
    <row r="8224" spans="1:18" x14ac:dyDescent="0.25">
      <c r="A8224" s="15"/>
      <c r="R8224" s="15"/>
    </row>
    <row r="8225" spans="1:18" x14ac:dyDescent="0.25">
      <c r="A8225" s="15"/>
      <c r="R8225" s="15"/>
    </row>
    <row r="8226" spans="1:18" x14ac:dyDescent="0.25">
      <c r="A8226" s="15"/>
      <c r="R8226" s="15"/>
    </row>
    <row r="8227" spans="1:18" x14ac:dyDescent="0.25">
      <c r="A8227" s="15"/>
      <c r="R8227" s="15"/>
    </row>
    <row r="8228" spans="1:18" x14ac:dyDescent="0.25">
      <c r="A8228" s="15"/>
      <c r="R8228" s="15"/>
    </row>
    <row r="8229" spans="1:18" x14ac:dyDescent="0.25">
      <c r="A8229" s="15"/>
      <c r="R8229" s="15"/>
    </row>
    <row r="8230" spans="1:18" x14ac:dyDescent="0.25">
      <c r="A8230" s="15"/>
      <c r="R8230" s="15"/>
    </row>
    <row r="8231" spans="1:18" x14ac:dyDescent="0.25">
      <c r="A8231" s="15"/>
      <c r="R8231" s="15"/>
    </row>
    <row r="8232" spans="1:18" x14ac:dyDescent="0.25">
      <c r="A8232" s="15"/>
      <c r="R8232" s="15"/>
    </row>
    <row r="8233" spans="1:18" x14ac:dyDescent="0.25">
      <c r="A8233" s="15"/>
      <c r="R8233" s="15"/>
    </row>
    <row r="8234" spans="1:18" x14ac:dyDescent="0.25">
      <c r="A8234" s="15"/>
      <c r="R8234" s="15"/>
    </row>
    <row r="8235" spans="1:18" x14ac:dyDescent="0.25">
      <c r="A8235" s="15"/>
      <c r="R8235" s="15"/>
    </row>
    <row r="8236" spans="1:18" x14ac:dyDescent="0.25">
      <c r="A8236" s="15"/>
      <c r="R8236" s="15"/>
    </row>
    <row r="8237" spans="1:18" x14ac:dyDescent="0.25">
      <c r="A8237" s="15"/>
      <c r="R8237" s="15"/>
    </row>
    <row r="8238" spans="1:18" x14ac:dyDescent="0.25">
      <c r="A8238" s="15"/>
      <c r="R8238" s="15"/>
    </row>
    <row r="8239" spans="1:18" x14ac:dyDescent="0.25">
      <c r="A8239" s="15"/>
      <c r="R8239" s="15"/>
    </row>
    <row r="8240" spans="1:18" x14ac:dyDescent="0.25">
      <c r="A8240" s="15"/>
      <c r="R8240" s="15"/>
    </row>
    <row r="8241" spans="1:18" x14ac:dyDescent="0.25">
      <c r="A8241" s="15"/>
      <c r="R8241" s="15"/>
    </row>
    <row r="8242" spans="1:18" x14ac:dyDescent="0.25">
      <c r="A8242" s="15"/>
      <c r="R8242" s="15"/>
    </row>
    <row r="8243" spans="1:18" x14ac:dyDescent="0.25">
      <c r="A8243" s="15"/>
      <c r="R8243" s="15"/>
    </row>
    <row r="8244" spans="1:18" x14ac:dyDescent="0.25">
      <c r="A8244" s="15"/>
      <c r="R8244" s="15"/>
    </row>
    <row r="8245" spans="1:18" x14ac:dyDescent="0.25">
      <c r="A8245" s="15"/>
      <c r="R8245" s="15"/>
    </row>
    <row r="8246" spans="1:18" x14ac:dyDescent="0.25">
      <c r="A8246" s="15"/>
      <c r="R8246" s="15"/>
    </row>
    <row r="8247" spans="1:18" x14ac:dyDescent="0.25">
      <c r="A8247" s="15"/>
      <c r="R8247" s="15"/>
    </row>
    <row r="8248" spans="1:18" x14ac:dyDescent="0.25">
      <c r="A8248" s="15"/>
      <c r="R8248" s="15"/>
    </row>
    <row r="8249" spans="1:18" x14ac:dyDescent="0.25">
      <c r="A8249" s="15"/>
      <c r="R8249" s="15"/>
    </row>
    <row r="8250" spans="1:18" x14ac:dyDescent="0.25">
      <c r="A8250" s="15"/>
      <c r="R8250" s="15"/>
    </row>
    <row r="8251" spans="1:18" x14ac:dyDescent="0.25">
      <c r="A8251" s="15"/>
      <c r="R8251" s="15"/>
    </row>
    <row r="8252" spans="1:18" x14ac:dyDescent="0.25">
      <c r="A8252" s="15"/>
      <c r="R8252" s="15"/>
    </row>
    <row r="8253" spans="1:18" x14ac:dyDescent="0.25">
      <c r="A8253" s="15"/>
      <c r="R8253" s="15"/>
    </row>
    <row r="8254" spans="1:18" x14ac:dyDescent="0.25">
      <c r="A8254" s="15"/>
      <c r="R8254" s="15"/>
    </row>
    <row r="8255" spans="1:18" x14ac:dyDescent="0.25">
      <c r="A8255" s="15"/>
      <c r="R8255" s="15"/>
    </row>
    <row r="8256" spans="1:18" x14ac:dyDescent="0.25">
      <c r="A8256" s="15"/>
      <c r="R8256" s="15"/>
    </row>
    <row r="8257" spans="1:18" x14ac:dyDescent="0.25">
      <c r="A8257" s="15"/>
      <c r="R8257" s="15"/>
    </row>
    <row r="8258" spans="1:18" x14ac:dyDescent="0.25">
      <c r="A8258" s="15"/>
      <c r="R8258" s="15"/>
    </row>
    <row r="8259" spans="1:18" x14ac:dyDescent="0.25">
      <c r="A8259" s="15"/>
      <c r="R8259" s="15"/>
    </row>
    <row r="8260" spans="1:18" x14ac:dyDescent="0.25">
      <c r="A8260" s="15"/>
      <c r="R8260" s="15"/>
    </row>
    <row r="8261" spans="1:18" x14ac:dyDescent="0.25">
      <c r="A8261" s="15"/>
      <c r="R8261" s="15"/>
    </row>
    <row r="8262" spans="1:18" x14ac:dyDescent="0.25">
      <c r="A8262" s="15"/>
      <c r="R8262" s="15"/>
    </row>
    <row r="8263" spans="1:18" x14ac:dyDescent="0.25">
      <c r="A8263" s="15"/>
      <c r="R8263" s="15"/>
    </row>
    <row r="8264" spans="1:18" x14ac:dyDescent="0.25">
      <c r="A8264" s="15"/>
      <c r="R8264" s="15"/>
    </row>
    <row r="8265" spans="1:18" x14ac:dyDescent="0.25">
      <c r="A8265" s="15"/>
      <c r="R8265" s="15"/>
    </row>
    <row r="8266" spans="1:18" x14ac:dyDescent="0.25">
      <c r="A8266" s="15"/>
      <c r="R8266" s="15"/>
    </row>
    <row r="8267" spans="1:18" x14ac:dyDescent="0.25">
      <c r="A8267" s="15"/>
      <c r="R8267" s="15"/>
    </row>
    <row r="8268" spans="1:18" x14ac:dyDescent="0.25">
      <c r="A8268" s="15"/>
      <c r="R8268" s="15"/>
    </row>
    <row r="8269" spans="1:18" x14ac:dyDescent="0.25">
      <c r="A8269" s="15"/>
      <c r="R8269" s="15"/>
    </row>
    <row r="8270" spans="1:18" x14ac:dyDescent="0.25">
      <c r="A8270" s="15"/>
      <c r="R8270" s="15"/>
    </row>
    <row r="8271" spans="1:18" x14ac:dyDescent="0.25">
      <c r="A8271" s="15"/>
      <c r="R8271" s="15"/>
    </row>
    <row r="8272" spans="1:18" x14ac:dyDescent="0.25">
      <c r="A8272" s="15"/>
      <c r="R8272" s="15"/>
    </row>
    <row r="8273" spans="1:18" x14ac:dyDescent="0.25">
      <c r="A8273" s="15"/>
      <c r="R8273" s="15"/>
    </row>
    <row r="8274" spans="1:18" x14ac:dyDescent="0.25">
      <c r="A8274" s="15"/>
      <c r="R8274" s="15"/>
    </row>
    <row r="8275" spans="1:18" x14ac:dyDescent="0.25">
      <c r="A8275" s="15"/>
      <c r="R8275" s="15"/>
    </row>
    <row r="8276" spans="1:18" x14ac:dyDescent="0.25">
      <c r="A8276" s="15"/>
      <c r="R8276" s="15"/>
    </row>
    <row r="8277" spans="1:18" x14ac:dyDescent="0.25">
      <c r="A8277" s="15"/>
      <c r="R8277" s="15"/>
    </row>
    <row r="8278" spans="1:18" x14ac:dyDescent="0.25">
      <c r="A8278" s="15"/>
      <c r="R8278" s="15"/>
    </row>
    <row r="8279" spans="1:18" x14ac:dyDescent="0.25">
      <c r="A8279" s="15"/>
      <c r="R8279" s="15"/>
    </row>
    <row r="8280" spans="1:18" x14ac:dyDescent="0.25">
      <c r="A8280" s="15"/>
      <c r="R8280" s="15"/>
    </row>
    <row r="8281" spans="1:18" x14ac:dyDescent="0.25">
      <c r="A8281" s="15"/>
      <c r="R8281" s="15"/>
    </row>
    <row r="8282" spans="1:18" x14ac:dyDescent="0.25">
      <c r="A8282" s="15"/>
      <c r="R8282" s="15"/>
    </row>
    <row r="8283" spans="1:18" x14ac:dyDescent="0.25">
      <c r="A8283" s="15"/>
      <c r="R8283" s="15"/>
    </row>
    <row r="8284" spans="1:18" x14ac:dyDescent="0.25">
      <c r="A8284" s="15"/>
      <c r="R8284" s="15"/>
    </row>
    <row r="8285" spans="1:18" x14ac:dyDescent="0.25">
      <c r="A8285" s="15"/>
      <c r="R8285" s="15"/>
    </row>
    <row r="8286" spans="1:18" x14ac:dyDescent="0.25">
      <c r="A8286" s="15"/>
      <c r="R8286" s="15"/>
    </row>
    <row r="8287" spans="1:18" x14ac:dyDescent="0.25">
      <c r="A8287" s="15"/>
      <c r="R8287" s="15"/>
    </row>
    <row r="8288" spans="1:18" x14ac:dyDescent="0.25">
      <c r="A8288" s="15"/>
      <c r="R8288" s="15"/>
    </row>
    <row r="8289" spans="1:18" x14ac:dyDescent="0.25">
      <c r="A8289" s="15"/>
      <c r="R8289" s="15"/>
    </row>
    <row r="8290" spans="1:18" x14ac:dyDescent="0.25">
      <c r="A8290" s="15"/>
      <c r="R8290" s="15"/>
    </row>
    <row r="8291" spans="1:18" x14ac:dyDescent="0.25">
      <c r="A8291" s="15"/>
      <c r="R8291" s="15"/>
    </row>
    <row r="8292" spans="1:18" x14ac:dyDescent="0.25">
      <c r="A8292" s="15"/>
      <c r="R8292" s="15"/>
    </row>
    <row r="8293" spans="1:18" x14ac:dyDescent="0.25">
      <c r="A8293" s="15"/>
      <c r="R8293" s="15"/>
    </row>
    <row r="8294" spans="1:18" x14ac:dyDescent="0.25">
      <c r="A8294" s="15"/>
      <c r="R8294" s="15"/>
    </row>
    <row r="8295" spans="1:18" x14ac:dyDescent="0.25">
      <c r="A8295" s="15"/>
      <c r="R8295" s="15"/>
    </row>
    <row r="8296" spans="1:18" x14ac:dyDescent="0.25">
      <c r="A8296" s="15"/>
      <c r="R8296" s="15"/>
    </row>
    <row r="8297" spans="1:18" x14ac:dyDescent="0.25">
      <c r="A8297" s="15"/>
      <c r="R8297" s="15"/>
    </row>
    <row r="8298" spans="1:18" x14ac:dyDescent="0.25">
      <c r="A8298" s="15"/>
      <c r="R8298" s="15"/>
    </row>
    <row r="8299" spans="1:18" x14ac:dyDescent="0.25">
      <c r="A8299" s="15"/>
      <c r="R8299" s="15"/>
    </row>
    <row r="8300" spans="1:18" x14ac:dyDescent="0.25">
      <c r="A8300" s="15"/>
      <c r="R8300" s="15"/>
    </row>
    <row r="8301" spans="1:18" x14ac:dyDescent="0.25">
      <c r="A8301" s="15"/>
      <c r="R8301" s="15"/>
    </row>
    <row r="8302" spans="1:18" x14ac:dyDescent="0.25">
      <c r="A8302" s="15"/>
      <c r="R8302" s="15"/>
    </row>
    <row r="8303" spans="1:18" x14ac:dyDescent="0.25">
      <c r="A8303" s="15"/>
      <c r="R8303" s="15"/>
    </row>
    <row r="8304" spans="1:18" x14ac:dyDescent="0.25">
      <c r="A8304" s="15"/>
      <c r="R8304" s="15"/>
    </row>
    <row r="8305" spans="1:18" x14ac:dyDescent="0.25">
      <c r="A8305" s="15"/>
      <c r="R8305" s="15"/>
    </row>
    <row r="8306" spans="1:18" x14ac:dyDescent="0.25">
      <c r="A8306" s="15"/>
      <c r="R8306" s="15"/>
    </row>
    <row r="8307" spans="1:18" x14ac:dyDescent="0.25">
      <c r="A8307" s="15"/>
      <c r="R8307" s="15"/>
    </row>
    <row r="8308" spans="1:18" x14ac:dyDescent="0.25">
      <c r="A8308" s="15"/>
      <c r="R8308" s="15"/>
    </row>
    <row r="8309" spans="1:18" x14ac:dyDescent="0.25">
      <c r="A8309" s="15"/>
      <c r="R8309" s="15"/>
    </row>
    <row r="8310" spans="1:18" x14ac:dyDescent="0.25">
      <c r="A8310" s="15"/>
      <c r="R8310" s="15"/>
    </row>
    <row r="8311" spans="1:18" x14ac:dyDescent="0.25">
      <c r="A8311" s="15"/>
      <c r="R8311" s="15"/>
    </row>
    <row r="8312" spans="1:18" x14ac:dyDescent="0.25">
      <c r="A8312" s="15"/>
      <c r="R8312" s="15"/>
    </row>
    <row r="8313" spans="1:18" x14ac:dyDescent="0.25">
      <c r="A8313" s="15"/>
      <c r="R8313" s="15"/>
    </row>
    <row r="8314" spans="1:18" x14ac:dyDescent="0.25">
      <c r="A8314" s="15"/>
      <c r="R8314" s="15"/>
    </row>
    <row r="8315" spans="1:18" x14ac:dyDescent="0.25">
      <c r="A8315" s="15"/>
      <c r="R8315" s="15"/>
    </row>
    <row r="8316" spans="1:18" x14ac:dyDescent="0.25">
      <c r="A8316" s="15"/>
      <c r="R8316" s="15"/>
    </row>
    <row r="8317" spans="1:18" x14ac:dyDescent="0.25">
      <c r="A8317" s="15"/>
      <c r="R8317" s="15"/>
    </row>
    <row r="8318" spans="1:18" x14ac:dyDescent="0.25">
      <c r="A8318" s="15"/>
      <c r="R8318" s="15"/>
    </row>
    <row r="8319" spans="1:18" x14ac:dyDescent="0.25">
      <c r="A8319" s="15"/>
      <c r="R8319" s="15"/>
    </row>
    <row r="8320" spans="1:18" x14ac:dyDescent="0.25">
      <c r="A8320" s="15"/>
      <c r="R8320" s="15"/>
    </row>
    <row r="8321" spans="1:18" x14ac:dyDescent="0.25">
      <c r="A8321" s="15"/>
      <c r="R8321" s="15"/>
    </row>
    <row r="8322" spans="1:18" x14ac:dyDescent="0.25">
      <c r="A8322" s="15"/>
      <c r="R8322" s="15"/>
    </row>
    <row r="8323" spans="1:18" x14ac:dyDescent="0.25">
      <c r="A8323" s="15"/>
      <c r="R8323" s="15"/>
    </row>
    <row r="8324" spans="1:18" x14ac:dyDescent="0.25">
      <c r="A8324" s="15"/>
      <c r="R8324" s="15"/>
    </row>
    <row r="8325" spans="1:18" x14ac:dyDescent="0.25">
      <c r="A8325" s="15"/>
      <c r="R8325" s="15"/>
    </row>
    <row r="8326" spans="1:18" x14ac:dyDescent="0.25">
      <c r="A8326" s="15"/>
      <c r="R8326" s="15"/>
    </row>
    <row r="8327" spans="1:18" x14ac:dyDescent="0.25">
      <c r="A8327" s="15"/>
      <c r="R8327" s="15"/>
    </row>
    <row r="8328" spans="1:18" x14ac:dyDescent="0.25">
      <c r="A8328" s="15"/>
      <c r="R8328" s="15"/>
    </row>
    <row r="8329" spans="1:18" x14ac:dyDescent="0.25">
      <c r="A8329" s="15"/>
      <c r="R8329" s="15"/>
    </row>
    <row r="8330" spans="1:18" x14ac:dyDescent="0.25">
      <c r="A8330" s="15"/>
      <c r="R8330" s="15"/>
    </row>
    <row r="8331" spans="1:18" x14ac:dyDescent="0.25">
      <c r="A8331" s="15"/>
      <c r="R8331" s="15"/>
    </row>
    <row r="8332" spans="1:18" x14ac:dyDescent="0.25">
      <c r="A8332" s="15"/>
      <c r="R8332" s="15"/>
    </row>
    <row r="8333" spans="1:18" x14ac:dyDescent="0.25">
      <c r="A8333" s="15"/>
      <c r="R8333" s="15"/>
    </row>
    <row r="8334" spans="1:18" x14ac:dyDescent="0.25">
      <c r="A8334" s="15"/>
      <c r="R8334" s="15"/>
    </row>
    <row r="8335" spans="1:18" x14ac:dyDescent="0.25">
      <c r="A8335" s="15"/>
      <c r="R8335" s="15"/>
    </row>
    <row r="8336" spans="1:18" x14ac:dyDescent="0.25">
      <c r="A8336" s="15"/>
      <c r="R8336" s="15"/>
    </row>
    <row r="8337" spans="1:18" x14ac:dyDescent="0.25">
      <c r="A8337" s="15"/>
      <c r="R8337" s="15"/>
    </row>
    <row r="8338" spans="1:18" x14ac:dyDescent="0.25">
      <c r="A8338" s="15"/>
      <c r="R8338" s="15"/>
    </row>
    <row r="8339" spans="1:18" x14ac:dyDescent="0.25">
      <c r="A8339" s="15"/>
      <c r="R8339" s="15"/>
    </row>
    <row r="8340" spans="1:18" x14ac:dyDescent="0.25">
      <c r="A8340" s="15"/>
      <c r="R8340" s="15"/>
    </row>
    <row r="8341" spans="1:18" x14ac:dyDescent="0.25">
      <c r="A8341" s="15"/>
      <c r="R8341" s="15"/>
    </row>
    <row r="8342" spans="1:18" x14ac:dyDescent="0.25">
      <c r="A8342" s="15"/>
      <c r="R8342" s="15"/>
    </row>
    <row r="8343" spans="1:18" x14ac:dyDescent="0.25">
      <c r="A8343" s="15"/>
      <c r="R8343" s="15"/>
    </row>
    <row r="8344" spans="1:18" x14ac:dyDescent="0.25">
      <c r="A8344" s="15"/>
      <c r="R8344" s="15"/>
    </row>
    <row r="8345" spans="1:18" x14ac:dyDescent="0.25">
      <c r="A8345" s="15"/>
      <c r="R8345" s="15"/>
    </row>
    <row r="8346" spans="1:18" x14ac:dyDescent="0.25">
      <c r="A8346" s="15"/>
      <c r="R8346" s="15"/>
    </row>
    <row r="8347" spans="1:18" x14ac:dyDescent="0.25">
      <c r="A8347" s="15"/>
      <c r="R8347" s="15"/>
    </row>
    <row r="8348" spans="1:18" x14ac:dyDescent="0.25">
      <c r="A8348" s="15"/>
      <c r="R8348" s="15"/>
    </row>
    <row r="8349" spans="1:18" x14ac:dyDescent="0.25">
      <c r="A8349" s="15"/>
      <c r="R8349" s="15"/>
    </row>
    <row r="8350" spans="1:18" x14ac:dyDescent="0.25">
      <c r="A8350" s="15"/>
      <c r="R8350" s="15"/>
    </row>
    <row r="8351" spans="1:18" x14ac:dyDescent="0.25">
      <c r="A8351" s="15"/>
      <c r="R8351" s="15"/>
    </row>
    <row r="8352" spans="1:18" x14ac:dyDescent="0.25">
      <c r="A8352" s="15"/>
      <c r="R8352" s="15"/>
    </row>
    <row r="8353" spans="1:18" x14ac:dyDescent="0.25">
      <c r="A8353" s="15"/>
      <c r="R8353" s="15"/>
    </row>
    <row r="8354" spans="1:18" x14ac:dyDescent="0.25">
      <c r="A8354" s="15"/>
      <c r="R8354" s="15"/>
    </row>
    <row r="8355" spans="1:18" x14ac:dyDescent="0.25">
      <c r="A8355" s="15"/>
      <c r="R8355" s="15"/>
    </row>
    <row r="8356" spans="1:18" x14ac:dyDescent="0.25">
      <c r="A8356" s="15"/>
      <c r="R8356" s="15"/>
    </row>
    <row r="8357" spans="1:18" x14ac:dyDescent="0.25">
      <c r="A8357" s="15"/>
      <c r="R8357" s="15"/>
    </row>
    <row r="8358" spans="1:18" x14ac:dyDescent="0.25">
      <c r="A8358" s="15"/>
      <c r="R8358" s="15"/>
    </row>
    <row r="8359" spans="1:18" x14ac:dyDescent="0.25">
      <c r="A8359" s="15"/>
      <c r="R8359" s="15"/>
    </row>
    <row r="8360" spans="1:18" x14ac:dyDescent="0.25">
      <c r="A8360" s="15"/>
      <c r="R8360" s="15"/>
    </row>
    <row r="8361" spans="1:18" x14ac:dyDescent="0.25">
      <c r="A8361" s="15"/>
      <c r="R8361" s="15"/>
    </row>
    <row r="8362" spans="1:18" x14ac:dyDescent="0.25">
      <c r="A8362" s="15"/>
      <c r="R8362" s="15"/>
    </row>
    <row r="8363" spans="1:18" x14ac:dyDescent="0.25">
      <c r="A8363" s="15"/>
      <c r="R8363" s="15"/>
    </row>
    <row r="8364" spans="1:18" x14ac:dyDescent="0.25">
      <c r="A8364" s="15"/>
      <c r="R8364" s="15"/>
    </row>
    <row r="8365" spans="1:18" x14ac:dyDescent="0.25">
      <c r="A8365" s="15"/>
      <c r="R8365" s="15"/>
    </row>
    <row r="8366" spans="1:18" x14ac:dyDescent="0.25">
      <c r="A8366" s="15"/>
      <c r="R8366" s="15"/>
    </row>
    <row r="8367" spans="1:18" x14ac:dyDescent="0.25">
      <c r="A8367" s="15"/>
      <c r="R8367" s="15"/>
    </row>
    <row r="8368" spans="1:18" x14ac:dyDescent="0.25">
      <c r="A8368" s="15"/>
      <c r="R8368" s="15"/>
    </row>
    <row r="8369" spans="1:18" x14ac:dyDescent="0.25">
      <c r="A8369" s="15"/>
      <c r="R8369" s="15"/>
    </row>
    <row r="8370" spans="1:18" x14ac:dyDescent="0.25">
      <c r="A8370" s="15"/>
      <c r="R8370" s="15"/>
    </row>
    <row r="8371" spans="1:18" x14ac:dyDescent="0.25">
      <c r="A8371" s="15"/>
      <c r="R8371" s="15"/>
    </row>
    <row r="8372" spans="1:18" x14ac:dyDescent="0.25">
      <c r="A8372" s="15"/>
      <c r="R8372" s="15"/>
    </row>
    <row r="8373" spans="1:18" x14ac:dyDescent="0.25">
      <c r="A8373" s="15"/>
      <c r="R8373" s="15"/>
    </row>
    <row r="8374" spans="1:18" x14ac:dyDescent="0.25">
      <c r="A8374" s="15"/>
      <c r="R8374" s="15"/>
    </row>
    <row r="8375" spans="1:18" x14ac:dyDescent="0.25">
      <c r="A8375" s="15"/>
      <c r="R8375" s="15"/>
    </row>
    <row r="8376" spans="1:18" x14ac:dyDescent="0.25">
      <c r="A8376" s="15"/>
      <c r="R8376" s="15"/>
    </row>
    <row r="8377" spans="1:18" x14ac:dyDescent="0.25">
      <c r="A8377" s="15"/>
      <c r="R8377" s="15"/>
    </row>
    <row r="8378" spans="1:18" x14ac:dyDescent="0.25">
      <c r="A8378" s="15"/>
      <c r="R8378" s="15"/>
    </row>
    <row r="8379" spans="1:18" x14ac:dyDescent="0.25">
      <c r="A8379" s="15"/>
      <c r="R8379" s="15"/>
    </row>
    <row r="8380" spans="1:18" x14ac:dyDescent="0.25">
      <c r="A8380" s="15"/>
      <c r="R8380" s="15"/>
    </row>
    <row r="8381" spans="1:18" x14ac:dyDescent="0.25">
      <c r="A8381" s="15"/>
      <c r="R8381" s="15"/>
    </row>
    <row r="8382" spans="1:18" x14ac:dyDescent="0.25">
      <c r="A8382" s="15"/>
      <c r="R8382" s="15"/>
    </row>
    <row r="8383" spans="1:18" x14ac:dyDescent="0.25">
      <c r="A8383" s="15"/>
      <c r="R8383" s="15"/>
    </row>
    <row r="8384" spans="1:18" x14ac:dyDescent="0.25">
      <c r="A8384" s="15"/>
      <c r="R8384" s="15"/>
    </row>
    <row r="8385" spans="1:18" x14ac:dyDescent="0.25">
      <c r="A8385" s="15"/>
      <c r="R8385" s="15"/>
    </row>
    <row r="8386" spans="1:18" x14ac:dyDescent="0.25">
      <c r="A8386" s="15"/>
      <c r="R8386" s="15"/>
    </row>
    <row r="8387" spans="1:18" x14ac:dyDescent="0.25">
      <c r="A8387" s="15"/>
      <c r="R8387" s="15"/>
    </row>
    <row r="8388" spans="1:18" x14ac:dyDescent="0.25">
      <c r="A8388" s="15"/>
      <c r="R8388" s="15"/>
    </row>
    <row r="8389" spans="1:18" x14ac:dyDescent="0.25">
      <c r="A8389" s="15"/>
      <c r="R8389" s="15"/>
    </row>
    <row r="8390" spans="1:18" x14ac:dyDescent="0.25">
      <c r="A8390" s="15"/>
      <c r="R8390" s="15"/>
    </row>
    <row r="8391" spans="1:18" x14ac:dyDescent="0.25">
      <c r="A8391" s="15"/>
      <c r="R8391" s="15"/>
    </row>
    <row r="8392" spans="1:18" x14ac:dyDescent="0.25">
      <c r="A8392" s="15"/>
      <c r="R8392" s="15"/>
    </row>
    <row r="8393" spans="1:18" x14ac:dyDescent="0.25">
      <c r="A8393" s="15"/>
      <c r="R8393" s="15"/>
    </row>
    <row r="8394" spans="1:18" x14ac:dyDescent="0.25">
      <c r="A8394" s="15"/>
      <c r="R8394" s="15"/>
    </row>
    <row r="8395" spans="1:18" x14ac:dyDescent="0.25">
      <c r="A8395" s="15"/>
      <c r="R8395" s="15"/>
    </row>
    <row r="8396" spans="1:18" x14ac:dyDescent="0.25">
      <c r="A8396" s="15"/>
      <c r="R8396" s="15"/>
    </row>
    <row r="8397" spans="1:18" x14ac:dyDescent="0.25">
      <c r="A8397" s="15"/>
      <c r="R8397" s="15"/>
    </row>
    <row r="8398" spans="1:18" x14ac:dyDescent="0.25">
      <c r="A8398" s="15"/>
      <c r="R8398" s="15"/>
    </row>
    <row r="8399" spans="1:18" x14ac:dyDescent="0.25">
      <c r="A8399" s="15"/>
      <c r="R8399" s="15"/>
    </row>
    <row r="8400" spans="1:18" x14ac:dyDescent="0.25">
      <c r="A8400" s="15"/>
      <c r="R8400" s="15"/>
    </row>
    <row r="8401" spans="1:18" x14ac:dyDescent="0.25">
      <c r="A8401" s="15"/>
      <c r="R8401" s="15"/>
    </row>
    <row r="8402" spans="1:18" x14ac:dyDescent="0.25">
      <c r="A8402" s="15"/>
      <c r="R8402" s="15"/>
    </row>
    <row r="8403" spans="1:18" x14ac:dyDescent="0.25">
      <c r="A8403" s="15"/>
      <c r="R8403" s="15"/>
    </row>
    <row r="8404" spans="1:18" x14ac:dyDescent="0.25">
      <c r="A8404" s="15"/>
      <c r="R8404" s="15"/>
    </row>
    <row r="8405" spans="1:18" x14ac:dyDescent="0.25">
      <c r="A8405" s="15"/>
      <c r="R8405" s="15"/>
    </row>
    <row r="8406" spans="1:18" x14ac:dyDescent="0.25">
      <c r="A8406" s="15"/>
      <c r="R8406" s="15"/>
    </row>
    <row r="8407" spans="1:18" x14ac:dyDescent="0.25">
      <c r="A8407" s="15"/>
      <c r="R8407" s="15"/>
    </row>
    <row r="8408" spans="1:18" x14ac:dyDescent="0.25">
      <c r="A8408" s="15"/>
      <c r="R8408" s="15"/>
    </row>
    <row r="8409" spans="1:18" x14ac:dyDescent="0.25">
      <c r="A8409" s="15"/>
      <c r="R8409" s="15"/>
    </row>
    <row r="8410" spans="1:18" x14ac:dyDescent="0.25">
      <c r="A8410" s="15"/>
      <c r="R8410" s="15"/>
    </row>
    <row r="8411" spans="1:18" x14ac:dyDescent="0.25">
      <c r="A8411" s="15"/>
      <c r="R8411" s="15"/>
    </row>
    <row r="8412" spans="1:18" x14ac:dyDescent="0.25">
      <c r="A8412" s="15"/>
      <c r="R8412" s="15"/>
    </row>
    <row r="8413" spans="1:18" x14ac:dyDescent="0.25">
      <c r="A8413" s="15"/>
      <c r="R8413" s="15"/>
    </row>
    <row r="8414" spans="1:18" x14ac:dyDescent="0.25">
      <c r="A8414" s="15"/>
      <c r="R8414" s="15"/>
    </row>
    <row r="8415" spans="1:18" x14ac:dyDescent="0.25">
      <c r="A8415" s="15"/>
      <c r="R8415" s="15"/>
    </row>
    <row r="8416" spans="1:18" x14ac:dyDescent="0.25">
      <c r="A8416" s="15"/>
      <c r="R8416" s="15"/>
    </row>
    <row r="8417" spans="1:18" x14ac:dyDescent="0.25">
      <c r="A8417" s="15"/>
      <c r="R8417" s="15"/>
    </row>
    <row r="8418" spans="1:18" x14ac:dyDescent="0.25">
      <c r="A8418" s="15"/>
      <c r="R8418" s="15"/>
    </row>
    <row r="8419" spans="1:18" x14ac:dyDescent="0.25">
      <c r="A8419" s="15"/>
      <c r="R8419" s="15"/>
    </row>
    <row r="8420" spans="1:18" x14ac:dyDescent="0.25">
      <c r="A8420" s="15"/>
      <c r="R8420" s="15"/>
    </row>
    <row r="8421" spans="1:18" x14ac:dyDescent="0.25">
      <c r="A8421" s="15"/>
      <c r="R8421" s="15"/>
    </row>
    <row r="8422" spans="1:18" x14ac:dyDescent="0.25">
      <c r="A8422" s="15"/>
      <c r="R8422" s="15"/>
    </row>
    <row r="8423" spans="1:18" x14ac:dyDescent="0.25">
      <c r="A8423" s="15"/>
      <c r="R8423" s="15"/>
    </row>
    <row r="8424" spans="1:18" x14ac:dyDescent="0.25">
      <c r="A8424" s="15"/>
      <c r="R8424" s="15"/>
    </row>
    <row r="8425" spans="1:18" x14ac:dyDescent="0.25">
      <c r="A8425" s="15"/>
      <c r="R8425" s="15"/>
    </row>
    <row r="8426" spans="1:18" x14ac:dyDescent="0.25">
      <c r="A8426" s="15"/>
      <c r="R8426" s="15"/>
    </row>
    <row r="8427" spans="1:18" x14ac:dyDescent="0.25">
      <c r="A8427" s="15"/>
      <c r="R8427" s="15"/>
    </row>
    <row r="8428" spans="1:18" x14ac:dyDescent="0.25">
      <c r="A8428" s="15"/>
      <c r="R8428" s="15"/>
    </row>
    <row r="8429" spans="1:18" x14ac:dyDescent="0.25">
      <c r="A8429" s="15"/>
      <c r="R8429" s="15"/>
    </row>
    <row r="8430" spans="1:18" x14ac:dyDescent="0.25">
      <c r="A8430" s="15"/>
      <c r="R8430" s="15"/>
    </row>
    <row r="8431" spans="1:18" x14ac:dyDescent="0.25">
      <c r="A8431" s="15"/>
      <c r="R8431" s="15"/>
    </row>
    <row r="8432" spans="1:18" x14ac:dyDescent="0.25">
      <c r="A8432" s="15"/>
      <c r="R8432" s="15"/>
    </row>
    <row r="8433" spans="1:18" x14ac:dyDescent="0.25">
      <c r="A8433" s="15"/>
      <c r="R8433" s="15"/>
    </row>
    <row r="8434" spans="1:18" x14ac:dyDescent="0.25">
      <c r="A8434" s="15"/>
      <c r="R8434" s="15"/>
    </row>
    <row r="8435" spans="1:18" x14ac:dyDescent="0.25">
      <c r="A8435" s="15"/>
      <c r="R8435" s="15"/>
    </row>
    <row r="8436" spans="1:18" x14ac:dyDescent="0.25">
      <c r="A8436" s="15"/>
      <c r="R8436" s="15"/>
    </row>
    <row r="8437" spans="1:18" x14ac:dyDescent="0.25">
      <c r="A8437" s="15"/>
      <c r="R8437" s="15"/>
    </row>
    <row r="8438" spans="1:18" x14ac:dyDescent="0.25">
      <c r="A8438" s="15"/>
      <c r="R8438" s="15"/>
    </row>
    <row r="8439" spans="1:18" x14ac:dyDescent="0.25">
      <c r="A8439" s="15"/>
      <c r="R8439" s="15"/>
    </row>
    <row r="8440" spans="1:18" x14ac:dyDescent="0.25">
      <c r="A8440" s="15"/>
      <c r="R8440" s="15"/>
    </row>
    <row r="8441" spans="1:18" x14ac:dyDescent="0.25">
      <c r="A8441" s="15"/>
      <c r="R8441" s="15"/>
    </row>
    <row r="8442" spans="1:18" x14ac:dyDescent="0.25">
      <c r="A8442" s="15"/>
      <c r="R8442" s="15"/>
    </row>
    <row r="8443" spans="1:18" x14ac:dyDescent="0.25">
      <c r="A8443" s="15"/>
      <c r="R8443" s="15"/>
    </row>
    <row r="8444" spans="1:18" x14ac:dyDescent="0.25">
      <c r="A8444" s="15"/>
      <c r="R8444" s="15"/>
    </row>
    <row r="8445" spans="1:18" x14ac:dyDescent="0.25">
      <c r="A8445" s="15"/>
      <c r="R8445" s="15"/>
    </row>
    <row r="8446" spans="1:18" x14ac:dyDescent="0.25">
      <c r="A8446" s="15"/>
      <c r="R8446" s="15"/>
    </row>
    <row r="8447" spans="1:18" x14ac:dyDescent="0.25">
      <c r="A8447" s="15"/>
      <c r="R8447" s="15"/>
    </row>
    <row r="8448" spans="1:18" x14ac:dyDescent="0.25">
      <c r="A8448" s="15"/>
      <c r="R8448" s="15"/>
    </row>
    <row r="8449" spans="1:18" x14ac:dyDescent="0.25">
      <c r="A8449" s="15"/>
      <c r="R8449" s="15"/>
    </row>
    <row r="8450" spans="1:18" x14ac:dyDescent="0.25">
      <c r="A8450" s="15"/>
      <c r="R8450" s="15"/>
    </row>
    <row r="8451" spans="1:18" x14ac:dyDescent="0.25">
      <c r="A8451" s="15"/>
      <c r="R8451" s="15"/>
    </row>
    <row r="8452" spans="1:18" x14ac:dyDescent="0.25">
      <c r="A8452" s="15"/>
      <c r="R8452" s="15"/>
    </row>
    <row r="8453" spans="1:18" x14ac:dyDescent="0.25">
      <c r="A8453" s="15"/>
      <c r="R8453" s="15"/>
    </row>
    <row r="8454" spans="1:18" x14ac:dyDescent="0.25">
      <c r="A8454" s="15"/>
      <c r="R8454" s="15"/>
    </row>
    <row r="8455" spans="1:18" x14ac:dyDescent="0.25">
      <c r="A8455" s="15"/>
      <c r="R8455" s="15"/>
    </row>
    <row r="8456" spans="1:18" x14ac:dyDescent="0.25">
      <c r="A8456" s="15"/>
      <c r="R8456" s="15"/>
    </row>
    <row r="8457" spans="1:18" x14ac:dyDescent="0.25">
      <c r="A8457" s="15"/>
      <c r="R8457" s="15"/>
    </row>
    <row r="8458" spans="1:18" x14ac:dyDescent="0.25">
      <c r="A8458" s="15"/>
      <c r="R8458" s="15"/>
    </row>
    <row r="8459" spans="1:18" x14ac:dyDescent="0.25">
      <c r="A8459" s="15"/>
      <c r="R8459" s="15"/>
    </row>
    <row r="8460" spans="1:18" x14ac:dyDescent="0.25">
      <c r="A8460" s="15"/>
      <c r="R8460" s="15"/>
    </row>
    <row r="8461" spans="1:18" x14ac:dyDescent="0.25">
      <c r="A8461" s="15"/>
      <c r="R8461" s="15"/>
    </row>
    <row r="8462" spans="1:18" x14ac:dyDescent="0.25">
      <c r="A8462" s="15"/>
      <c r="R8462" s="15"/>
    </row>
    <row r="8463" spans="1:18" x14ac:dyDescent="0.25">
      <c r="A8463" s="15"/>
      <c r="R8463" s="15"/>
    </row>
    <row r="8464" spans="1:18" x14ac:dyDescent="0.25">
      <c r="A8464" s="15"/>
      <c r="R8464" s="15"/>
    </row>
    <row r="8465" spans="1:18" x14ac:dyDescent="0.25">
      <c r="A8465" s="15"/>
      <c r="R8465" s="15"/>
    </row>
    <row r="8466" spans="1:18" x14ac:dyDescent="0.25">
      <c r="A8466" s="15"/>
      <c r="R8466" s="15"/>
    </row>
    <row r="8467" spans="1:18" x14ac:dyDescent="0.25">
      <c r="A8467" s="15"/>
      <c r="R8467" s="15"/>
    </row>
    <row r="8468" spans="1:18" x14ac:dyDescent="0.25">
      <c r="A8468" s="15"/>
      <c r="R8468" s="15"/>
    </row>
    <row r="8469" spans="1:18" x14ac:dyDescent="0.25">
      <c r="A8469" s="15"/>
      <c r="R8469" s="15"/>
    </row>
    <row r="8470" spans="1:18" x14ac:dyDescent="0.25">
      <c r="A8470" s="15"/>
      <c r="R8470" s="15"/>
    </row>
    <row r="8471" spans="1:18" x14ac:dyDescent="0.25">
      <c r="A8471" s="15"/>
      <c r="R8471" s="15"/>
    </row>
    <row r="8472" spans="1:18" x14ac:dyDescent="0.25">
      <c r="A8472" s="15"/>
      <c r="R8472" s="15"/>
    </row>
    <row r="8473" spans="1:18" x14ac:dyDescent="0.25">
      <c r="A8473" s="15"/>
      <c r="R8473" s="15"/>
    </row>
    <row r="8474" spans="1:18" x14ac:dyDescent="0.25">
      <c r="A8474" s="15"/>
      <c r="R8474" s="15"/>
    </row>
    <row r="8475" spans="1:18" x14ac:dyDescent="0.25">
      <c r="A8475" s="15"/>
      <c r="R8475" s="15"/>
    </row>
    <row r="8476" spans="1:18" x14ac:dyDescent="0.25">
      <c r="A8476" s="15"/>
      <c r="R8476" s="15"/>
    </row>
    <row r="8477" spans="1:18" x14ac:dyDescent="0.25">
      <c r="A8477" s="15"/>
      <c r="R8477" s="15"/>
    </row>
    <row r="8478" spans="1:18" x14ac:dyDescent="0.25">
      <c r="A8478" s="15"/>
      <c r="R8478" s="15"/>
    </row>
    <row r="8479" spans="1:18" x14ac:dyDescent="0.25">
      <c r="A8479" s="15"/>
      <c r="R8479" s="15"/>
    </row>
    <row r="8480" spans="1:18" x14ac:dyDescent="0.25">
      <c r="A8480" s="15"/>
      <c r="R8480" s="15"/>
    </row>
    <row r="8481" spans="1:18" x14ac:dyDescent="0.25">
      <c r="A8481" s="15"/>
      <c r="R8481" s="15"/>
    </row>
    <row r="8482" spans="1:18" x14ac:dyDescent="0.25">
      <c r="A8482" s="15"/>
      <c r="R8482" s="15"/>
    </row>
    <row r="8483" spans="1:18" x14ac:dyDescent="0.25">
      <c r="A8483" s="15"/>
      <c r="R8483" s="15"/>
    </row>
    <row r="8484" spans="1:18" x14ac:dyDescent="0.25">
      <c r="A8484" s="15"/>
      <c r="R8484" s="15"/>
    </row>
    <row r="8485" spans="1:18" x14ac:dyDescent="0.25">
      <c r="A8485" s="15"/>
      <c r="R8485" s="15"/>
    </row>
    <row r="8486" spans="1:18" x14ac:dyDescent="0.25">
      <c r="A8486" s="15"/>
      <c r="R8486" s="15"/>
    </row>
    <row r="8487" spans="1:18" x14ac:dyDescent="0.25">
      <c r="A8487" s="15"/>
      <c r="R8487" s="15"/>
    </row>
    <row r="8488" spans="1:18" x14ac:dyDescent="0.25">
      <c r="A8488" s="15"/>
      <c r="R8488" s="15"/>
    </row>
    <row r="8489" spans="1:18" x14ac:dyDescent="0.25">
      <c r="A8489" s="15"/>
      <c r="R8489" s="15"/>
    </row>
    <row r="8490" spans="1:18" x14ac:dyDescent="0.25">
      <c r="A8490" s="15"/>
      <c r="R8490" s="15"/>
    </row>
    <row r="8491" spans="1:18" x14ac:dyDescent="0.25">
      <c r="A8491" s="15"/>
      <c r="R8491" s="15"/>
    </row>
    <row r="8492" spans="1:18" x14ac:dyDescent="0.25">
      <c r="A8492" s="15"/>
      <c r="R8492" s="15"/>
    </row>
    <row r="8493" spans="1:18" x14ac:dyDescent="0.25">
      <c r="A8493" s="15"/>
      <c r="R8493" s="15"/>
    </row>
    <row r="8494" spans="1:18" x14ac:dyDescent="0.25">
      <c r="A8494" s="15"/>
      <c r="R8494" s="15"/>
    </row>
    <row r="8495" spans="1:18" x14ac:dyDescent="0.25">
      <c r="A8495" s="15"/>
      <c r="R8495" s="15"/>
    </row>
    <row r="8496" spans="1:18" x14ac:dyDescent="0.25">
      <c r="A8496" s="15"/>
      <c r="R8496" s="15"/>
    </row>
    <row r="8497" spans="1:18" x14ac:dyDescent="0.25">
      <c r="A8497" s="15"/>
      <c r="R8497" s="15"/>
    </row>
    <row r="8498" spans="1:18" x14ac:dyDescent="0.25">
      <c r="A8498" s="15"/>
      <c r="R8498" s="15"/>
    </row>
    <row r="8499" spans="1:18" x14ac:dyDescent="0.25">
      <c r="A8499" s="15"/>
      <c r="R8499" s="15"/>
    </row>
    <row r="8500" spans="1:18" x14ac:dyDescent="0.25">
      <c r="A8500" s="15"/>
      <c r="R8500" s="15"/>
    </row>
    <row r="8501" spans="1:18" x14ac:dyDescent="0.25">
      <c r="A8501" s="15"/>
      <c r="R8501" s="15"/>
    </row>
    <row r="8502" spans="1:18" x14ac:dyDescent="0.25">
      <c r="A8502" s="15"/>
      <c r="R8502" s="15"/>
    </row>
    <row r="8503" spans="1:18" x14ac:dyDescent="0.25">
      <c r="A8503" s="15"/>
      <c r="R8503" s="15"/>
    </row>
    <row r="8504" spans="1:18" x14ac:dyDescent="0.25">
      <c r="A8504" s="15"/>
      <c r="R8504" s="15"/>
    </row>
    <row r="8505" spans="1:18" x14ac:dyDescent="0.25">
      <c r="A8505" s="15"/>
      <c r="R8505" s="15"/>
    </row>
    <row r="8506" spans="1:18" x14ac:dyDescent="0.25">
      <c r="A8506" s="15"/>
      <c r="R8506" s="15"/>
    </row>
    <row r="8507" spans="1:18" x14ac:dyDescent="0.25">
      <c r="A8507" s="15"/>
      <c r="R8507" s="15"/>
    </row>
    <row r="8508" spans="1:18" x14ac:dyDescent="0.25">
      <c r="A8508" s="15"/>
      <c r="R8508" s="15"/>
    </row>
    <row r="8509" spans="1:18" x14ac:dyDescent="0.25">
      <c r="A8509" s="15"/>
      <c r="R8509" s="15"/>
    </row>
    <row r="8510" spans="1:18" x14ac:dyDescent="0.25">
      <c r="A8510" s="15"/>
      <c r="R8510" s="15"/>
    </row>
    <row r="8511" spans="1:18" x14ac:dyDescent="0.25">
      <c r="A8511" s="15"/>
      <c r="R8511" s="15"/>
    </row>
    <row r="8512" spans="1:18" x14ac:dyDescent="0.25">
      <c r="A8512" s="15"/>
      <c r="R8512" s="15"/>
    </row>
    <row r="8513" spans="1:18" x14ac:dyDescent="0.25">
      <c r="A8513" s="15"/>
      <c r="R8513" s="15"/>
    </row>
    <row r="8514" spans="1:18" x14ac:dyDescent="0.25">
      <c r="A8514" s="15"/>
      <c r="R8514" s="15"/>
    </row>
    <row r="8515" spans="1:18" x14ac:dyDescent="0.25">
      <c r="A8515" s="15"/>
      <c r="R8515" s="15"/>
    </row>
    <row r="8516" spans="1:18" x14ac:dyDescent="0.25">
      <c r="A8516" s="15"/>
      <c r="R8516" s="15"/>
    </row>
    <row r="8517" spans="1:18" x14ac:dyDescent="0.25">
      <c r="A8517" s="15"/>
      <c r="R8517" s="15"/>
    </row>
    <row r="8518" spans="1:18" x14ac:dyDescent="0.25">
      <c r="A8518" s="15"/>
      <c r="R8518" s="15"/>
    </row>
    <row r="8519" spans="1:18" x14ac:dyDescent="0.25">
      <c r="A8519" s="15"/>
      <c r="R8519" s="15"/>
    </row>
    <row r="8520" spans="1:18" x14ac:dyDescent="0.25">
      <c r="A8520" s="15"/>
      <c r="R8520" s="15"/>
    </row>
    <row r="8521" spans="1:18" x14ac:dyDescent="0.25">
      <c r="A8521" s="15"/>
      <c r="R8521" s="15"/>
    </row>
    <row r="8522" spans="1:18" x14ac:dyDescent="0.25">
      <c r="A8522" s="15"/>
      <c r="R8522" s="15"/>
    </row>
    <row r="8523" spans="1:18" x14ac:dyDescent="0.25">
      <c r="A8523" s="15"/>
      <c r="R8523" s="15"/>
    </row>
    <row r="8524" spans="1:18" x14ac:dyDescent="0.25">
      <c r="A8524" s="15"/>
      <c r="R8524" s="15"/>
    </row>
    <row r="8525" spans="1:18" x14ac:dyDescent="0.25">
      <c r="A8525" s="15"/>
      <c r="R8525" s="15"/>
    </row>
    <row r="8526" spans="1:18" x14ac:dyDescent="0.25">
      <c r="A8526" s="15"/>
      <c r="R8526" s="15"/>
    </row>
    <row r="8527" spans="1:18" x14ac:dyDescent="0.25">
      <c r="A8527" s="15"/>
      <c r="R8527" s="15"/>
    </row>
    <row r="8528" spans="1:18" x14ac:dyDescent="0.25">
      <c r="A8528" s="15"/>
      <c r="R8528" s="15"/>
    </row>
    <row r="8529" spans="1:18" x14ac:dyDescent="0.25">
      <c r="A8529" s="15"/>
      <c r="R8529" s="15"/>
    </row>
    <row r="8530" spans="1:18" x14ac:dyDescent="0.25">
      <c r="A8530" s="15"/>
      <c r="R8530" s="15"/>
    </row>
    <row r="8531" spans="1:18" x14ac:dyDescent="0.25">
      <c r="A8531" s="15"/>
      <c r="R8531" s="15"/>
    </row>
    <row r="8532" spans="1:18" x14ac:dyDescent="0.25">
      <c r="A8532" s="15"/>
      <c r="R8532" s="15"/>
    </row>
    <row r="8533" spans="1:18" x14ac:dyDescent="0.25">
      <c r="A8533" s="15"/>
      <c r="R8533" s="15"/>
    </row>
    <row r="8534" spans="1:18" x14ac:dyDescent="0.25">
      <c r="A8534" s="15"/>
      <c r="R8534" s="15"/>
    </row>
    <row r="8535" spans="1:18" x14ac:dyDescent="0.25">
      <c r="A8535" s="15"/>
      <c r="R8535" s="15"/>
    </row>
    <row r="8536" spans="1:18" x14ac:dyDescent="0.25">
      <c r="A8536" s="15"/>
      <c r="R8536" s="15"/>
    </row>
    <row r="8537" spans="1:18" x14ac:dyDescent="0.25">
      <c r="A8537" s="15"/>
      <c r="R8537" s="15"/>
    </row>
    <row r="8538" spans="1:18" x14ac:dyDescent="0.25">
      <c r="A8538" s="15"/>
      <c r="R8538" s="15"/>
    </row>
    <row r="8539" spans="1:18" x14ac:dyDescent="0.25">
      <c r="A8539" s="15"/>
      <c r="R8539" s="15"/>
    </row>
    <row r="8540" spans="1:18" x14ac:dyDescent="0.25">
      <c r="A8540" s="15"/>
      <c r="R8540" s="15"/>
    </row>
    <row r="8541" spans="1:18" x14ac:dyDescent="0.25">
      <c r="A8541" s="15"/>
      <c r="R8541" s="15"/>
    </row>
    <row r="8542" spans="1:18" x14ac:dyDescent="0.25">
      <c r="A8542" s="15"/>
      <c r="R8542" s="15"/>
    </row>
    <row r="8543" spans="1:18" x14ac:dyDescent="0.25">
      <c r="A8543" s="15"/>
      <c r="R8543" s="15"/>
    </row>
    <row r="8544" spans="1:18" x14ac:dyDescent="0.25">
      <c r="A8544" s="15"/>
      <c r="R8544" s="15"/>
    </row>
    <row r="8545" spans="1:18" x14ac:dyDescent="0.25">
      <c r="A8545" s="15"/>
      <c r="R8545" s="15"/>
    </row>
    <row r="8546" spans="1:18" x14ac:dyDescent="0.25">
      <c r="A8546" s="15"/>
      <c r="R8546" s="15"/>
    </row>
    <row r="8547" spans="1:18" x14ac:dyDescent="0.25">
      <c r="A8547" s="15"/>
      <c r="R8547" s="15"/>
    </row>
    <row r="8548" spans="1:18" x14ac:dyDescent="0.25">
      <c r="A8548" s="15"/>
      <c r="R8548" s="15"/>
    </row>
    <row r="8549" spans="1:18" x14ac:dyDescent="0.25">
      <c r="A8549" s="15"/>
      <c r="R8549" s="15"/>
    </row>
    <row r="8550" spans="1:18" x14ac:dyDescent="0.25">
      <c r="A8550" s="15"/>
      <c r="R8550" s="15"/>
    </row>
    <row r="8551" spans="1:18" x14ac:dyDescent="0.25">
      <c r="A8551" s="15"/>
      <c r="R8551" s="15"/>
    </row>
    <row r="8552" spans="1:18" x14ac:dyDescent="0.25">
      <c r="A8552" s="15"/>
      <c r="R8552" s="15"/>
    </row>
    <row r="8553" spans="1:18" x14ac:dyDescent="0.25">
      <c r="A8553" s="15"/>
      <c r="R8553" s="15"/>
    </row>
    <row r="8554" spans="1:18" x14ac:dyDescent="0.25">
      <c r="A8554" s="15"/>
      <c r="R8554" s="15"/>
    </row>
    <row r="8555" spans="1:18" x14ac:dyDescent="0.25">
      <c r="A8555" s="15"/>
      <c r="R8555" s="15"/>
    </row>
    <row r="8556" spans="1:18" x14ac:dyDescent="0.25">
      <c r="A8556" s="15"/>
      <c r="R8556" s="15"/>
    </row>
    <row r="8557" spans="1:18" x14ac:dyDescent="0.25">
      <c r="A8557" s="15"/>
      <c r="R8557" s="15"/>
    </row>
    <row r="8558" spans="1:18" x14ac:dyDescent="0.25">
      <c r="A8558" s="15"/>
      <c r="R8558" s="15"/>
    </row>
    <row r="8559" spans="1:18" x14ac:dyDescent="0.25">
      <c r="A8559" s="15"/>
      <c r="R8559" s="15"/>
    </row>
    <row r="8560" spans="1:18" x14ac:dyDescent="0.25">
      <c r="A8560" s="15"/>
      <c r="R8560" s="15"/>
    </row>
    <row r="8561" spans="1:18" x14ac:dyDescent="0.25">
      <c r="A8561" s="15"/>
      <c r="R8561" s="15"/>
    </row>
    <row r="8562" spans="1:18" x14ac:dyDescent="0.25">
      <c r="A8562" s="15"/>
      <c r="R8562" s="15"/>
    </row>
    <row r="8563" spans="1:18" x14ac:dyDescent="0.25">
      <c r="A8563" s="15"/>
      <c r="R8563" s="15"/>
    </row>
    <row r="8564" spans="1:18" x14ac:dyDescent="0.25">
      <c r="A8564" s="15"/>
      <c r="R8564" s="15"/>
    </row>
    <row r="8565" spans="1:18" x14ac:dyDescent="0.25">
      <c r="A8565" s="15"/>
      <c r="R8565" s="15"/>
    </row>
    <row r="8566" spans="1:18" x14ac:dyDescent="0.25">
      <c r="A8566" s="15"/>
      <c r="R8566" s="15"/>
    </row>
    <row r="8567" spans="1:18" x14ac:dyDescent="0.25">
      <c r="A8567" s="15"/>
      <c r="R8567" s="15"/>
    </row>
    <row r="8568" spans="1:18" x14ac:dyDescent="0.25">
      <c r="A8568" s="15"/>
      <c r="R8568" s="15"/>
    </row>
    <row r="8569" spans="1:18" x14ac:dyDescent="0.25">
      <c r="A8569" s="15"/>
      <c r="R8569" s="15"/>
    </row>
    <row r="8570" spans="1:18" x14ac:dyDescent="0.25">
      <c r="A8570" s="15"/>
      <c r="R8570" s="15"/>
    </row>
    <row r="8571" spans="1:18" x14ac:dyDescent="0.25">
      <c r="A8571" s="15"/>
      <c r="R8571" s="15"/>
    </row>
    <row r="8572" spans="1:18" x14ac:dyDescent="0.25">
      <c r="A8572" s="15"/>
      <c r="R8572" s="15"/>
    </row>
    <row r="8573" spans="1:18" x14ac:dyDescent="0.25">
      <c r="A8573" s="15"/>
      <c r="R8573" s="15"/>
    </row>
    <row r="8574" spans="1:18" x14ac:dyDescent="0.25">
      <c r="A8574" s="15"/>
      <c r="R8574" s="15"/>
    </row>
    <row r="8575" spans="1:18" x14ac:dyDescent="0.25">
      <c r="A8575" s="15"/>
      <c r="R8575" s="15"/>
    </row>
    <row r="8576" spans="1:18" x14ac:dyDescent="0.25">
      <c r="A8576" s="15"/>
      <c r="R8576" s="15"/>
    </row>
    <row r="8577" spans="1:18" x14ac:dyDescent="0.25">
      <c r="A8577" s="15"/>
      <c r="R8577" s="15"/>
    </row>
    <row r="8578" spans="1:18" x14ac:dyDescent="0.25">
      <c r="A8578" s="15"/>
      <c r="R8578" s="15"/>
    </row>
    <row r="8579" spans="1:18" x14ac:dyDescent="0.25">
      <c r="A8579" s="15"/>
      <c r="R8579" s="15"/>
    </row>
    <row r="8580" spans="1:18" x14ac:dyDescent="0.25">
      <c r="A8580" s="15"/>
      <c r="R8580" s="15"/>
    </row>
    <row r="8581" spans="1:18" x14ac:dyDescent="0.25">
      <c r="A8581" s="15"/>
      <c r="R8581" s="15"/>
    </row>
    <row r="8582" spans="1:18" x14ac:dyDescent="0.25">
      <c r="A8582" s="15"/>
      <c r="R8582" s="15"/>
    </row>
    <row r="8583" spans="1:18" x14ac:dyDescent="0.25">
      <c r="A8583" s="15"/>
      <c r="R8583" s="15"/>
    </row>
    <row r="8584" spans="1:18" x14ac:dyDescent="0.25">
      <c r="A8584" s="15"/>
      <c r="R8584" s="15"/>
    </row>
    <row r="8585" spans="1:18" x14ac:dyDescent="0.25">
      <c r="A8585" s="15"/>
      <c r="R8585" s="15"/>
    </row>
    <row r="8586" spans="1:18" x14ac:dyDescent="0.25">
      <c r="A8586" s="15"/>
      <c r="R8586" s="15"/>
    </row>
    <row r="8587" spans="1:18" x14ac:dyDescent="0.25">
      <c r="A8587" s="15"/>
      <c r="R8587" s="15"/>
    </row>
    <row r="8588" spans="1:18" x14ac:dyDescent="0.25">
      <c r="A8588" s="15"/>
      <c r="R8588" s="15"/>
    </row>
    <row r="8589" spans="1:18" x14ac:dyDescent="0.25">
      <c r="A8589" s="15"/>
      <c r="R8589" s="15"/>
    </row>
    <row r="8590" spans="1:18" x14ac:dyDescent="0.25">
      <c r="A8590" s="15"/>
      <c r="R8590" s="15"/>
    </row>
    <row r="8591" spans="1:18" x14ac:dyDescent="0.25">
      <c r="A8591" s="15"/>
      <c r="R8591" s="15"/>
    </row>
    <row r="8592" spans="1:18" x14ac:dyDescent="0.25">
      <c r="A8592" s="15"/>
      <c r="R8592" s="15"/>
    </row>
    <row r="8593" spans="1:18" x14ac:dyDescent="0.25">
      <c r="A8593" s="15"/>
      <c r="R8593" s="15"/>
    </row>
    <row r="8594" spans="1:18" x14ac:dyDescent="0.25">
      <c r="A8594" s="15"/>
      <c r="R8594" s="15"/>
    </row>
    <row r="8595" spans="1:18" x14ac:dyDescent="0.25">
      <c r="A8595" s="15"/>
      <c r="R8595" s="15"/>
    </row>
    <row r="8596" spans="1:18" x14ac:dyDescent="0.25">
      <c r="A8596" s="15"/>
      <c r="R8596" s="15"/>
    </row>
    <row r="8597" spans="1:18" x14ac:dyDescent="0.25">
      <c r="A8597" s="15"/>
      <c r="R8597" s="15"/>
    </row>
    <row r="8598" spans="1:18" x14ac:dyDescent="0.25">
      <c r="A8598" s="15"/>
      <c r="R8598" s="15"/>
    </row>
    <row r="8599" spans="1:18" x14ac:dyDescent="0.25">
      <c r="A8599" s="15"/>
      <c r="R8599" s="15"/>
    </row>
    <row r="8600" spans="1:18" x14ac:dyDescent="0.25">
      <c r="A8600" s="15"/>
      <c r="R8600" s="15"/>
    </row>
    <row r="8601" spans="1:18" x14ac:dyDescent="0.25">
      <c r="A8601" s="15"/>
      <c r="R8601" s="15"/>
    </row>
    <row r="8602" spans="1:18" x14ac:dyDescent="0.25">
      <c r="A8602" s="15"/>
      <c r="R8602" s="15"/>
    </row>
    <row r="8603" spans="1:18" x14ac:dyDescent="0.25">
      <c r="A8603" s="15"/>
      <c r="R8603" s="15"/>
    </row>
    <row r="8604" spans="1:18" x14ac:dyDescent="0.25">
      <c r="A8604" s="15"/>
      <c r="R8604" s="15"/>
    </row>
    <row r="8605" spans="1:18" x14ac:dyDescent="0.25">
      <c r="A8605" s="15"/>
      <c r="R8605" s="15"/>
    </row>
    <row r="8606" spans="1:18" x14ac:dyDescent="0.25">
      <c r="A8606" s="15"/>
      <c r="R8606" s="15"/>
    </row>
    <row r="8607" spans="1:18" x14ac:dyDescent="0.25">
      <c r="A8607" s="15"/>
      <c r="R8607" s="15"/>
    </row>
    <row r="8608" spans="1:18" x14ac:dyDescent="0.25">
      <c r="A8608" s="15"/>
      <c r="R8608" s="15"/>
    </row>
    <row r="8609" spans="1:18" x14ac:dyDescent="0.25">
      <c r="A8609" s="15"/>
      <c r="R8609" s="15"/>
    </row>
    <row r="8610" spans="1:18" x14ac:dyDescent="0.25">
      <c r="A8610" s="15"/>
      <c r="R8610" s="15"/>
    </row>
    <row r="8611" spans="1:18" x14ac:dyDescent="0.25">
      <c r="A8611" s="15"/>
      <c r="R8611" s="15"/>
    </row>
    <row r="8612" spans="1:18" x14ac:dyDescent="0.25">
      <c r="A8612" s="15"/>
      <c r="R8612" s="15"/>
    </row>
    <row r="8613" spans="1:18" x14ac:dyDescent="0.25">
      <c r="A8613" s="15"/>
      <c r="R8613" s="15"/>
    </row>
    <row r="8614" spans="1:18" x14ac:dyDescent="0.25">
      <c r="A8614" s="15"/>
      <c r="R8614" s="15"/>
    </row>
    <row r="8615" spans="1:18" x14ac:dyDescent="0.25">
      <c r="A8615" s="15"/>
      <c r="R8615" s="15"/>
    </row>
    <row r="8616" spans="1:18" x14ac:dyDescent="0.25">
      <c r="A8616" s="15"/>
      <c r="R8616" s="15"/>
    </row>
    <row r="8617" spans="1:18" x14ac:dyDescent="0.25">
      <c r="A8617" s="15"/>
      <c r="R8617" s="15"/>
    </row>
    <row r="8618" spans="1:18" x14ac:dyDescent="0.25">
      <c r="A8618" s="15"/>
      <c r="R8618" s="15"/>
    </row>
    <row r="8619" spans="1:18" x14ac:dyDescent="0.25">
      <c r="A8619" s="15"/>
      <c r="R8619" s="15"/>
    </row>
    <row r="8620" spans="1:18" x14ac:dyDescent="0.25">
      <c r="A8620" s="15"/>
      <c r="R8620" s="15"/>
    </row>
    <row r="8621" spans="1:18" x14ac:dyDescent="0.25">
      <c r="A8621" s="15"/>
      <c r="R8621" s="15"/>
    </row>
    <row r="8622" spans="1:18" x14ac:dyDescent="0.25">
      <c r="A8622" s="15"/>
      <c r="R8622" s="15"/>
    </row>
    <row r="8623" spans="1:18" x14ac:dyDescent="0.25">
      <c r="A8623" s="15"/>
      <c r="R8623" s="15"/>
    </row>
    <row r="8624" spans="1:18" x14ac:dyDescent="0.25">
      <c r="A8624" s="15"/>
      <c r="R8624" s="15"/>
    </row>
    <row r="8625" spans="1:18" x14ac:dyDescent="0.25">
      <c r="A8625" s="15"/>
      <c r="R8625" s="15"/>
    </row>
    <row r="8626" spans="1:18" x14ac:dyDescent="0.25">
      <c r="A8626" s="15"/>
      <c r="R8626" s="15"/>
    </row>
    <row r="8627" spans="1:18" x14ac:dyDescent="0.25">
      <c r="A8627" s="15"/>
      <c r="R8627" s="15"/>
    </row>
    <row r="8628" spans="1:18" x14ac:dyDescent="0.25">
      <c r="A8628" s="15"/>
      <c r="R8628" s="15"/>
    </row>
    <row r="8629" spans="1:18" x14ac:dyDescent="0.25">
      <c r="A8629" s="15"/>
      <c r="R8629" s="15"/>
    </row>
    <row r="8630" spans="1:18" x14ac:dyDescent="0.25">
      <c r="A8630" s="15"/>
      <c r="R8630" s="15"/>
    </row>
    <row r="8631" spans="1:18" x14ac:dyDescent="0.25">
      <c r="A8631" s="15"/>
      <c r="R8631" s="15"/>
    </row>
    <row r="8632" spans="1:18" x14ac:dyDescent="0.25">
      <c r="A8632" s="15"/>
      <c r="R8632" s="15"/>
    </row>
    <row r="8633" spans="1:18" x14ac:dyDescent="0.25">
      <c r="A8633" s="15"/>
      <c r="R8633" s="15"/>
    </row>
    <row r="8634" spans="1:18" x14ac:dyDescent="0.25">
      <c r="A8634" s="15"/>
      <c r="R8634" s="15"/>
    </row>
    <row r="8635" spans="1:18" x14ac:dyDescent="0.25">
      <c r="A8635" s="15"/>
      <c r="R8635" s="15"/>
    </row>
    <row r="8636" spans="1:18" x14ac:dyDescent="0.25">
      <c r="A8636" s="15"/>
      <c r="R8636" s="15"/>
    </row>
    <row r="8637" spans="1:18" x14ac:dyDescent="0.25">
      <c r="A8637" s="15"/>
      <c r="R8637" s="15"/>
    </row>
    <row r="8638" spans="1:18" x14ac:dyDescent="0.25">
      <c r="A8638" s="15"/>
      <c r="R8638" s="15"/>
    </row>
    <row r="8639" spans="1:18" x14ac:dyDescent="0.25">
      <c r="A8639" s="15"/>
      <c r="R8639" s="15"/>
    </row>
    <row r="8640" spans="1:18" x14ac:dyDescent="0.25">
      <c r="A8640" s="15"/>
      <c r="R8640" s="15"/>
    </row>
    <row r="8641" spans="1:18" x14ac:dyDescent="0.25">
      <c r="A8641" s="15"/>
      <c r="R8641" s="15"/>
    </row>
    <row r="8642" spans="1:18" x14ac:dyDescent="0.25">
      <c r="A8642" s="15"/>
      <c r="R8642" s="15"/>
    </row>
    <row r="8643" spans="1:18" x14ac:dyDescent="0.25">
      <c r="A8643" s="15"/>
      <c r="R8643" s="15"/>
    </row>
    <row r="8644" spans="1:18" x14ac:dyDescent="0.25">
      <c r="A8644" s="15"/>
      <c r="R8644" s="15"/>
    </row>
    <row r="8645" spans="1:18" x14ac:dyDescent="0.25">
      <c r="A8645" s="15"/>
      <c r="R8645" s="15"/>
    </row>
    <row r="8646" spans="1:18" x14ac:dyDescent="0.25">
      <c r="A8646" s="15"/>
      <c r="R8646" s="15"/>
    </row>
    <row r="8647" spans="1:18" x14ac:dyDescent="0.25">
      <c r="A8647" s="15"/>
      <c r="R8647" s="15"/>
    </row>
    <row r="8648" spans="1:18" x14ac:dyDescent="0.25">
      <c r="A8648" s="15"/>
      <c r="R8648" s="15"/>
    </row>
    <row r="8649" spans="1:18" x14ac:dyDescent="0.25">
      <c r="A8649" s="15"/>
      <c r="R8649" s="15"/>
    </row>
    <row r="8650" spans="1:18" x14ac:dyDescent="0.25">
      <c r="A8650" s="15"/>
      <c r="R8650" s="15"/>
    </row>
    <row r="8651" spans="1:18" x14ac:dyDescent="0.25">
      <c r="A8651" s="15"/>
      <c r="R8651" s="15"/>
    </row>
    <row r="8652" spans="1:18" x14ac:dyDescent="0.25">
      <c r="A8652" s="15"/>
      <c r="R8652" s="15"/>
    </row>
    <row r="8653" spans="1:18" x14ac:dyDescent="0.25">
      <c r="A8653" s="15"/>
      <c r="R8653" s="15"/>
    </row>
    <row r="8654" spans="1:18" x14ac:dyDescent="0.25">
      <c r="A8654" s="15"/>
      <c r="R8654" s="15"/>
    </row>
    <row r="8655" spans="1:18" x14ac:dyDescent="0.25">
      <c r="A8655" s="15"/>
      <c r="R8655" s="15"/>
    </row>
    <row r="8656" spans="1:18" x14ac:dyDescent="0.25">
      <c r="A8656" s="15"/>
      <c r="R8656" s="15"/>
    </row>
    <row r="8657" spans="1:18" x14ac:dyDescent="0.25">
      <c r="A8657" s="15"/>
      <c r="R8657" s="15"/>
    </row>
    <row r="8658" spans="1:18" x14ac:dyDescent="0.25">
      <c r="A8658" s="15"/>
      <c r="R8658" s="15"/>
    </row>
    <row r="8659" spans="1:18" x14ac:dyDescent="0.25">
      <c r="A8659" s="15"/>
      <c r="R8659" s="15"/>
    </row>
    <row r="8660" spans="1:18" x14ac:dyDescent="0.25">
      <c r="A8660" s="15"/>
      <c r="R8660" s="15"/>
    </row>
    <row r="8661" spans="1:18" x14ac:dyDescent="0.25">
      <c r="A8661" s="15"/>
      <c r="R8661" s="15"/>
    </row>
    <row r="8662" spans="1:18" x14ac:dyDescent="0.25">
      <c r="A8662" s="15"/>
      <c r="R8662" s="15"/>
    </row>
    <row r="8663" spans="1:18" x14ac:dyDescent="0.25">
      <c r="A8663" s="15"/>
      <c r="R8663" s="15"/>
    </row>
    <row r="8664" spans="1:18" x14ac:dyDescent="0.25">
      <c r="A8664" s="15"/>
      <c r="R8664" s="15"/>
    </row>
    <row r="8665" spans="1:18" x14ac:dyDescent="0.25">
      <c r="A8665" s="15"/>
      <c r="R8665" s="15"/>
    </row>
    <row r="8666" spans="1:18" x14ac:dyDescent="0.25">
      <c r="A8666" s="15"/>
      <c r="R8666" s="15"/>
    </row>
    <row r="8667" spans="1:18" x14ac:dyDescent="0.25">
      <c r="A8667" s="15"/>
      <c r="R8667" s="15"/>
    </row>
    <row r="8668" spans="1:18" x14ac:dyDescent="0.25">
      <c r="A8668" s="15"/>
      <c r="R8668" s="15"/>
    </row>
    <row r="8669" spans="1:18" x14ac:dyDescent="0.25">
      <c r="A8669" s="15"/>
      <c r="R8669" s="15"/>
    </row>
    <row r="8670" spans="1:18" x14ac:dyDescent="0.25">
      <c r="A8670" s="15"/>
      <c r="R8670" s="15"/>
    </row>
    <row r="8671" spans="1:18" x14ac:dyDescent="0.25">
      <c r="A8671" s="15"/>
      <c r="R8671" s="15"/>
    </row>
    <row r="8672" spans="1:18" x14ac:dyDescent="0.25">
      <c r="A8672" s="15"/>
      <c r="R8672" s="15"/>
    </row>
    <row r="8673" spans="1:18" x14ac:dyDescent="0.25">
      <c r="A8673" s="15"/>
      <c r="R8673" s="15"/>
    </row>
    <row r="8674" spans="1:18" x14ac:dyDescent="0.25">
      <c r="A8674" s="15"/>
      <c r="R8674" s="15"/>
    </row>
    <row r="8675" spans="1:18" x14ac:dyDescent="0.25">
      <c r="A8675" s="15"/>
      <c r="R8675" s="15"/>
    </row>
    <row r="8676" spans="1:18" x14ac:dyDescent="0.25">
      <c r="A8676" s="15"/>
      <c r="R8676" s="15"/>
    </row>
    <row r="8677" spans="1:18" x14ac:dyDescent="0.25">
      <c r="A8677" s="15"/>
      <c r="R8677" s="15"/>
    </row>
    <row r="8678" spans="1:18" x14ac:dyDescent="0.25">
      <c r="A8678" s="15"/>
      <c r="R8678" s="15"/>
    </row>
    <row r="8679" spans="1:18" x14ac:dyDescent="0.25">
      <c r="A8679" s="15"/>
      <c r="R8679" s="15"/>
    </row>
    <row r="8680" spans="1:18" x14ac:dyDescent="0.25">
      <c r="A8680" s="15"/>
      <c r="R8680" s="15"/>
    </row>
    <row r="8681" spans="1:18" x14ac:dyDescent="0.25">
      <c r="A8681" s="15"/>
      <c r="R8681" s="15"/>
    </row>
    <row r="8682" spans="1:18" x14ac:dyDescent="0.25">
      <c r="A8682" s="15"/>
      <c r="R8682" s="15"/>
    </row>
    <row r="8683" spans="1:18" x14ac:dyDescent="0.25">
      <c r="A8683" s="15"/>
      <c r="R8683" s="15"/>
    </row>
    <row r="8684" spans="1:18" x14ac:dyDescent="0.25">
      <c r="A8684" s="15"/>
      <c r="R8684" s="15"/>
    </row>
    <row r="8685" spans="1:18" x14ac:dyDescent="0.25">
      <c r="A8685" s="15"/>
      <c r="R8685" s="15"/>
    </row>
    <row r="8686" spans="1:18" x14ac:dyDescent="0.25">
      <c r="A8686" s="15"/>
      <c r="R8686" s="15"/>
    </row>
    <row r="8687" spans="1:18" x14ac:dyDescent="0.25">
      <c r="A8687" s="15"/>
      <c r="R8687" s="15"/>
    </row>
    <row r="8688" spans="1:18" x14ac:dyDescent="0.25">
      <c r="A8688" s="15"/>
      <c r="R8688" s="15"/>
    </row>
    <row r="8689" spans="1:18" x14ac:dyDescent="0.25">
      <c r="A8689" s="15"/>
      <c r="R8689" s="15"/>
    </row>
    <row r="8690" spans="1:18" x14ac:dyDescent="0.25">
      <c r="A8690" s="15"/>
      <c r="R8690" s="15"/>
    </row>
    <row r="8691" spans="1:18" x14ac:dyDescent="0.25">
      <c r="A8691" s="15"/>
      <c r="R8691" s="15"/>
    </row>
    <row r="8692" spans="1:18" x14ac:dyDescent="0.25">
      <c r="A8692" s="15"/>
      <c r="R8692" s="15"/>
    </row>
    <row r="8693" spans="1:18" x14ac:dyDescent="0.25">
      <c r="A8693" s="15"/>
      <c r="R8693" s="15"/>
    </row>
    <row r="8694" spans="1:18" x14ac:dyDescent="0.25">
      <c r="A8694" s="15"/>
      <c r="R8694" s="15"/>
    </row>
    <row r="8695" spans="1:18" x14ac:dyDescent="0.25">
      <c r="A8695" s="15"/>
      <c r="R8695" s="15"/>
    </row>
    <row r="8696" spans="1:18" x14ac:dyDescent="0.25">
      <c r="A8696" s="15"/>
      <c r="R8696" s="15"/>
    </row>
    <row r="8697" spans="1:18" x14ac:dyDescent="0.25">
      <c r="A8697" s="15"/>
      <c r="R8697" s="15"/>
    </row>
    <row r="8698" spans="1:18" x14ac:dyDescent="0.25">
      <c r="A8698" s="15"/>
      <c r="R8698" s="15"/>
    </row>
    <row r="8699" spans="1:18" x14ac:dyDescent="0.25">
      <c r="A8699" s="15"/>
      <c r="R8699" s="15"/>
    </row>
    <row r="8700" spans="1:18" x14ac:dyDescent="0.25">
      <c r="A8700" s="15"/>
      <c r="R8700" s="15"/>
    </row>
    <row r="8701" spans="1:18" x14ac:dyDescent="0.25">
      <c r="A8701" s="15"/>
      <c r="R8701" s="15"/>
    </row>
    <row r="8702" spans="1:18" x14ac:dyDescent="0.25">
      <c r="A8702" s="15"/>
      <c r="R8702" s="15"/>
    </row>
    <row r="8703" spans="1:18" x14ac:dyDescent="0.25">
      <c r="A8703" s="15"/>
      <c r="R8703" s="15"/>
    </row>
    <row r="8704" spans="1:18" x14ac:dyDescent="0.25">
      <c r="A8704" s="15"/>
      <c r="R8704" s="15"/>
    </row>
    <row r="8705" spans="1:18" x14ac:dyDescent="0.25">
      <c r="A8705" s="15"/>
      <c r="R8705" s="15"/>
    </row>
    <row r="8706" spans="1:18" x14ac:dyDescent="0.25">
      <c r="A8706" s="15"/>
      <c r="R8706" s="15"/>
    </row>
    <row r="8707" spans="1:18" x14ac:dyDescent="0.25">
      <c r="A8707" s="15"/>
      <c r="R8707" s="15"/>
    </row>
    <row r="8708" spans="1:18" x14ac:dyDescent="0.25">
      <c r="A8708" s="15"/>
      <c r="R8708" s="15"/>
    </row>
    <row r="8709" spans="1:18" x14ac:dyDescent="0.25">
      <c r="A8709" s="15"/>
      <c r="R8709" s="15"/>
    </row>
    <row r="8710" spans="1:18" x14ac:dyDescent="0.25">
      <c r="A8710" s="15"/>
      <c r="R8710" s="15"/>
    </row>
    <row r="8711" spans="1:18" x14ac:dyDescent="0.25">
      <c r="A8711" s="15"/>
      <c r="R8711" s="15"/>
    </row>
    <row r="8712" spans="1:18" x14ac:dyDescent="0.25">
      <c r="A8712" s="15"/>
      <c r="R8712" s="15"/>
    </row>
    <row r="8713" spans="1:18" x14ac:dyDescent="0.25">
      <c r="A8713" s="15"/>
      <c r="R8713" s="15"/>
    </row>
    <row r="8714" spans="1:18" x14ac:dyDescent="0.25">
      <c r="A8714" s="15"/>
      <c r="R8714" s="15"/>
    </row>
    <row r="8715" spans="1:18" x14ac:dyDescent="0.25">
      <c r="A8715" s="15"/>
      <c r="R8715" s="15"/>
    </row>
    <row r="8716" spans="1:18" x14ac:dyDescent="0.25">
      <c r="A8716" s="15"/>
      <c r="R8716" s="15"/>
    </row>
    <row r="8717" spans="1:18" x14ac:dyDescent="0.25">
      <c r="A8717" s="15"/>
      <c r="R8717" s="15"/>
    </row>
    <row r="8718" spans="1:18" x14ac:dyDescent="0.25">
      <c r="A8718" s="15"/>
      <c r="R8718" s="15"/>
    </row>
    <row r="8719" spans="1:18" x14ac:dyDescent="0.25">
      <c r="A8719" s="15"/>
      <c r="R8719" s="15"/>
    </row>
    <row r="8720" spans="1:18" x14ac:dyDescent="0.25">
      <c r="A8720" s="15"/>
      <c r="R8720" s="15"/>
    </row>
    <row r="8721" spans="1:18" x14ac:dyDescent="0.25">
      <c r="A8721" s="15"/>
      <c r="R8721" s="15"/>
    </row>
    <row r="8722" spans="1:18" x14ac:dyDescent="0.25">
      <c r="A8722" s="15"/>
      <c r="R8722" s="15"/>
    </row>
    <row r="8723" spans="1:18" x14ac:dyDescent="0.25">
      <c r="A8723" s="15"/>
      <c r="R8723" s="15"/>
    </row>
    <row r="8724" spans="1:18" x14ac:dyDescent="0.25">
      <c r="A8724" s="15"/>
      <c r="R8724" s="15"/>
    </row>
    <row r="8725" spans="1:18" x14ac:dyDescent="0.25">
      <c r="A8725" s="15"/>
      <c r="R8725" s="15"/>
    </row>
    <row r="8726" spans="1:18" x14ac:dyDescent="0.25">
      <c r="A8726" s="15"/>
      <c r="R8726" s="15"/>
    </row>
    <row r="8727" spans="1:18" x14ac:dyDescent="0.25">
      <c r="A8727" s="15"/>
      <c r="R8727" s="15"/>
    </row>
    <row r="8728" spans="1:18" x14ac:dyDescent="0.25">
      <c r="A8728" s="15"/>
      <c r="R8728" s="15"/>
    </row>
    <row r="8729" spans="1:18" x14ac:dyDescent="0.25">
      <c r="A8729" s="15"/>
      <c r="R8729" s="15"/>
    </row>
    <row r="8730" spans="1:18" x14ac:dyDescent="0.25">
      <c r="A8730" s="15"/>
      <c r="R8730" s="15"/>
    </row>
    <row r="8731" spans="1:18" x14ac:dyDescent="0.25">
      <c r="A8731" s="15"/>
      <c r="R8731" s="15"/>
    </row>
    <row r="8732" spans="1:18" x14ac:dyDescent="0.25">
      <c r="A8732" s="15"/>
      <c r="R8732" s="15"/>
    </row>
    <row r="8733" spans="1:18" x14ac:dyDescent="0.25">
      <c r="A8733" s="15"/>
      <c r="R8733" s="15"/>
    </row>
    <row r="8734" spans="1:18" x14ac:dyDescent="0.25">
      <c r="A8734" s="15"/>
      <c r="R8734" s="15"/>
    </row>
    <row r="8735" spans="1:18" x14ac:dyDescent="0.25">
      <c r="A8735" s="15"/>
      <c r="R8735" s="15"/>
    </row>
    <row r="8736" spans="1:18" x14ac:dyDescent="0.25">
      <c r="A8736" s="15"/>
      <c r="R8736" s="15"/>
    </row>
    <row r="8737" spans="1:18" x14ac:dyDescent="0.25">
      <c r="A8737" s="15"/>
      <c r="R8737" s="15"/>
    </row>
    <row r="8738" spans="1:18" x14ac:dyDescent="0.25">
      <c r="A8738" s="15"/>
      <c r="R8738" s="15"/>
    </row>
    <row r="8739" spans="1:18" x14ac:dyDescent="0.25">
      <c r="A8739" s="15"/>
      <c r="R8739" s="15"/>
    </row>
    <row r="8740" spans="1:18" x14ac:dyDescent="0.25">
      <c r="A8740" s="15"/>
      <c r="R8740" s="15"/>
    </row>
    <row r="8741" spans="1:18" x14ac:dyDescent="0.25">
      <c r="A8741" s="15"/>
      <c r="R8741" s="15"/>
    </row>
    <row r="8742" spans="1:18" x14ac:dyDescent="0.25">
      <c r="A8742" s="15"/>
      <c r="R8742" s="15"/>
    </row>
    <row r="8743" spans="1:18" x14ac:dyDescent="0.25">
      <c r="A8743" s="15"/>
      <c r="R8743" s="15"/>
    </row>
    <row r="8744" spans="1:18" x14ac:dyDescent="0.25">
      <c r="A8744" s="15"/>
      <c r="R8744" s="15"/>
    </row>
    <row r="8745" spans="1:18" x14ac:dyDescent="0.25">
      <c r="A8745" s="15"/>
      <c r="R8745" s="15"/>
    </row>
    <row r="8746" spans="1:18" x14ac:dyDescent="0.25">
      <c r="A8746" s="15"/>
      <c r="R8746" s="15"/>
    </row>
    <row r="8747" spans="1:18" x14ac:dyDescent="0.25">
      <c r="A8747" s="15"/>
      <c r="R8747" s="15"/>
    </row>
    <row r="8748" spans="1:18" x14ac:dyDescent="0.25">
      <c r="A8748" s="15"/>
      <c r="R8748" s="15"/>
    </row>
    <row r="8749" spans="1:18" x14ac:dyDescent="0.25">
      <c r="A8749" s="15"/>
      <c r="R8749" s="15"/>
    </row>
    <row r="8750" spans="1:18" x14ac:dyDescent="0.25">
      <c r="A8750" s="15"/>
      <c r="R8750" s="15"/>
    </row>
    <row r="8751" spans="1:18" x14ac:dyDescent="0.25">
      <c r="A8751" s="15"/>
      <c r="R8751" s="15"/>
    </row>
    <row r="8752" spans="1:18" x14ac:dyDescent="0.25">
      <c r="A8752" s="15"/>
      <c r="R8752" s="15"/>
    </row>
    <row r="8753" spans="1:18" x14ac:dyDescent="0.25">
      <c r="A8753" s="15"/>
      <c r="R8753" s="15"/>
    </row>
    <row r="8754" spans="1:18" x14ac:dyDescent="0.25">
      <c r="A8754" s="15"/>
      <c r="R8754" s="15"/>
    </row>
    <row r="8755" spans="1:18" x14ac:dyDescent="0.25">
      <c r="A8755" s="15"/>
      <c r="R8755" s="15"/>
    </row>
    <row r="8756" spans="1:18" x14ac:dyDescent="0.25">
      <c r="A8756" s="15"/>
      <c r="R8756" s="15"/>
    </row>
    <row r="8757" spans="1:18" x14ac:dyDescent="0.25">
      <c r="A8757" s="15"/>
      <c r="R8757" s="15"/>
    </row>
    <row r="8758" spans="1:18" x14ac:dyDescent="0.25">
      <c r="A8758" s="15"/>
      <c r="R8758" s="15"/>
    </row>
    <row r="8759" spans="1:18" x14ac:dyDescent="0.25">
      <c r="A8759" s="15"/>
      <c r="R8759" s="15"/>
    </row>
    <row r="8760" spans="1:18" x14ac:dyDescent="0.25">
      <c r="A8760" s="15"/>
      <c r="R8760" s="15"/>
    </row>
    <row r="8761" spans="1:18" x14ac:dyDescent="0.25">
      <c r="A8761" s="15"/>
      <c r="R8761" s="15"/>
    </row>
    <row r="8762" spans="1:18" x14ac:dyDescent="0.25">
      <c r="A8762" s="15"/>
      <c r="R8762" s="15"/>
    </row>
    <row r="8763" spans="1:18" x14ac:dyDescent="0.25">
      <c r="A8763" s="15"/>
      <c r="R8763" s="15"/>
    </row>
    <row r="8764" spans="1:18" x14ac:dyDescent="0.25">
      <c r="A8764" s="15"/>
      <c r="R8764" s="15"/>
    </row>
    <row r="8765" spans="1:18" x14ac:dyDescent="0.25">
      <c r="A8765" s="15"/>
      <c r="R8765" s="15"/>
    </row>
    <row r="8766" spans="1:18" x14ac:dyDescent="0.25">
      <c r="A8766" s="15"/>
      <c r="R8766" s="15"/>
    </row>
    <row r="8767" spans="1:18" x14ac:dyDescent="0.25">
      <c r="A8767" s="15"/>
      <c r="R8767" s="15"/>
    </row>
    <row r="8768" spans="1:18" x14ac:dyDescent="0.25">
      <c r="A8768" s="15"/>
      <c r="R8768" s="15"/>
    </row>
    <row r="8769" spans="1:18" x14ac:dyDescent="0.25">
      <c r="A8769" s="15"/>
      <c r="R8769" s="15"/>
    </row>
    <row r="8770" spans="1:18" x14ac:dyDescent="0.25">
      <c r="A8770" s="15"/>
      <c r="R8770" s="15"/>
    </row>
    <row r="8771" spans="1:18" x14ac:dyDescent="0.25">
      <c r="A8771" s="15"/>
      <c r="R8771" s="15"/>
    </row>
    <row r="8772" spans="1:18" x14ac:dyDescent="0.25">
      <c r="A8772" s="15"/>
      <c r="R8772" s="15"/>
    </row>
    <row r="8773" spans="1:18" x14ac:dyDescent="0.25">
      <c r="A8773" s="15"/>
      <c r="R8773" s="15"/>
    </row>
    <row r="8774" spans="1:18" x14ac:dyDescent="0.25">
      <c r="A8774" s="15"/>
      <c r="R8774" s="15"/>
    </row>
    <row r="8775" spans="1:18" x14ac:dyDescent="0.25">
      <c r="A8775" s="15"/>
      <c r="R8775" s="15"/>
    </row>
    <row r="8776" spans="1:18" x14ac:dyDescent="0.25">
      <c r="A8776" s="15"/>
      <c r="R8776" s="15"/>
    </row>
    <row r="8777" spans="1:18" x14ac:dyDescent="0.25">
      <c r="A8777" s="15"/>
      <c r="R8777" s="15"/>
    </row>
    <row r="8778" spans="1:18" x14ac:dyDescent="0.25">
      <c r="A8778" s="15"/>
      <c r="R8778" s="15"/>
    </row>
    <row r="8779" spans="1:18" x14ac:dyDescent="0.25">
      <c r="A8779" s="15"/>
      <c r="R8779" s="15"/>
    </row>
    <row r="8780" spans="1:18" x14ac:dyDescent="0.25">
      <c r="A8780" s="15"/>
      <c r="R8780" s="15"/>
    </row>
    <row r="8781" spans="1:18" x14ac:dyDescent="0.25">
      <c r="A8781" s="15"/>
      <c r="R8781" s="15"/>
    </row>
    <row r="8782" spans="1:18" x14ac:dyDescent="0.25">
      <c r="A8782" s="15"/>
      <c r="R8782" s="15"/>
    </row>
    <row r="8783" spans="1:18" x14ac:dyDescent="0.25">
      <c r="A8783" s="15"/>
      <c r="R8783" s="15"/>
    </row>
    <row r="8784" spans="1:18" x14ac:dyDescent="0.25">
      <c r="A8784" s="15"/>
      <c r="R8784" s="15"/>
    </row>
    <row r="8785" spans="1:18" x14ac:dyDescent="0.25">
      <c r="A8785" s="15"/>
      <c r="R8785" s="15"/>
    </row>
    <row r="8786" spans="1:18" x14ac:dyDescent="0.25">
      <c r="A8786" s="15"/>
      <c r="R8786" s="15"/>
    </row>
    <row r="8787" spans="1:18" x14ac:dyDescent="0.25">
      <c r="A8787" s="15"/>
      <c r="R8787" s="15"/>
    </row>
    <row r="8788" spans="1:18" x14ac:dyDescent="0.25">
      <c r="A8788" s="15"/>
      <c r="R8788" s="15"/>
    </row>
    <row r="8789" spans="1:18" x14ac:dyDescent="0.25">
      <c r="A8789" s="15"/>
      <c r="R8789" s="15"/>
    </row>
    <row r="8790" spans="1:18" x14ac:dyDescent="0.25">
      <c r="A8790" s="15"/>
      <c r="R8790" s="15"/>
    </row>
    <row r="8791" spans="1:18" x14ac:dyDescent="0.25">
      <c r="A8791" s="15"/>
      <c r="R8791" s="15"/>
    </row>
    <row r="8792" spans="1:18" x14ac:dyDescent="0.25">
      <c r="A8792" s="15"/>
      <c r="R8792" s="15"/>
    </row>
    <row r="8793" spans="1:18" x14ac:dyDescent="0.25">
      <c r="A8793" s="15"/>
      <c r="R8793" s="15"/>
    </row>
    <row r="8794" spans="1:18" x14ac:dyDescent="0.25">
      <c r="A8794" s="15"/>
      <c r="R8794" s="15"/>
    </row>
    <row r="8795" spans="1:18" x14ac:dyDescent="0.25">
      <c r="A8795" s="15"/>
      <c r="R8795" s="15"/>
    </row>
    <row r="8796" spans="1:18" x14ac:dyDescent="0.25">
      <c r="A8796" s="15"/>
      <c r="R8796" s="15"/>
    </row>
    <row r="8797" spans="1:18" x14ac:dyDescent="0.25">
      <c r="A8797" s="15"/>
      <c r="R8797" s="15"/>
    </row>
    <row r="8798" spans="1:18" x14ac:dyDescent="0.25">
      <c r="A8798" s="15"/>
      <c r="R8798" s="15"/>
    </row>
    <row r="8799" spans="1:18" x14ac:dyDescent="0.25">
      <c r="A8799" s="15"/>
      <c r="R8799" s="15"/>
    </row>
    <row r="8800" spans="1:18" x14ac:dyDescent="0.25">
      <c r="A8800" s="15"/>
      <c r="R8800" s="15"/>
    </row>
    <row r="8801" spans="1:18" x14ac:dyDescent="0.25">
      <c r="A8801" s="15"/>
      <c r="R8801" s="15"/>
    </row>
    <row r="8802" spans="1:18" x14ac:dyDescent="0.25">
      <c r="A8802" s="15"/>
      <c r="R8802" s="15"/>
    </row>
    <row r="8803" spans="1:18" x14ac:dyDescent="0.25">
      <c r="A8803" s="15"/>
      <c r="R8803" s="15"/>
    </row>
    <row r="8804" spans="1:18" x14ac:dyDescent="0.25">
      <c r="A8804" s="15"/>
      <c r="R8804" s="15"/>
    </row>
    <row r="8805" spans="1:18" x14ac:dyDescent="0.25">
      <c r="A8805" s="15"/>
      <c r="R8805" s="15"/>
    </row>
    <row r="8806" spans="1:18" x14ac:dyDescent="0.25">
      <c r="A8806" s="15"/>
      <c r="R8806" s="15"/>
    </row>
    <row r="8807" spans="1:18" x14ac:dyDescent="0.25">
      <c r="A8807" s="15"/>
      <c r="R8807" s="15"/>
    </row>
    <row r="8808" spans="1:18" x14ac:dyDescent="0.25">
      <c r="A8808" s="15"/>
      <c r="R8808" s="15"/>
    </row>
    <row r="8809" spans="1:18" x14ac:dyDescent="0.25">
      <c r="A8809" s="15"/>
      <c r="R8809" s="15"/>
    </row>
    <row r="8810" spans="1:18" x14ac:dyDescent="0.25">
      <c r="A8810" s="15"/>
      <c r="R8810" s="15"/>
    </row>
    <row r="8811" spans="1:18" x14ac:dyDescent="0.25">
      <c r="A8811" s="15"/>
      <c r="R8811" s="15"/>
    </row>
    <row r="8812" spans="1:18" x14ac:dyDescent="0.25">
      <c r="A8812" s="15"/>
      <c r="R8812" s="15"/>
    </row>
    <row r="8813" spans="1:18" x14ac:dyDescent="0.25">
      <c r="A8813" s="15"/>
      <c r="R8813" s="15"/>
    </row>
    <row r="8814" spans="1:18" x14ac:dyDescent="0.25">
      <c r="A8814" s="15"/>
      <c r="R8814" s="15"/>
    </row>
    <row r="8815" spans="1:18" x14ac:dyDescent="0.25">
      <c r="A8815" s="15"/>
      <c r="R8815" s="15"/>
    </row>
    <row r="8816" spans="1:18" x14ac:dyDescent="0.25">
      <c r="A8816" s="15"/>
      <c r="R8816" s="15"/>
    </row>
    <row r="8817" spans="1:18" x14ac:dyDescent="0.25">
      <c r="A8817" s="15"/>
      <c r="R8817" s="15"/>
    </row>
    <row r="8818" spans="1:18" x14ac:dyDescent="0.25">
      <c r="A8818" s="15"/>
      <c r="R8818" s="15"/>
    </row>
    <row r="8819" spans="1:18" x14ac:dyDescent="0.25">
      <c r="A8819" s="15"/>
      <c r="R8819" s="15"/>
    </row>
    <row r="8820" spans="1:18" x14ac:dyDescent="0.25">
      <c r="A8820" s="15"/>
      <c r="R8820" s="15"/>
    </row>
    <row r="8821" spans="1:18" x14ac:dyDescent="0.25">
      <c r="A8821" s="15"/>
      <c r="R8821" s="15"/>
    </row>
    <row r="8822" spans="1:18" x14ac:dyDescent="0.25">
      <c r="A8822" s="15"/>
      <c r="R8822" s="15"/>
    </row>
    <row r="8823" spans="1:18" x14ac:dyDescent="0.25">
      <c r="A8823" s="15"/>
      <c r="R8823" s="15"/>
    </row>
    <row r="8824" spans="1:18" x14ac:dyDescent="0.25">
      <c r="A8824" s="15"/>
      <c r="R8824" s="15"/>
    </row>
    <row r="8825" spans="1:18" x14ac:dyDescent="0.25">
      <c r="A8825" s="15"/>
      <c r="R8825" s="15"/>
    </row>
    <row r="8826" spans="1:18" x14ac:dyDescent="0.25">
      <c r="A8826" s="15"/>
      <c r="R8826" s="15"/>
    </row>
    <row r="8827" spans="1:18" x14ac:dyDescent="0.25">
      <c r="A8827" s="15"/>
      <c r="R8827" s="15"/>
    </row>
    <row r="8828" spans="1:18" x14ac:dyDescent="0.25">
      <c r="A8828" s="15"/>
      <c r="R8828" s="15"/>
    </row>
    <row r="8829" spans="1:18" x14ac:dyDescent="0.25">
      <c r="A8829" s="15"/>
      <c r="R8829" s="15"/>
    </row>
    <row r="8830" spans="1:18" x14ac:dyDescent="0.25">
      <c r="A8830" s="15"/>
      <c r="R8830" s="15"/>
    </row>
    <row r="8831" spans="1:18" x14ac:dyDescent="0.25">
      <c r="A8831" s="15"/>
      <c r="R8831" s="15"/>
    </row>
    <row r="8832" spans="1:18" x14ac:dyDescent="0.25">
      <c r="A8832" s="15"/>
      <c r="R8832" s="15"/>
    </row>
    <row r="8833" spans="1:18" x14ac:dyDescent="0.25">
      <c r="A8833" s="15"/>
      <c r="R8833" s="15"/>
    </row>
    <row r="8834" spans="1:18" x14ac:dyDescent="0.25">
      <c r="A8834" s="15"/>
      <c r="R8834" s="15"/>
    </row>
    <row r="8835" spans="1:18" x14ac:dyDescent="0.25">
      <c r="A8835" s="15"/>
      <c r="R8835" s="15"/>
    </row>
    <row r="8836" spans="1:18" x14ac:dyDescent="0.25">
      <c r="A8836" s="15"/>
      <c r="R8836" s="15"/>
    </row>
    <row r="8837" spans="1:18" x14ac:dyDescent="0.25">
      <c r="A8837" s="15"/>
      <c r="R8837" s="15"/>
    </row>
    <row r="8838" spans="1:18" x14ac:dyDescent="0.25">
      <c r="A8838" s="15"/>
      <c r="R8838" s="15"/>
    </row>
    <row r="8839" spans="1:18" x14ac:dyDescent="0.25">
      <c r="A8839" s="15"/>
      <c r="R8839" s="15"/>
    </row>
    <row r="8840" spans="1:18" x14ac:dyDescent="0.25">
      <c r="A8840" s="15"/>
      <c r="R8840" s="15"/>
    </row>
    <row r="8841" spans="1:18" x14ac:dyDescent="0.25">
      <c r="A8841" s="15"/>
      <c r="R8841" s="15"/>
    </row>
    <row r="8842" spans="1:18" x14ac:dyDescent="0.25">
      <c r="A8842" s="15"/>
      <c r="R8842" s="15"/>
    </row>
    <row r="8843" spans="1:18" x14ac:dyDescent="0.25">
      <c r="A8843" s="15"/>
      <c r="R8843" s="15"/>
    </row>
    <row r="8844" spans="1:18" x14ac:dyDescent="0.25">
      <c r="A8844" s="15"/>
      <c r="R8844" s="15"/>
    </row>
    <row r="8845" spans="1:18" x14ac:dyDescent="0.25">
      <c r="A8845" s="15"/>
      <c r="R8845" s="15"/>
    </row>
    <row r="8846" spans="1:18" x14ac:dyDescent="0.25">
      <c r="A8846" s="15"/>
      <c r="R8846" s="15"/>
    </row>
    <row r="8847" spans="1:18" x14ac:dyDescent="0.25">
      <c r="A8847" s="15"/>
      <c r="R8847" s="15"/>
    </row>
    <row r="8848" spans="1:18" x14ac:dyDescent="0.25">
      <c r="A8848" s="15"/>
      <c r="R8848" s="15"/>
    </row>
    <row r="8849" spans="1:18" x14ac:dyDescent="0.25">
      <c r="A8849" s="15"/>
      <c r="R8849" s="15"/>
    </row>
    <row r="8850" spans="1:18" x14ac:dyDescent="0.25">
      <c r="A8850" s="15"/>
      <c r="R8850" s="15"/>
    </row>
    <row r="8851" spans="1:18" x14ac:dyDescent="0.25">
      <c r="A8851" s="15"/>
      <c r="R8851" s="15"/>
    </row>
    <row r="8852" spans="1:18" x14ac:dyDescent="0.25">
      <c r="A8852" s="15"/>
      <c r="R8852" s="15"/>
    </row>
    <row r="8853" spans="1:18" x14ac:dyDescent="0.25">
      <c r="A8853" s="15"/>
      <c r="R8853" s="15"/>
    </row>
    <row r="8854" spans="1:18" x14ac:dyDescent="0.25">
      <c r="A8854" s="15"/>
      <c r="R8854" s="15"/>
    </row>
    <row r="8855" spans="1:18" x14ac:dyDescent="0.25">
      <c r="A8855" s="15"/>
      <c r="R8855" s="15"/>
    </row>
    <row r="8856" spans="1:18" x14ac:dyDescent="0.25">
      <c r="A8856" s="15"/>
      <c r="R8856" s="15"/>
    </row>
    <row r="8857" spans="1:18" x14ac:dyDescent="0.25">
      <c r="A8857" s="15"/>
      <c r="R8857" s="15"/>
    </row>
    <row r="8858" spans="1:18" x14ac:dyDescent="0.25">
      <c r="A8858" s="15"/>
      <c r="R8858" s="15"/>
    </row>
    <row r="8859" spans="1:18" x14ac:dyDescent="0.25">
      <c r="A8859" s="15"/>
      <c r="R8859" s="15"/>
    </row>
    <row r="8860" spans="1:18" x14ac:dyDescent="0.25">
      <c r="A8860" s="15"/>
      <c r="R8860" s="15"/>
    </row>
    <row r="8861" spans="1:18" x14ac:dyDescent="0.25">
      <c r="A8861" s="15"/>
      <c r="R8861" s="15"/>
    </row>
    <row r="8862" spans="1:18" x14ac:dyDescent="0.25">
      <c r="A8862" s="15"/>
      <c r="R8862" s="15"/>
    </row>
    <row r="8863" spans="1:18" x14ac:dyDescent="0.25">
      <c r="A8863" s="15"/>
      <c r="R8863" s="15"/>
    </row>
    <row r="8864" spans="1:18" x14ac:dyDescent="0.25">
      <c r="A8864" s="15"/>
      <c r="R8864" s="15"/>
    </row>
    <row r="8865" spans="1:18" x14ac:dyDescent="0.25">
      <c r="A8865" s="15"/>
      <c r="R8865" s="15"/>
    </row>
    <row r="8866" spans="1:18" x14ac:dyDescent="0.25">
      <c r="A8866" s="15"/>
      <c r="R8866" s="15"/>
    </row>
    <row r="8867" spans="1:18" x14ac:dyDescent="0.25">
      <c r="A8867" s="15"/>
      <c r="R8867" s="15"/>
    </row>
    <row r="8868" spans="1:18" x14ac:dyDescent="0.25">
      <c r="A8868" s="15"/>
      <c r="R8868" s="15"/>
    </row>
    <row r="8869" spans="1:18" x14ac:dyDescent="0.25">
      <c r="A8869" s="15"/>
      <c r="R8869" s="15"/>
    </row>
    <row r="8870" spans="1:18" x14ac:dyDescent="0.25">
      <c r="A8870" s="15"/>
      <c r="R8870" s="15"/>
    </row>
    <row r="8871" spans="1:18" x14ac:dyDescent="0.25">
      <c r="A8871" s="15"/>
      <c r="R8871" s="15"/>
    </row>
    <row r="8872" spans="1:18" x14ac:dyDescent="0.25">
      <c r="A8872" s="15"/>
      <c r="R8872" s="15"/>
    </row>
    <row r="8873" spans="1:18" x14ac:dyDescent="0.25">
      <c r="A8873" s="15"/>
      <c r="R8873" s="15"/>
    </row>
    <row r="8874" spans="1:18" x14ac:dyDescent="0.25">
      <c r="A8874" s="15"/>
      <c r="R8874" s="15"/>
    </row>
    <row r="8875" spans="1:18" x14ac:dyDescent="0.25">
      <c r="A8875" s="15"/>
      <c r="R8875" s="15"/>
    </row>
    <row r="8876" spans="1:18" x14ac:dyDescent="0.25">
      <c r="A8876" s="15"/>
      <c r="R8876" s="15"/>
    </row>
    <row r="8877" spans="1:18" x14ac:dyDescent="0.25">
      <c r="A8877" s="15"/>
      <c r="R8877" s="15"/>
    </row>
    <row r="8878" spans="1:18" x14ac:dyDescent="0.25">
      <c r="A8878" s="15"/>
      <c r="R8878" s="15"/>
    </row>
    <row r="8879" spans="1:18" x14ac:dyDescent="0.25">
      <c r="A8879" s="15"/>
      <c r="R8879" s="15"/>
    </row>
    <row r="8880" spans="1:18" x14ac:dyDescent="0.25">
      <c r="A8880" s="15"/>
      <c r="R8880" s="15"/>
    </row>
    <row r="8881" spans="1:18" x14ac:dyDescent="0.25">
      <c r="A8881" s="15"/>
      <c r="R8881" s="15"/>
    </row>
    <row r="8882" spans="1:18" x14ac:dyDescent="0.25">
      <c r="A8882" s="15"/>
      <c r="R8882" s="15"/>
    </row>
    <row r="8883" spans="1:18" x14ac:dyDescent="0.25">
      <c r="A8883" s="15"/>
      <c r="R8883" s="15"/>
    </row>
    <row r="8884" spans="1:18" x14ac:dyDescent="0.25">
      <c r="A8884" s="15"/>
      <c r="R8884" s="15"/>
    </row>
    <row r="8885" spans="1:18" x14ac:dyDescent="0.25">
      <c r="A8885" s="15"/>
      <c r="R8885" s="15"/>
    </row>
    <row r="8886" spans="1:18" x14ac:dyDescent="0.25">
      <c r="A8886" s="15"/>
      <c r="R8886" s="15"/>
    </row>
    <row r="8887" spans="1:18" x14ac:dyDescent="0.25">
      <c r="A8887" s="15"/>
      <c r="R8887" s="15"/>
    </row>
    <row r="8888" spans="1:18" x14ac:dyDescent="0.25">
      <c r="A8888" s="15"/>
      <c r="R8888" s="15"/>
    </row>
    <row r="8889" spans="1:18" x14ac:dyDescent="0.25">
      <c r="A8889" s="15"/>
      <c r="R8889" s="15"/>
    </row>
    <row r="8890" spans="1:18" x14ac:dyDescent="0.25">
      <c r="A8890" s="15"/>
      <c r="R8890" s="15"/>
    </row>
    <row r="8891" spans="1:18" x14ac:dyDescent="0.25">
      <c r="A8891" s="15"/>
      <c r="R8891" s="15"/>
    </row>
    <row r="8892" spans="1:18" x14ac:dyDescent="0.25">
      <c r="A8892" s="15"/>
      <c r="R8892" s="15"/>
    </row>
    <row r="8893" spans="1:18" x14ac:dyDescent="0.25">
      <c r="A8893" s="15"/>
      <c r="R8893" s="15"/>
    </row>
    <row r="8894" spans="1:18" x14ac:dyDescent="0.25">
      <c r="A8894" s="15"/>
      <c r="R8894" s="15"/>
    </row>
    <row r="8895" spans="1:18" x14ac:dyDescent="0.25">
      <c r="A8895" s="15"/>
      <c r="R8895" s="15"/>
    </row>
    <row r="8896" spans="1:18" x14ac:dyDescent="0.25">
      <c r="A8896" s="15"/>
      <c r="R8896" s="15"/>
    </row>
    <row r="8897" spans="1:18" x14ac:dyDescent="0.25">
      <c r="A8897" s="15"/>
      <c r="R8897" s="15"/>
    </row>
    <row r="8898" spans="1:18" x14ac:dyDescent="0.25">
      <c r="A8898" s="15"/>
      <c r="R8898" s="15"/>
    </row>
    <row r="8899" spans="1:18" x14ac:dyDescent="0.25">
      <c r="A8899" s="15"/>
      <c r="R8899" s="15"/>
    </row>
    <row r="8900" spans="1:18" x14ac:dyDescent="0.25">
      <c r="A8900" s="15"/>
      <c r="R8900" s="15"/>
    </row>
    <row r="8901" spans="1:18" x14ac:dyDescent="0.25">
      <c r="A8901" s="15"/>
      <c r="R8901" s="15"/>
    </row>
    <row r="8902" spans="1:18" x14ac:dyDescent="0.25">
      <c r="A8902" s="15"/>
      <c r="R8902" s="15"/>
    </row>
    <row r="8903" spans="1:18" x14ac:dyDescent="0.25">
      <c r="A8903" s="15"/>
      <c r="R8903" s="15"/>
    </row>
    <row r="8904" spans="1:18" x14ac:dyDescent="0.25">
      <c r="A8904" s="15"/>
      <c r="R8904" s="15"/>
    </row>
    <row r="8905" spans="1:18" x14ac:dyDescent="0.25">
      <c r="A8905" s="15"/>
      <c r="R8905" s="15"/>
    </row>
    <row r="8906" spans="1:18" x14ac:dyDescent="0.25">
      <c r="A8906" s="15"/>
      <c r="R8906" s="15"/>
    </row>
    <row r="8907" spans="1:18" x14ac:dyDescent="0.25">
      <c r="A8907" s="15"/>
      <c r="R8907" s="15"/>
    </row>
    <row r="8908" spans="1:18" x14ac:dyDescent="0.25">
      <c r="A8908" s="15"/>
      <c r="R8908" s="15"/>
    </row>
    <row r="8909" spans="1:18" x14ac:dyDescent="0.25">
      <c r="A8909" s="15"/>
      <c r="R8909" s="15"/>
    </row>
    <row r="8910" spans="1:18" x14ac:dyDescent="0.25">
      <c r="A8910" s="15"/>
      <c r="R8910" s="15"/>
    </row>
    <row r="8911" spans="1:18" x14ac:dyDescent="0.25">
      <c r="A8911" s="15"/>
      <c r="R8911" s="15"/>
    </row>
    <row r="8912" spans="1:18" x14ac:dyDescent="0.25">
      <c r="A8912" s="15"/>
      <c r="R8912" s="15"/>
    </row>
    <row r="8913" spans="1:18" x14ac:dyDescent="0.25">
      <c r="A8913" s="15"/>
      <c r="R8913" s="15"/>
    </row>
    <row r="8914" spans="1:18" x14ac:dyDescent="0.25">
      <c r="A8914" s="15"/>
      <c r="R8914" s="15"/>
    </row>
    <row r="8915" spans="1:18" x14ac:dyDescent="0.25">
      <c r="A8915" s="15"/>
      <c r="R8915" s="15"/>
    </row>
    <row r="8916" spans="1:18" x14ac:dyDescent="0.25">
      <c r="A8916" s="15"/>
      <c r="R8916" s="15"/>
    </row>
    <row r="8917" spans="1:18" x14ac:dyDescent="0.25">
      <c r="A8917" s="15"/>
      <c r="R8917" s="15"/>
    </row>
    <row r="8918" spans="1:18" x14ac:dyDescent="0.25">
      <c r="A8918" s="15"/>
      <c r="R8918" s="15"/>
    </row>
    <row r="8919" spans="1:18" x14ac:dyDescent="0.25">
      <c r="A8919" s="15"/>
      <c r="R8919" s="15"/>
    </row>
    <row r="8920" spans="1:18" x14ac:dyDescent="0.25">
      <c r="A8920" s="15"/>
      <c r="R8920" s="15"/>
    </row>
    <row r="8921" spans="1:18" x14ac:dyDescent="0.25">
      <c r="A8921" s="15"/>
      <c r="R8921" s="15"/>
    </row>
    <row r="8922" spans="1:18" x14ac:dyDescent="0.25">
      <c r="A8922" s="15"/>
      <c r="R8922" s="15"/>
    </row>
    <row r="8923" spans="1:18" x14ac:dyDescent="0.25">
      <c r="A8923" s="15"/>
      <c r="R8923" s="15"/>
    </row>
    <row r="8924" spans="1:18" x14ac:dyDescent="0.25">
      <c r="A8924" s="15"/>
      <c r="R8924" s="15"/>
    </row>
    <row r="8925" spans="1:18" x14ac:dyDescent="0.25">
      <c r="A8925" s="15"/>
      <c r="R8925" s="15"/>
    </row>
    <row r="8926" spans="1:18" x14ac:dyDescent="0.25">
      <c r="A8926" s="15"/>
      <c r="R8926" s="15"/>
    </row>
    <row r="8927" spans="1:18" x14ac:dyDescent="0.25">
      <c r="A8927" s="15"/>
      <c r="R8927" s="15"/>
    </row>
    <row r="8928" spans="1:18" x14ac:dyDescent="0.25">
      <c r="A8928" s="15"/>
      <c r="R8928" s="15"/>
    </row>
    <row r="8929" spans="1:18" x14ac:dyDescent="0.25">
      <c r="A8929" s="15"/>
      <c r="R8929" s="15"/>
    </row>
    <row r="8930" spans="1:18" x14ac:dyDescent="0.25">
      <c r="A8930" s="15"/>
      <c r="R8930" s="15"/>
    </row>
    <row r="8931" spans="1:18" x14ac:dyDescent="0.25">
      <c r="A8931" s="15"/>
      <c r="R8931" s="15"/>
    </row>
    <row r="8932" spans="1:18" x14ac:dyDescent="0.25">
      <c r="A8932" s="15"/>
      <c r="R8932" s="15"/>
    </row>
    <row r="8933" spans="1:18" x14ac:dyDescent="0.25">
      <c r="A8933" s="15"/>
      <c r="R8933" s="15"/>
    </row>
    <row r="8934" spans="1:18" x14ac:dyDescent="0.25">
      <c r="A8934" s="15"/>
      <c r="R8934" s="15"/>
    </row>
    <row r="8935" spans="1:18" x14ac:dyDescent="0.25">
      <c r="A8935" s="15"/>
      <c r="R8935" s="15"/>
    </row>
    <row r="8936" spans="1:18" x14ac:dyDescent="0.25">
      <c r="A8936" s="15"/>
      <c r="R8936" s="15"/>
    </row>
    <row r="8937" spans="1:18" x14ac:dyDescent="0.25">
      <c r="A8937" s="15"/>
      <c r="R8937" s="15"/>
    </row>
    <row r="8938" spans="1:18" x14ac:dyDescent="0.25">
      <c r="A8938" s="15"/>
      <c r="R8938" s="15"/>
    </row>
    <row r="8939" spans="1:18" x14ac:dyDescent="0.25">
      <c r="A8939" s="15"/>
      <c r="R8939" s="15"/>
    </row>
    <row r="8940" spans="1:18" x14ac:dyDescent="0.25">
      <c r="A8940" s="15"/>
      <c r="R8940" s="15"/>
    </row>
    <row r="8941" spans="1:18" x14ac:dyDescent="0.25">
      <c r="A8941" s="15"/>
      <c r="R8941" s="15"/>
    </row>
    <row r="8942" spans="1:18" x14ac:dyDescent="0.25">
      <c r="A8942" s="15"/>
      <c r="R8942" s="15"/>
    </row>
    <row r="8943" spans="1:18" x14ac:dyDescent="0.25">
      <c r="A8943" s="15"/>
      <c r="R8943" s="15"/>
    </row>
    <row r="8944" spans="1:18" x14ac:dyDescent="0.25">
      <c r="A8944" s="15"/>
      <c r="R8944" s="15"/>
    </row>
    <row r="8945" spans="1:18" x14ac:dyDescent="0.25">
      <c r="A8945" s="15"/>
      <c r="R8945" s="15"/>
    </row>
    <row r="8946" spans="1:18" x14ac:dyDescent="0.25">
      <c r="A8946" s="15"/>
      <c r="R8946" s="15"/>
    </row>
    <row r="8947" spans="1:18" x14ac:dyDescent="0.25">
      <c r="A8947" s="15"/>
      <c r="R8947" s="15"/>
    </row>
    <row r="8948" spans="1:18" x14ac:dyDescent="0.25">
      <c r="A8948" s="15"/>
      <c r="R8948" s="15"/>
    </row>
    <row r="8949" spans="1:18" x14ac:dyDescent="0.25">
      <c r="A8949" s="15"/>
      <c r="R8949" s="15"/>
    </row>
    <row r="8950" spans="1:18" x14ac:dyDescent="0.25">
      <c r="A8950" s="15"/>
      <c r="R8950" s="15"/>
    </row>
    <row r="8951" spans="1:18" x14ac:dyDescent="0.25">
      <c r="A8951" s="15"/>
      <c r="R8951" s="15"/>
    </row>
    <row r="8952" spans="1:18" x14ac:dyDescent="0.25">
      <c r="A8952" s="15"/>
      <c r="R8952" s="15"/>
    </row>
    <row r="8953" spans="1:18" x14ac:dyDescent="0.25">
      <c r="A8953" s="15"/>
      <c r="R8953" s="15"/>
    </row>
    <row r="8954" spans="1:18" x14ac:dyDescent="0.25">
      <c r="A8954" s="15"/>
      <c r="R8954" s="15"/>
    </row>
    <row r="8955" spans="1:18" x14ac:dyDescent="0.25">
      <c r="A8955" s="15"/>
      <c r="R8955" s="15"/>
    </row>
    <row r="8956" spans="1:18" x14ac:dyDescent="0.25">
      <c r="A8956" s="15"/>
      <c r="R8956" s="15"/>
    </row>
    <row r="8957" spans="1:18" x14ac:dyDescent="0.25">
      <c r="A8957" s="15"/>
      <c r="R8957" s="15"/>
    </row>
    <row r="8958" spans="1:18" x14ac:dyDescent="0.25">
      <c r="A8958" s="15"/>
      <c r="R8958" s="15"/>
    </row>
    <row r="8959" spans="1:18" x14ac:dyDescent="0.25">
      <c r="A8959" s="15"/>
      <c r="R8959" s="15"/>
    </row>
    <row r="8960" spans="1:18" x14ac:dyDescent="0.25">
      <c r="A8960" s="15"/>
      <c r="R8960" s="15"/>
    </row>
    <row r="8961" spans="1:18" x14ac:dyDescent="0.25">
      <c r="A8961" s="15"/>
      <c r="R8961" s="15"/>
    </row>
    <row r="8962" spans="1:18" x14ac:dyDescent="0.25">
      <c r="A8962" s="15"/>
      <c r="R8962" s="15"/>
    </row>
    <row r="8963" spans="1:18" x14ac:dyDescent="0.25">
      <c r="A8963" s="15"/>
      <c r="R8963" s="15"/>
    </row>
    <row r="8964" spans="1:18" x14ac:dyDescent="0.25">
      <c r="A8964" s="15"/>
      <c r="R8964" s="15"/>
    </row>
    <row r="8965" spans="1:18" x14ac:dyDescent="0.25">
      <c r="A8965" s="15"/>
      <c r="R8965" s="15"/>
    </row>
    <row r="8966" spans="1:18" x14ac:dyDescent="0.25">
      <c r="A8966" s="15"/>
      <c r="R8966" s="15"/>
    </row>
    <row r="8967" spans="1:18" x14ac:dyDescent="0.25">
      <c r="A8967" s="15"/>
      <c r="R8967" s="15"/>
    </row>
    <row r="8968" spans="1:18" x14ac:dyDescent="0.25">
      <c r="A8968" s="15"/>
      <c r="R8968" s="15"/>
    </row>
    <row r="8969" spans="1:18" x14ac:dyDescent="0.25">
      <c r="A8969" s="15"/>
      <c r="R8969" s="15"/>
    </row>
    <row r="8970" spans="1:18" x14ac:dyDescent="0.25">
      <c r="A8970" s="15"/>
      <c r="R8970" s="15"/>
    </row>
    <row r="8971" spans="1:18" x14ac:dyDescent="0.25">
      <c r="A8971" s="15"/>
      <c r="R8971" s="15"/>
    </row>
    <row r="8972" spans="1:18" x14ac:dyDescent="0.25">
      <c r="A8972" s="15"/>
      <c r="R8972" s="15"/>
    </row>
    <row r="8973" spans="1:18" x14ac:dyDescent="0.25">
      <c r="A8973" s="15"/>
      <c r="R8973" s="15"/>
    </row>
    <row r="8974" spans="1:18" x14ac:dyDescent="0.25">
      <c r="A8974" s="15"/>
      <c r="R8974" s="15"/>
    </row>
    <row r="8975" spans="1:18" x14ac:dyDescent="0.25">
      <c r="A8975" s="15"/>
      <c r="R8975" s="15"/>
    </row>
    <row r="8976" spans="1:18" x14ac:dyDescent="0.25">
      <c r="A8976" s="15"/>
      <c r="R8976" s="15"/>
    </row>
    <row r="8977" spans="1:18" x14ac:dyDescent="0.25">
      <c r="A8977" s="15"/>
      <c r="R8977" s="15"/>
    </row>
    <row r="8978" spans="1:18" x14ac:dyDescent="0.25">
      <c r="A8978" s="15"/>
      <c r="R8978" s="15"/>
    </row>
    <row r="8979" spans="1:18" x14ac:dyDescent="0.25">
      <c r="A8979" s="15"/>
      <c r="R8979" s="15"/>
    </row>
    <row r="8980" spans="1:18" x14ac:dyDescent="0.25">
      <c r="A8980" s="15"/>
      <c r="R8980" s="15"/>
    </row>
    <row r="8981" spans="1:18" x14ac:dyDescent="0.25">
      <c r="A8981" s="15"/>
      <c r="R8981" s="15"/>
    </row>
    <row r="8982" spans="1:18" x14ac:dyDescent="0.25">
      <c r="A8982" s="15"/>
      <c r="R8982" s="15"/>
    </row>
    <row r="8983" spans="1:18" x14ac:dyDescent="0.25">
      <c r="A8983" s="15"/>
      <c r="R8983" s="15"/>
    </row>
    <row r="8984" spans="1:18" x14ac:dyDescent="0.25">
      <c r="A8984" s="15"/>
      <c r="R8984" s="15"/>
    </row>
    <row r="8985" spans="1:18" x14ac:dyDescent="0.25">
      <c r="A8985" s="15"/>
      <c r="R8985" s="15"/>
    </row>
    <row r="8986" spans="1:18" x14ac:dyDescent="0.25">
      <c r="A8986" s="15"/>
      <c r="R8986" s="15"/>
    </row>
    <row r="8987" spans="1:18" x14ac:dyDescent="0.25">
      <c r="A8987" s="15"/>
      <c r="R8987" s="15"/>
    </row>
    <row r="8988" spans="1:18" x14ac:dyDescent="0.25">
      <c r="A8988" s="15"/>
      <c r="R8988" s="15"/>
    </row>
    <row r="8989" spans="1:18" x14ac:dyDescent="0.25">
      <c r="A8989" s="15"/>
      <c r="R8989" s="15"/>
    </row>
    <row r="8990" spans="1:18" x14ac:dyDescent="0.25">
      <c r="A8990" s="15"/>
      <c r="R8990" s="15"/>
    </row>
    <row r="8991" spans="1:18" x14ac:dyDescent="0.25">
      <c r="A8991" s="15"/>
      <c r="R8991" s="15"/>
    </row>
    <row r="8992" spans="1:18" x14ac:dyDescent="0.25">
      <c r="A8992" s="15"/>
      <c r="R8992" s="15"/>
    </row>
    <row r="8993" spans="1:18" x14ac:dyDescent="0.25">
      <c r="A8993" s="15"/>
      <c r="R8993" s="15"/>
    </row>
    <row r="8994" spans="1:18" x14ac:dyDescent="0.25">
      <c r="A8994" s="15"/>
      <c r="R8994" s="15"/>
    </row>
    <row r="8995" spans="1:18" x14ac:dyDescent="0.25">
      <c r="A8995" s="15"/>
      <c r="R8995" s="15"/>
    </row>
    <row r="8996" spans="1:18" x14ac:dyDescent="0.25">
      <c r="A8996" s="15"/>
      <c r="R8996" s="15"/>
    </row>
    <row r="8997" spans="1:18" x14ac:dyDescent="0.25">
      <c r="A8997" s="15"/>
      <c r="R8997" s="15"/>
    </row>
    <row r="8998" spans="1:18" x14ac:dyDescent="0.25">
      <c r="A8998" s="15"/>
      <c r="R8998" s="15"/>
    </row>
    <row r="8999" spans="1:18" x14ac:dyDescent="0.25">
      <c r="A8999" s="15"/>
      <c r="R8999" s="15"/>
    </row>
    <row r="9000" spans="1:18" x14ac:dyDescent="0.25">
      <c r="A9000" s="15"/>
      <c r="R9000" s="15"/>
    </row>
    <row r="9001" spans="1:18" x14ac:dyDescent="0.25">
      <c r="A9001" s="15"/>
      <c r="R9001" s="15"/>
    </row>
    <row r="9002" spans="1:18" x14ac:dyDescent="0.25">
      <c r="A9002" s="15"/>
      <c r="R9002" s="15"/>
    </row>
    <row r="9003" spans="1:18" x14ac:dyDescent="0.25">
      <c r="A9003" s="15"/>
      <c r="R9003" s="15"/>
    </row>
    <row r="9004" spans="1:18" x14ac:dyDescent="0.25">
      <c r="A9004" s="15"/>
      <c r="R9004" s="15"/>
    </row>
    <row r="9005" spans="1:18" x14ac:dyDescent="0.25">
      <c r="A9005" s="15"/>
      <c r="R9005" s="15"/>
    </row>
    <row r="9006" spans="1:18" x14ac:dyDescent="0.25">
      <c r="A9006" s="15"/>
      <c r="R9006" s="15"/>
    </row>
    <row r="9007" spans="1:18" x14ac:dyDescent="0.25">
      <c r="A9007" s="15"/>
      <c r="R9007" s="15"/>
    </row>
    <row r="9008" spans="1:18" x14ac:dyDescent="0.25">
      <c r="A9008" s="15"/>
      <c r="R9008" s="15"/>
    </row>
    <row r="9009" spans="1:18" x14ac:dyDescent="0.25">
      <c r="A9009" s="15"/>
      <c r="R9009" s="15"/>
    </row>
    <row r="9010" spans="1:18" x14ac:dyDescent="0.25">
      <c r="A9010" s="15"/>
      <c r="R9010" s="15"/>
    </row>
    <row r="9011" spans="1:18" x14ac:dyDescent="0.25">
      <c r="A9011" s="15"/>
      <c r="R9011" s="15"/>
    </row>
    <row r="9012" spans="1:18" x14ac:dyDescent="0.25">
      <c r="A9012" s="15"/>
      <c r="R9012" s="15"/>
    </row>
    <row r="9013" spans="1:18" x14ac:dyDescent="0.25">
      <c r="A9013" s="15"/>
      <c r="R9013" s="15"/>
    </row>
    <row r="9014" spans="1:18" x14ac:dyDescent="0.25">
      <c r="A9014" s="15"/>
      <c r="R9014" s="15"/>
    </row>
    <row r="9015" spans="1:18" x14ac:dyDescent="0.25">
      <c r="A9015" s="15"/>
      <c r="R9015" s="15"/>
    </row>
    <row r="9016" spans="1:18" x14ac:dyDescent="0.25">
      <c r="A9016" s="15"/>
      <c r="R9016" s="15"/>
    </row>
    <row r="9017" spans="1:18" x14ac:dyDescent="0.25">
      <c r="A9017" s="15"/>
      <c r="R9017" s="15"/>
    </row>
    <row r="9018" spans="1:18" x14ac:dyDescent="0.25">
      <c r="A9018" s="15"/>
      <c r="R9018" s="15"/>
    </row>
    <row r="9019" spans="1:18" x14ac:dyDescent="0.25">
      <c r="A9019" s="15"/>
      <c r="R9019" s="15"/>
    </row>
    <row r="9020" spans="1:18" x14ac:dyDescent="0.25">
      <c r="A9020" s="15"/>
      <c r="R9020" s="15"/>
    </row>
    <row r="9021" spans="1:18" x14ac:dyDescent="0.25">
      <c r="A9021" s="15"/>
      <c r="R9021" s="15"/>
    </row>
    <row r="9022" spans="1:18" x14ac:dyDescent="0.25">
      <c r="A9022" s="15"/>
      <c r="R9022" s="15"/>
    </row>
    <row r="9023" spans="1:18" x14ac:dyDescent="0.25">
      <c r="A9023" s="15"/>
      <c r="R9023" s="15"/>
    </row>
    <row r="9024" spans="1:18" x14ac:dyDescent="0.25">
      <c r="A9024" s="15"/>
      <c r="R9024" s="15"/>
    </row>
    <row r="9025" spans="1:18" x14ac:dyDescent="0.25">
      <c r="A9025" s="15"/>
      <c r="R9025" s="15"/>
    </row>
    <row r="9026" spans="1:18" x14ac:dyDescent="0.25">
      <c r="A9026" s="15"/>
      <c r="R9026" s="15"/>
    </row>
    <row r="9027" spans="1:18" x14ac:dyDescent="0.25">
      <c r="A9027" s="15"/>
      <c r="R9027" s="15"/>
    </row>
    <row r="9028" spans="1:18" x14ac:dyDescent="0.25">
      <c r="A9028" s="15"/>
      <c r="R9028" s="15"/>
    </row>
    <row r="9029" spans="1:18" x14ac:dyDescent="0.25">
      <c r="A9029" s="15"/>
      <c r="R9029" s="15"/>
    </row>
    <row r="9030" spans="1:18" x14ac:dyDescent="0.25">
      <c r="A9030" s="15"/>
      <c r="R9030" s="15"/>
    </row>
    <row r="9031" spans="1:18" x14ac:dyDescent="0.25">
      <c r="A9031" s="15"/>
      <c r="R9031" s="15"/>
    </row>
    <row r="9032" spans="1:18" x14ac:dyDescent="0.25">
      <c r="A9032" s="15"/>
      <c r="R9032" s="15"/>
    </row>
    <row r="9033" spans="1:18" x14ac:dyDescent="0.25">
      <c r="A9033" s="15"/>
      <c r="R9033" s="15"/>
    </row>
    <row r="9034" spans="1:18" x14ac:dyDescent="0.25">
      <c r="A9034" s="15"/>
      <c r="R9034" s="15"/>
    </row>
    <row r="9035" spans="1:18" x14ac:dyDescent="0.25">
      <c r="A9035" s="15"/>
      <c r="R9035" s="15"/>
    </row>
    <row r="9036" spans="1:18" x14ac:dyDescent="0.25">
      <c r="A9036" s="15"/>
      <c r="R9036" s="15"/>
    </row>
    <row r="9037" spans="1:18" x14ac:dyDescent="0.25">
      <c r="A9037" s="15"/>
      <c r="R9037" s="15"/>
    </row>
    <row r="9038" spans="1:18" x14ac:dyDescent="0.25">
      <c r="A9038" s="15"/>
      <c r="R9038" s="15"/>
    </row>
    <row r="9039" spans="1:18" x14ac:dyDescent="0.25">
      <c r="A9039" s="15"/>
      <c r="R9039" s="15"/>
    </row>
    <row r="9040" spans="1:18" x14ac:dyDescent="0.25">
      <c r="A9040" s="15"/>
      <c r="R9040" s="15"/>
    </row>
    <row r="9041" spans="1:18" x14ac:dyDescent="0.25">
      <c r="A9041" s="15"/>
      <c r="R9041" s="15"/>
    </row>
    <row r="9042" spans="1:18" x14ac:dyDescent="0.25">
      <c r="A9042" s="15"/>
      <c r="R9042" s="15"/>
    </row>
    <row r="9043" spans="1:18" x14ac:dyDescent="0.25">
      <c r="A9043" s="15"/>
      <c r="R9043" s="15"/>
    </row>
    <row r="9044" spans="1:18" x14ac:dyDescent="0.25">
      <c r="A9044" s="15"/>
      <c r="R9044" s="15"/>
    </row>
    <row r="9045" spans="1:18" x14ac:dyDescent="0.25">
      <c r="A9045" s="15"/>
      <c r="R9045" s="15"/>
    </row>
    <row r="9046" spans="1:18" x14ac:dyDescent="0.25">
      <c r="A9046" s="15"/>
      <c r="R9046" s="15"/>
    </row>
    <row r="9047" spans="1:18" x14ac:dyDescent="0.25">
      <c r="A9047" s="15"/>
      <c r="R9047" s="15"/>
    </row>
    <row r="9048" spans="1:18" x14ac:dyDescent="0.25">
      <c r="A9048" s="15"/>
      <c r="R9048" s="15"/>
    </row>
    <row r="9049" spans="1:18" x14ac:dyDescent="0.25">
      <c r="A9049" s="15"/>
      <c r="R9049" s="15"/>
    </row>
    <row r="9050" spans="1:18" x14ac:dyDescent="0.25">
      <c r="A9050" s="15"/>
      <c r="R9050" s="15"/>
    </row>
    <row r="9051" spans="1:18" x14ac:dyDescent="0.25">
      <c r="A9051" s="15"/>
      <c r="R9051" s="15"/>
    </row>
    <row r="9052" spans="1:18" x14ac:dyDescent="0.25">
      <c r="A9052" s="15"/>
      <c r="R9052" s="15"/>
    </row>
    <row r="9053" spans="1:18" x14ac:dyDescent="0.25">
      <c r="A9053" s="15"/>
      <c r="R9053" s="15"/>
    </row>
    <row r="9054" spans="1:18" x14ac:dyDescent="0.25">
      <c r="A9054" s="15"/>
      <c r="R9054" s="15"/>
    </row>
    <row r="9055" spans="1:18" x14ac:dyDescent="0.25">
      <c r="A9055" s="15"/>
      <c r="R9055" s="15"/>
    </row>
    <row r="9056" spans="1:18" x14ac:dyDescent="0.25">
      <c r="A9056" s="15"/>
      <c r="R9056" s="15"/>
    </row>
    <row r="9057" spans="1:18" x14ac:dyDescent="0.25">
      <c r="A9057" s="15"/>
      <c r="R9057" s="15"/>
    </row>
    <row r="9058" spans="1:18" x14ac:dyDescent="0.25">
      <c r="A9058" s="15"/>
      <c r="R9058" s="15"/>
    </row>
    <row r="9059" spans="1:18" x14ac:dyDescent="0.25">
      <c r="A9059" s="15"/>
      <c r="R9059" s="15"/>
    </row>
    <row r="9060" spans="1:18" x14ac:dyDescent="0.25">
      <c r="A9060" s="15"/>
      <c r="R9060" s="15"/>
    </row>
    <row r="9061" spans="1:18" x14ac:dyDescent="0.25">
      <c r="A9061" s="15"/>
      <c r="R9061" s="15"/>
    </row>
    <row r="9062" spans="1:18" x14ac:dyDescent="0.25">
      <c r="A9062" s="15"/>
      <c r="R9062" s="15"/>
    </row>
    <row r="9063" spans="1:18" x14ac:dyDescent="0.25">
      <c r="A9063" s="15"/>
      <c r="R9063" s="15"/>
    </row>
    <row r="9064" spans="1:18" x14ac:dyDescent="0.25">
      <c r="A9064" s="15"/>
      <c r="R9064" s="15"/>
    </row>
    <row r="9065" spans="1:18" x14ac:dyDescent="0.25">
      <c r="A9065" s="15"/>
      <c r="R9065" s="15"/>
    </row>
    <row r="9066" spans="1:18" x14ac:dyDescent="0.25">
      <c r="A9066" s="15"/>
      <c r="R9066" s="15"/>
    </row>
    <row r="9067" spans="1:18" x14ac:dyDescent="0.25">
      <c r="A9067" s="15"/>
      <c r="R9067" s="15"/>
    </row>
    <row r="9068" spans="1:18" x14ac:dyDescent="0.25">
      <c r="A9068" s="15"/>
      <c r="R9068" s="15"/>
    </row>
    <row r="9069" spans="1:18" x14ac:dyDescent="0.25">
      <c r="A9069" s="15"/>
      <c r="R9069" s="15"/>
    </row>
    <row r="9070" spans="1:18" x14ac:dyDescent="0.25">
      <c r="A9070" s="15"/>
      <c r="R9070" s="15"/>
    </row>
    <row r="9071" spans="1:18" x14ac:dyDescent="0.25">
      <c r="A9071" s="15"/>
      <c r="R9071" s="15"/>
    </row>
    <row r="9072" spans="1:18" x14ac:dyDescent="0.25">
      <c r="A9072" s="15"/>
      <c r="R9072" s="15"/>
    </row>
    <row r="9073" spans="1:18" x14ac:dyDescent="0.25">
      <c r="A9073" s="15"/>
      <c r="R9073" s="15"/>
    </row>
    <row r="9074" spans="1:18" x14ac:dyDescent="0.25">
      <c r="A9074" s="15"/>
      <c r="R9074" s="15"/>
    </row>
    <row r="9075" spans="1:18" x14ac:dyDescent="0.25">
      <c r="A9075" s="15"/>
      <c r="R9075" s="15"/>
    </row>
    <row r="9076" spans="1:18" x14ac:dyDescent="0.25">
      <c r="A9076" s="15"/>
      <c r="R9076" s="15"/>
    </row>
    <row r="9077" spans="1:18" x14ac:dyDescent="0.25">
      <c r="A9077" s="15"/>
      <c r="R9077" s="15"/>
    </row>
    <row r="9078" spans="1:18" x14ac:dyDescent="0.25">
      <c r="A9078" s="15"/>
      <c r="R9078" s="15"/>
    </row>
    <row r="9079" spans="1:18" x14ac:dyDescent="0.25">
      <c r="A9079" s="15"/>
      <c r="R9079" s="15"/>
    </row>
    <row r="9080" spans="1:18" x14ac:dyDescent="0.25">
      <c r="A9080" s="15"/>
      <c r="R9080" s="15"/>
    </row>
    <row r="9081" spans="1:18" x14ac:dyDescent="0.25">
      <c r="A9081" s="15"/>
      <c r="R9081" s="15"/>
    </row>
    <row r="9082" spans="1:18" x14ac:dyDescent="0.25">
      <c r="A9082" s="15"/>
      <c r="R9082" s="15"/>
    </row>
    <row r="9083" spans="1:18" x14ac:dyDescent="0.25">
      <c r="A9083" s="15"/>
      <c r="R9083" s="15"/>
    </row>
    <row r="9084" spans="1:18" x14ac:dyDescent="0.25">
      <c r="A9084" s="15"/>
      <c r="R9084" s="15"/>
    </row>
    <row r="9085" spans="1:18" x14ac:dyDescent="0.25">
      <c r="A9085" s="15"/>
      <c r="R9085" s="15"/>
    </row>
    <row r="9086" spans="1:18" x14ac:dyDescent="0.25">
      <c r="A9086" s="15"/>
      <c r="R9086" s="15"/>
    </row>
    <row r="9087" spans="1:18" x14ac:dyDescent="0.25">
      <c r="A9087" s="15"/>
      <c r="R9087" s="15"/>
    </row>
    <row r="9088" spans="1:18" x14ac:dyDescent="0.25">
      <c r="A9088" s="15"/>
      <c r="R9088" s="15"/>
    </row>
    <row r="9089" spans="1:18" x14ac:dyDescent="0.25">
      <c r="A9089" s="15"/>
      <c r="R9089" s="15"/>
    </row>
    <row r="9090" spans="1:18" x14ac:dyDescent="0.25">
      <c r="A9090" s="15"/>
      <c r="R9090" s="15"/>
    </row>
    <row r="9091" spans="1:18" x14ac:dyDescent="0.25">
      <c r="A9091" s="15"/>
      <c r="R9091" s="15"/>
    </row>
    <row r="9092" spans="1:18" x14ac:dyDescent="0.25">
      <c r="A9092" s="15"/>
      <c r="R9092" s="15"/>
    </row>
    <row r="9093" spans="1:18" x14ac:dyDescent="0.25">
      <c r="A9093" s="15"/>
      <c r="R9093" s="15"/>
    </row>
    <row r="9094" spans="1:18" x14ac:dyDescent="0.25">
      <c r="A9094" s="15"/>
      <c r="R9094" s="15"/>
    </row>
    <row r="9095" spans="1:18" x14ac:dyDescent="0.25">
      <c r="A9095" s="15"/>
      <c r="R9095" s="15"/>
    </row>
    <row r="9096" spans="1:18" x14ac:dyDescent="0.25">
      <c r="A9096" s="15"/>
      <c r="R9096" s="15"/>
    </row>
    <row r="9097" spans="1:18" x14ac:dyDescent="0.25">
      <c r="A9097" s="15"/>
      <c r="R9097" s="15"/>
    </row>
    <row r="9098" spans="1:18" x14ac:dyDescent="0.25">
      <c r="A9098" s="15"/>
      <c r="R9098" s="15"/>
    </row>
    <row r="9099" spans="1:18" x14ac:dyDescent="0.25">
      <c r="A9099" s="15"/>
      <c r="R9099" s="15"/>
    </row>
    <row r="9100" spans="1:18" x14ac:dyDescent="0.25">
      <c r="A9100" s="15"/>
      <c r="R9100" s="15"/>
    </row>
    <row r="9101" spans="1:18" x14ac:dyDescent="0.25">
      <c r="A9101" s="15"/>
      <c r="R9101" s="15"/>
    </row>
    <row r="9102" spans="1:18" x14ac:dyDescent="0.25">
      <c r="A9102" s="15"/>
      <c r="R9102" s="15"/>
    </row>
    <row r="9103" spans="1:18" x14ac:dyDescent="0.25">
      <c r="A9103" s="15"/>
      <c r="R9103" s="15"/>
    </row>
    <row r="9104" spans="1:18" x14ac:dyDescent="0.25">
      <c r="A9104" s="15"/>
      <c r="R9104" s="15"/>
    </row>
    <row r="9105" spans="1:18" x14ac:dyDescent="0.25">
      <c r="A9105" s="15"/>
      <c r="R9105" s="15"/>
    </row>
    <row r="9106" spans="1:18" x14ac:dyDescent="0.25">
      <c r="A9106" s="15"/>
      <c r="R9106" s="15"/>
    </row>
    <row r="9107" spans="1:18" x14ac:dyDescent="0.25">
      <c r="A9107" s="15"/>
      <c r="R9107" s="15"/>
    </row>
    <row r="9108" spans="1:18" x14ac:dyDescent="0.25">
      <c r="A9108" s="15"/>
      <c r="R9108" s="15"/>
    </row>
    <row r="9109" spans="1:18" x14ac:dyDescent="0.25">
      <c r="A9109" s="15"/>
      <c r="R9109" s="15"/>
    </row>
    <row r="9110" spans="1:18" x14ac:dyDescent="0.25">
      <c r="A9110" s="15"/>
      <c r="R9110" s="15"/>
    </row>
    <row r="9111" spans="1:18" x14ac:dyDescent="0.25">
      <c r="A9111" s="15"/>
      <c r="R9111" s="15"/>
    </row>
    <row r="9112" spans="1:18" x14ac:dyDescent="0.25">
      <c r="A9112" s="15"/>
      <c r="R9112" s="15"/>
    </row>
    <row r="9113" spans="1:18" x14ac:dyDescent="0.25">
      <c r="A9113" s="15"/>
      <c r="R9113" s="15"/>
    </row>
    <row r="9114" spans="1:18" x14ac:dyDescent="0.25">
      <c r="A9114" s="15"/>
      <c r="R9114" s="15"/>
    </row>
    <row r="9115" spans="1:18" x14ac:dyDescent="0.25">
      <c r="A9115" s="15"/>
      <c r="R9115" s="15"/>
    </row>
    <row r="9116" spans="1:18" x14ac:dyDescent="0.25">
      <c r="A9116" s="15"/>
      <c r="R9116" s="15"/>
    </row>
    <row r="9117" spans="1:18" x14ac:dyDescent="0.25">
      <c r="A9117" s="15"/>
      <c r="R9117" s="15"/>
    </row>
    <row r="9118" spans="1:18" x14ac:dyDescent="0.25">
      <c r="A9118" s="15"/>
      <c r="R9118" s="15"/>
    </row>
    <row r="9119" spans="1:18" x14ac:dyDescent="0.25">
      <c r="A9119" s="15"/>
      <c r="R9119" s="15"/>
    </row>
    <row r="9120" spans="1:18" x14ac:dyDescent="0.25">
      <c r="A9120" s="15"/>
      <c r="R9120" s="15"/>
    </row>
    <row r="9121" spans="1:18" x14ac:dyDescent="0.25">
      <c r="A9121" s="15"/>
      <c r="R9121" s="15"/>
    </row>
    <row r="9122" spans="1:18" x14ac:dyDescent="0.25">
      <c r="A9122" s="15"/>
      <c r="R9122" s="15"/>
    </row>
    <row r="9123" spans="1:18" x14ac:dyDescent="0.25">
      <c r="A9123" s="15"/>
      <c r="R9123" s="15"/>
    </row>
    <row r="9124" spans="1:18" x14ac:dyDescent="0.25">
      <c r="A9124" s="15"/>
      <c r="R9124" s="15"/>
    </row>
    <row r="9125" spans="1:18" x14ac:dyDescent="0.25">
      <c r="A9125" s="15"/>
      <c r="R9125" s="15"/>
    </row>
    <row r="9126" spans="1:18" x14ac:dyDescent="0.25">
      <c r="A9126" s="15"/>
      <c r="R9126" s="15"/>
    </row>
    <row r="9127" spans="1:18" x14ac:dyDescent="0.25">
      <c r="A9127" s="15"/>
      <c r="R9127" s="15"/>
    </row>
    <row r="9128" spans="1:18" x14ac:dyDescent="0.25">
      <c r="A9128" s="15"/>
      <c r="R9128" s="15"/>
    </row>
    <row r="9129" spans="1:18" x14ac:dyDescent="0.25">
      <c r="A9129" s="15"/>
      <c r="R9129" s="15"/>
    </row>
    <row r="9130" spans="1:18" x14ac:dyDescent="0.25">
      <c r="A9130" s="15"/>
      <c r="R9130" s="15"/>
    </row>
    <row r="9131" spans="1:18" x14ac:dyDescent="0.25">
      <c r="A9131" s="15"/>
      <c r="R9131" s="15"/>
    </row>
    <row r="9132" spans="1:18" x14ac:dyDescent="0.25">
      <c r="A9132" s="15"/>
      <c r="R9132" s="15"/>
    </row>
    <row r="9133" spans="1:18" x14ac:dyDescent="0.25">
      <c r="A9133" s="15"/>
      <c r="R9133" s="15"/>
    </row>
    <row r="9134" spans="1:18" x14ac:dyDescent="0.25">
      <c r="A9134" s="15"/>
      <c r="R9134" s="15"/>
    </row>
    <row r="9135" spans="1:18" x14ac:dyDescent="0.25">
      <c r="A9135" s="15"/>
      <c r="R9135" s="15"/>
    </row>
    <row r="9136" spans="1:18" x14ac:dyDescent="0.25">
      <c r="A9136" s="15"/>
      <c r="R9136" s="15"/>
    </row>
    <row r="9137" spans="1:18" x14ac:dyDescent="0.25">
      <c r="A9137" s="15"/>
      <c r="R9137" s="15"/>
    </row>
    <row r="9138" spans="1:18" x14ac:dyDescent="0.25">
      <c r="A9138" s="15"/>
      <c r="R9138" s="15"/>
    </row>
    <row r="9139" spans="1:18" x14ac:dyDescent="0.25">
      <c r="A9139" s="15"/>
      <c r="R9139" s="15"/>
    </row>
    <row r="9140" spans="1:18" x14ac:dyDescent="0.25">
      <c r="A9140" s="15"/>
      <c r="R9140" s="15"/>
    </row>
    <row r="9141" spans="1:18" x14ac:dyDescent="0.25">
      <c r="A9141" s="15"/>
      <c r="R9141" s="15"/>
    </row>
    <row r="9142" spans="1:18" x14ac:dyDescent="0.25">
      <c r="A9142" s="15"/>
      <c r="R9142" s="15"/>
    </row>
    <row r="9143" spans="1:18" x14ac:dyDescent="0.25">
      <c r="A9143" s="15"/>
      <c r="R9143" s="15"/>
    </row>
    <row r="9144" spans="1:18" x14ac:dyDescent="0.25">
      <c r="A9144" s="15"/>
      <c r="R9144" s="15"/>
    </row>
    <row r="9145" spans="1:18" x14ac:dyDescent="0.25">
      <c r="A9145" s="15"/>
      <c r="R9145" s="15"/>
    </row>
    <row r="9146" spans="1:18" x14ac:dyDescent="0.25">
      <c r="A9146" s="15"/>
      <c r="R9146" s="15"/>
    </row>
    <row r="9147" spans="1:18" x14ac:dyDescent="0.25">
      <c r="A9147" s="15"/>
      <c r="R9147" s="15"/>
    </row>
    <row r="9148" spans="1:18" x14ac:dyDescent="0.25">
      <c r="A9148" s="15"/>
      <c r="R9148" s="15"/>
    </row>
    <row r="9149" spans="1:18" x14ac:dyDescent="0.25">
      <c r="A9149" s="15"/>
      <c r="R9149" s="15"/>
    </row>
    <row r="9150" spans="1:18" x14ac:dyDescent="0.25">
      <c r="A9150" s="15"/>
      <c r="R9150" s="15"/>
    </row>
    <row r="9151" spans="1:18" x14ac:dyDescent="0.25">
      <c r="A9151" s="15"/>
      <c r="R9151" s="15"/>
    </row>
    <row r="9152" spans="1:18" x14ac:dyDescent="0.25">
      <c r="A9152" s="15"/>
      <c r="R9152" s="15"/>
    </row>
    <row r="9153" spans="1:18" x14ac:dyDescent="0.25">
      <c r="A9153" s="15"/>
      <c r="R9153" s="15"/>
    </row>
    <row r="9154" spans="1:18" x14ac:dyDescent="0.25">
      <c r="A9154" s="15"/>
      <c r="R9154" s="15"/>
    </row>
    <row r="9155" spans="1:18" x14ac:dyDescent="0.25">
      <c r="A9155" s="15"/>
      <c r="R9155" s="15"/>
    </row>
    <row r="9156" spans="1:18" x14ac:dyDescent="0.25">
      <c r="A9156" s="15"/>
      <c r="R9156" s="15"/>
    </row>
    <row r="9157" spans="1:18" x14ac:dyDescent="0.25">
      <c r="A9157" s="15"/>
      <c r="R9157" s="15"/>
    </row>
    <row r="9158" spans="1:18" x14ac:dyDescent="0.25">
      <c r="A9158" s="15"/>
      <c r="R9158" s="15"/>
    </row>
    <row r="9159" spans="1:18" x14ac:dyDescent="0.25">
      <c r="A9159" s="15"/>
      <c r="R9159" s="15"/>
    </row>
    <row r="9160" spans="1:18" x14ac:dyDescent="0.25">
      <c r="A9160" s="15"/>
      <c r="R9160" s="15"/>
    </row>
    <row r="9161" spans="1:18" x14ac:dyDescent="0.25">
      <c r="A9161" s="15"/>
      <c r="R9161" s="15"/>
    </row>
    <row r="9162" spans="1:18" x14ac:dyDescent="0.25">
      <c r="A9162" s="15"/>
      <c r="R9162" s="15"/>
    </row>
    <row r="9163" spans="1:18" x14ac:dyDescent="0.25">
      <c r="A9163" s="15"/>
      <c r="R9163" s="15"/>
    </row>
    <row r="9164" spans="1:18" x14ac:dyDescent="0.25">
      <c r="A9164" s="15"/>
      <c r="R9164" s="15"/>
    </row>
    <row r="9165" spans="1:18" x14ac:dyDescent="0.25">
      <c r="A9165" s="15"/>
      <c r="R9165" s="15"/>
    </row>
    <row r="9166" spans="1:18" x14ac:dyDescent="0.25">
      <c r="A9166" s="15"/>
      <c r="R9166" s="15"/>
    </row>
    <row r="9167" spans="1:18" x14ac:dyDescent="0.25">
      <c r="A9167" s="15"/>
      <c r="R9167" s="15"/>
    </row>
    <row r="9168" spans="1:18" x14ac:dyDescent="0.25">
      <c r="A9168" s="15"/>
      <c r="R9168" s="15"/>
    </row>
    <row r="9169" spans="1:18" x14ac:dyDescent="0.25">
      <c r="A9169" s="15"/>
      <c r="R9169" s="15"/>
    </row>
    <row r="9170" spans="1:18" x14ac:dyDescent="0.25">
      <c r="A9170" s="15"/>
      <c r="R9170" s="15"/>
    </row>
    <row r="9171" spans="1:18" x14ac:dyDescent="0.25">
      <c r="A9171" s="15"/>
      <c r="R9171" s="15"/>
    </row>
    <row r="9172" spans="1:18" x14ac:dyDescent="0.25">
      <c r="A9172" s="15"/>
      <c r="R9172" s="15"/>
    </row>
    <row r="9173" spans="1:18" x14ac:dyDescent="0.25">
      <c r="A9173" s="15"/>
      <c r="R9173" s="15"/>
    </row>
    <row r="9174" spans="1:18" x14ac:dyDescent="0.25">
      <c r="A9174" s="15"/>
      <c r="R9174" s="15"/>
    </row>
    <row r="9175" spans="1:18" x14ac:dyDescent="0.25">
      <c r="A9175" s="15"/>
      <c r="R9175" s="15"/>
    </row>
    <row r="9176" spans="1:18" x14ac:dyDescent="0.25">
      <c r="A9176" s="15"/>
      <c r="R9176" s="15"/>
    </row>
    <row r="9177" spans="1:18" x14ac:dyDescent="0.25">
      <c r="A9177" s="15"/>
      <c r="R9177" s="15"/>
    </row>
    <row r="9178" spans="1:18" x14ac:dyDescent="0.25">
      <c r="A9178" s="15"/>
      <c r="R9178" s="15"/>
    </row>
    <row r="9179" spans="1:18" x14ac:dyDescent="0.25">
      <c r="A9179" s="15"/>
      <c r="R9179" s="15"/>
    </row>
    <row r="9180" spans="1:18" x14ac:dyDescent="0.25">
      <c r="A9180" s="15"/>
      <c r="R9180" s="15"/>
    </row>
    <row r="9181" spans="1:18" x14ac:dyDescent="0.25">
      <c r="A9181" s="15"/>
      <c r="R9181" s="15"/>
    </row>
    <row r="9182" spans="1:18" x14ac:dyDescent="0.25">
      <c r="A9182" s="15"/>
      <c r="R9182" s="15"/>
    </row>
    <row r="9183" spans="1:18" x14ac:dyDescent="0.25">
      <c r="A9183" s="15"/>
      <c r="R9183" s="15"/>
    </row>
    <row r="9184" spans="1:18" x14ac:dyDescent="0.25">
      <c r="A9184" s="15"/>
      <c r="R9184" s="15"/>
    </row>
    <row r="9185" spans="1:18" x14ac:dyDescent="0.25">
      <c r="A9185" s="15"/>
      <c r="R9185" s="15"/>
    </row>
    <row r="9186" spans="1:18" x14ac:dyDescent="0.25">
      <c r="A9186" s="15"/>
      <c r="R9186" s="15"/>
    </row>
    <row r="9187" spans="1:18" x14ac:dyDescent="0.25">
      <c r="A9187" s="15"/>
      <c r="R9187" s="15"/>
    </row>
    <row r="9188" spans="1:18" x14ac:dyDescent="0.25">
      <c r="A9188" s="15"/>
      <c r="R9188" s="15"/>
    </row>
    <row r="9189" spans="1:18" x14ac:dyDescent="0.25">
      <c r="A9189" s="15"/>
      <c r="R9189" s="15"/>
    </row>
    <row r="9190" spans="1:18" x14ac:dyDescent="0.25">
      <c r="A9190" s="15"/>
      <c r="R9190" s="15"/>
    </row>
    <row r="9191" spans="1:18" x14ac:dyDescent="0.25">
      <c r="A9191" s="15"/>
      <c r="R9191" s="15"/>
    </row>
    <row r="9192" spans="1:18" x14ac:dyDescent="0.25">
      <c r="A9192" s="15"/>
      <c r="R9192" s="15"/>
    </row>
    <row r="9193" spans="1:18" x14ac:dyDescent="0.25">
      <c r="A9193" s="15"/>
      <c r="R9193" s="15"/>
    </row>
    <row r="9194" spans="1:18" x14ac:dyDescent="0.25">
      <c r="A9194" s="15"/>
      <c r="R9194" s="15"/>
    </row>
    <row r="9195" spans="1:18" x14ac:dyDescent="0.25">
      <c r="A9195" s="15"/>
      <c r="R9195" s="15"/>
    </row>
    <row r="9196" spans="1:18" x14ac:dyDescent="0.25">
      <c r="A9196" s="15"/>
      <c r="R9196" s="15"/>
    </row>
    <row r="9197" spans="1:18" x14ac:dyDescent="0.25">
      <c r="A9197" s="15"/>
      <c r="R9197" s="15"/>
    </row>
    <row r="9198" spans="1:18" x14ac:dyDescent="0.25">
      <c r="A9198" s="15"/>
      <c r="R9198" s="15"/>
    </row>
    <row r="9199" spans="1:18" x14ac:dyDescent="0.25">
      <c r="A9199" s="15"/>
      <c r="R9199" s="15"/>
    </row>
    <row r="9200" spans="1:18" x14ac:dyDescent="0.25">
      <c r="A9200" s="15"/>
      <c r="R9200" s="15"/>
    </row>
    <row r="9201" spans="1:18" x14ac:dyDescent="0.25">
      <c r="A9201" s="15"/>
      <c r="R9201" s="15"/>
    </row>
    <row r="9202" spans="1:18" x14ac:dyDescent="0.25">
      <c r="A9202" s="15"/>
      <c r="R9202" s="15"/>
    </row>
    <row r="9203" spans="1:18" x14ac:dyDescent="0.25">
      <c r="A9203" s="15"/>
      <c r="R9203" s="15"/>
    </row>
    <row r="9204" spans="1:18" x14ac:dyDescent="0.25">
      <c r="A9204" s="15"/>
      <c r="R9204" s="15"/>
    </row>
    <row r="9205" spans="1:18" x14ac:dyDescent="0.25">
      <c r="A9205" s="15"/>
      <c r="R9205" s="15"/>
    </row>
    <row r="9206" spans="1:18" x14ac:dyDescent="0.25">
      <c r="A9206" s="15"/>
      <c r="R9206" s="15"/>
    </row>
    <row r="9207" spans="1:18" x14ac:dyDescent="0.25">
      <c r="A9207" s="15"/>
      <c r="R9207" s="15"/>
    </row>
    <row r="9208" spans="1:18" x14ac:dyDescent="0.25">
      <c r="A9208" s="15"/>
      <c r="R9208" s="15"/>
    </row>
    <row r="9209" spans="1:18" x14ac:dyDescent="0.25">
      <c r="A9209" s="15"/>
      <c r="R9209" s="15"/>
    </row>
    <row r="9210" spans="1:18" x14ac:dyDescent="0.25">
      <c r="A9210" s="15"/>
      <c r="R9210" s="15"/>
    </row>
    <row r="9211" spans="1:18" x14ac:dyDescent="0.25">
      <c r="A9211" s="15"/>
      <c r="R9211" s="15"/>
    </row>
    <row r="9212" spans="1:18" x14ac:dyDescent="0.25">
      <c r="A9212" s="15"/>
      <c r="R9212" s="15"/>
    </row>
    <row r="9213" spans="1:18" x14ac:dyDescent="0.25">
      <c r="A9213" s="15"/>
      <c r="R9213" s="15"/>
    </row>
    <row r="9214" spans="1:18" x14ac:dyDescent="0.25">
      <c r="A9214" s="15"/>
      <c r="R9214" s="15"/>
    </row>
    <row r="9215" spans="1:18" x14ac:dyDescent="0.25">
      <c r="A9215" s="15"/>
      <c r="R9215" s="15"/>
    </row>
    <row r="9216" spans="1:18" x14ac:dyDescent="0.25">
      <c r="A9216" s="15"/>
      <c r="R9216" s="15"/>
    </row>
    <row r="9217" spans="1:18" x14ac:dyDescent="0.25">
      <c r="A9217" s="15"/>
      <c r="R9217" s="15"/>
    </row>
    <row r="9218" spans="1:18" x14ac:dyDescent="0.25">
      <c r="A9218" s="15"/>
      <c r="R9218" s="15"/>
    </row>
    <row r="9219" spans="1:18" x14ac:dyDescent="0.25">
      <c r="A9219" s="15"/>
      <c r="R9219" s="15"/>
    </row>
    <row r="9220" spans="1:18" x14ac:dyDescent="0.25">
      <c r="A9220" s="15"/>
      <c r="R9220" s="15"/>
    </row>
    <row r="9221" spans="1:18" x14ac:dyDescent="0.25">
      <c r="A9221" s="15"/>
      <c r="R9221" s="15"/>
    </row>
    <row r="9222" spans="1:18" x14ac:dyDescent="0.25">
      <c r="A9222" s="15"/>
      <c r="R9222" s="15"/>
    </row>
    <row r="9223" spans="1:18" x14ac:dyDescent="0.25">
      <c r="A9223" s="15"/>
      <c r="R9223" s="15"/>
    </row>
    <row r="9224" spans="1:18" x14ac:dyDescent="0.25">
      <c r="A9224" s="15"/>
      <c r="R9224" s="15"/>
    </row>
    <row r="9225" spans="1:18" x14ac:dyDescent="0.25">
      <c r="A9225" s="15"/>
      <c r="R9225" s="15"/>
    </row>
    <row r="9226" spans="1:18" x14ac:dyDescent="0.25">
      <c r="A9226" s="15"/>
      <c r="R9226" s="15"/>
    </row>
    <row r="9227" spans="1:18" x14ac:dyDescent="0.25">
      <c r="A9227" s="15"/>
      <c r="R9227" s="15"/>
    </row>
    <row r="9228" spans="1:18" x14ac:dyDescent="0.25">
      <c r="A9228" s="15"/>
      <c r="R9228" s="15"/>
    </row>
    <row r="9229" spans="1:18" x14ac:dyDescent="0.25">
      <c r="A9229" s="15"/>
      <c r="R9229" s="15"/>
    </row>
    <row r="9230" spans="1:18" x14ac:dyDescent="0.25">
      <c r="A9230" s="15"/>
      <c r="R9230" s="15"/>
    </row>
    <row r="9231" spans="1:18" x14ac:dyDescent="0.25">
      <c r="A9231" s="15"/>
      <c r="R9231" s="15"/>
    </row>
    <row r="9232" spans="1:18" x14ac:dyDescent="0.25">
      <c r="A9232" s="15"/>
      <c r="R9232" s="15"/>
    </row>
    <row r="9233" spans="1:18" x14ac:dyDescent="0.25">
      <c r="A9233" s="15"/>
      <c r="R9233" s="15"/>
    </row>
    <row r="9234" spans="1:18" x14ac:dyDescent="0.25">
      <c r="A9234" s="15"/>
      <c r="R9234" s="15"/>
    </row>
    <row r="9235" spans="1:18" x14ac:dyDescent="0.25">
      <c r="A9235" s="15"/>
      <c r="R9235" s="15"/>
    </row>
    <row r="9236" spans="1:18" x14ac:dyDescent="0.25">
      <c r="A9236" s="15"/>
      <c r="R9236" s="15"/>
    </row>
    <row r="9237" spans="1:18" x14ac:dyDescent="0.25">
      <c r="A9237" s="15"/>
      <c r="R9237" s="15"/>
    </row>
    <row r="9238" spans="1:18" x14ac:dyDescent="0.25">
      <c r="A9238" s="15"/>
      <c r="R9238" s="15"/>
    </row>
    <row r="9239" spans="1:18" x14ac:dyDescent="0.25">
      <c r="A9239" s="15"/>
      <c r="R9239" s="15"/>
    </row>
    <row r="9240" spans="1:18" x14ac:dyDescent="0.25">
      <c r="A9240" s="15"/>
      <c r="R9240" s="15"/>
    </row>
    <row r="9241" spans="1:18" x14ac:dyDescent="0.25">
      <c r="A9241" s="15"/>
      <c r="R9241" s="15"/>
    </row>
    <row r="9242" spans="1:18" x14ac:dyDescent="0.25">
      <c r="A9242" s="15"/>
      <c r="R9242" s="15"/>
    </row>
    <row r="9243" spans="1:18" x14ac:dyDescent="0.25">
      <c r="A9243" s="15"/>
      <c r="R9243" s="15"/>
    </row>
    <row r="9244" spans="1:18" x14ac:dyDescent="0.25">
      <c r="A9244" s="15"/>
      <c r="R9244" s="15"/>
    </row>
    <row r="9245" spans="1:18" x14ac:dyDescent="0.25">
      <c r="A9245" s="15"/>
      <c r="R9245" s="15"/>
    </row>
    <row r="9246" spans="1:18" x14ac:dyDescent="0.25">
      <c r="A9246" s="15"/>
      <c r="R9246" s="15"/>
    </row>
    <row r="9247" spans="1:18" x14ac:dyDescent="0.25">
      <c r="A9247" s="15"/>
      <c r="R9247" s="15"/>
    </row>
    <row r="9248" spans="1:18" x14ac:dyDescent="0.25">
      <c r="A9248" s="15"/>
      <c r="R9248" s="15"/>
    </row>
    <row r="9249" spans="1:18" x14ac:dyDescent="0.25">
      <c r="A9249" s="15"/>
      <c r="R9249" s="15"/>
    </row>
    <row r="9250" spans="1:18" x14ac:dyDescent="0.25">
      <c r="A9250" s="15"/>
      <c r="R9250" s="15"/>
    </row>
    <row r="9251" spans="1:18" x14ac:dyDescent="0.25">
      <c r="A9251" s="15"/>
      <c r="R9251" s="15"/>
    </row>
    <row r="9252" spans="1:18" x14ac:dyDescent="0.25">
      <c r="A9252" s="15"/>
      <c r="R9252" s="15"/>
    </row>
    <row r="9253" spans="1:18" x14ac:dyDescent="0.25">
      <c r="A9253" s="15"/>
      <c r="R9253" s="15"/>
    </row>
    <row r="9254" spans="1:18" x14ac:dyDescent="0.25">
      <c r="A9254" s="15"/>
      <c r="R9254" s="15"/>
    </row>
    <row r="9255" spans="1:18" x14ac:dyDescent="0.25">
      <c r="A9255" s="15"/>
      <c r="R9255" s="15"/>
    </row>
    <row r="9256" spans="1:18" x14ac:dyDescent="0.25">
      <c r="A9256" s="15"/>
      <c r="R9256" s="15"/>
    </row>
    <row r="9257" spans="1:18" x14ac:dyDescent="0.25">
      <c r="A9257" s="15"/>
      <c r="R9257" s="15"/>
    </row>
    <row r="9258" spans="1:18" x14ac:dyDescent="0.25">
      <c r="A9258" s="15"/>
      <c r="R9258" s="15"/>
    </row>
    <row r="9259" spans="1:18" x14ac:dyDescent="0.25">
      <c r="A9259" s="15"/>
      <c r="R9259" s="15"/>
    </row>
    <row r="9260" spans="1:18" x14ac:dyDescent="0.25">
      <c r="A9260" s="15"/>
      <c r="R9260" s="15"/>
    </row>
    <row r="9261" spans="1:18" x14ac:dyDescent="0.25">
      <c r="A9261" s="15"/>
      <c r="R9261" s="15"/>
    </row>
    <row r="9262" spans="1:18" x14ac:dyDescent="0.25">
      <c r="A9262" s="15"/>
      <c r="R9262" s="15"/>
    </row>
    <row r="9263" spans="1:18" x14ac:dyDescent="0.25">
      <c r="A9263" s="15"/>
      <c r="R9263" s="15"/>
    </row>
    <row r="9264" spans="1:18" x14ac:dyDescent="0.25">
      <c r="A9264" s="15"/>
      <c r="R9264" s="15"/>
    </row>
    <row r="9265" spans="1:18" x14ac:dyDescent="0.25">
      <c r="A9265" s="15"/>
      <c r="R9265" s="15"/>
    </row>
    <row r="9266" spans="1:18" x14ac:dyDescent="0.25">
      <c r="A9266" s="15"/>
      <c r="R9266" s="15"/>
    </row>
    <row r="9267" spans="1:18" x14ac:dyDescent="0.25">
      <c r="A9267" s="15"/>
      <c r="R9267" s="15"/>
    </row>
    <row r="9268" spans="1:18" x14ac:dyDescent="0.25">
      <c r="A9268" s="15"/>
      <c r="R9268" s="15"/>
    </row>
    <row r="9269" spans="1:18" x14ac:dyDescent="0.25">
      <c r="A9269" s="15"/>
      <c r="R9269" s="15"/>
    </row>
    <row r="9270" spans="1:18" x14ac:dyDescent="0.25">
      <c r="A9270" s="15"/>
      <c r="R9270" s="15"/>
    </row>
    <row r="9271" spans="1:18" x14ac:dyDescent="0.25">
      <c r="A9271" s="15"/>
      <c r="R9271" s="15"/>
    </row>
    <row r="9272" spans="1:18" x14ac:dyDescent="0.25">
      <c r="A9272" s="15"/>
      <c r="R9272" s="15"/>
    </row>
    <row r="9273" spans="1:18" x14ac:dyDescent="0.25">
      <c r="A9273" s="15"/>
      <c r="R9273" s="15"/>
    </row>
    <row r="9274" spans="1:18" x14ac:dyDescent="0.25">
      <c r="A9274" s="15"/>
      <c r="R9274" s="15"/>
    </row>
    <row r="9275" spans="1:18" x14ac:dyDescent="0.25">
      <c r="A9275" s="15"/>
      <c r="R9275" s="15"/>
    </row>
    <row r="9276" spans="1:18" x14ac:dyDescent="0.25">
      <c r="A9276" s="15"/>
      <c r="R9276" s="15"/>
    </row>
    <row r="9277" spans="1:18" x14ac:dyDescent="0.25">
      <c r="A9277" s="15"/>
      <c r="R9277" s="15"/>
    </row>
    <row r="9278" spans="1:18" x14ac:dyDescent="0.25">
      <c r="A9278" s="15"/>
      <c r="R9278" s="15"/>
    </row>
    <row r="9279" spans="1:18" x14ac:dyDescent="0.25">
      <c r="A9279" s="15"/>
      <c r="R9279" s="15"/>
    </row>
    <row r="9280" spans="1:18" x14ac:dyDescent="0.25">
      <c r="A9280" s="15"/>
      <c r="R9280" s="15"/>
    </row>
    <row r="9281" spans="1:18" x14ac:dyDescent="0.25">
      <c r="A9281" s="15"/>
      <c r="R9281" s="15"/>
    </row>
    <row r="9282" spans="1:18" x14ac:dyDescent="0.25">
      <c r="A9282" s="15"/>
      <c r="R9282" s="15"/>
    </row>
    <row r="9283" spans="1:18" x14ac:dyDescent="0.25">
      <c r="A9283" s="15"/>
      <c r="R9283" s="15"/>
    </row>
    <row r="9284" spans="1:18" x14ac:dyDescent="0.25">
      <c r="A9284" s="15"/>
      <c r="R9284" s="15"/>
    </row>
    <row r="9285" spans="1:18" x14ac:dyDescent="0.25">
      <c r="A9285" s="15"/>
      <c r="R9285" s="15"/>
    </row>
    <row r="9286" spans="1:18" x14ac:dyDescent="0.25">
      <c r="A9286" s="15"/>
      <c r="R9286" s="15"/>
    </row>
    <row r="9287" spans="1:18" x14ac:dyDescent="0.25">
      <c r="A9287" s="15"/>
      <c r="R9287" s="15"/>
    </row>
    <row r="9288" spans="1:18" x14ac:dyDescent="0.25">
      <c r="A9288" s="15"/>
      <c r="R9288" s="15"/>
    </row>
    <row r="9289" spans="1:18" x14ac:dyDescent="0.25">
      <c r="A9289" s="15"/>
      <c r="R9289" s="15"/>
    </row>
    <row r="9290" spans="1:18" x14ac:dyDescent="0.25">
      <c r="A9290" s="15"/>
      <c r="R9290" s="15"/>
    </row>
    <row r="9291" spans="1:18" x14ac:dyDescent="0.25">
      <c r="A9291" s="15"/>
      <c r="R9291" s="15"/>
    </row>
    <row r="9292" spans="1:18" x14ac:dyDescent="0.25">
      <c r="A9292" s="15"/>
      <c r="R9292" s="15"/>
    </row>
    <row r="9293" spans="1:18" x14ac:dyDescent="0.25">
      <c r="A9293" s="15"/>
      <c r="R9293" s="15"/>
    </row>
    <row r="9294" spans="1:18" x14ac:dyDescent="0.25">
      <c r="A9294" s="15"/>
      <c r="R9294" s="15"/>
    </row>
    <row r="9295" spans="1:18" x14ac:dyDescent="0.25">
      <c r="A9295" s="15"/>
      <c r="R9295" s="15"/>
    </row>
    <row r="9296" spans="1:18" x14ac:dyDescent="0.25">
      <c r="A9296" s="15"/>
      <c r="R9296" s="15"/>
    </row>
    <row r="9297" spans="1:18" x14ac:dyDescent="0.25">
      <c r="A9297" s="15"/>
      <c r="R9297" s="15"/>
    </row>
    <row r="9298" spans="1:18" x14ac:dyDescent="0.25">
      <c r="A9298" s="15"/>
      <c r="R9298" s="15"/>
    </row>
    <row r="9299" spans="1:18" x14ac:dyDescent="0.25">
      <c r="A9299" s="15"/>
      <c r="R9299" s="15"/>
    </row>
    <row r="9300" spans="1:18" x14ac:dyDescent="0.25">
      <c r="A9300" s="15"/>
      <c r="R9300" s="15"/>
    </row>
    <row r="9301" spans="1:18" x14ac:dyDescent="0.25">
      <c r="A9301" s="15"/>
      <c r="R9301" s="15"/>
    </row>
    <row r="9302" spans="1:18" x14ac:dyDescent="0.25">
      <c r="A9302" s="15"/>
      <c r="R9302" s="15"/>
    </row>
    <row r="9303" spans="1:18" x14ac:dyDescent="0.25">
      <c r="A9303" s="15"/>
      <c r="R9303" s="15"/>
    </row>
    <row r="9304" spans="1:18" x14ac:dyDescent="0.25">
      <c r="A9304" s="15"/>
      <c r="R9304" s="15"/>
    </row>
    <row r="9305" spans="1:18" x14ac:dyDescent="0.25">
      <c r="A9305" s="15"/>
      <c r="R9305" s="15"/>
    </row>
    <row r="9306" spans="1:18" x14ac:dyDescent="0.25">
      <c r="A9306" s="15"/>
      <c r="R9306" s="15"/>
    </row>
    <row r="9307" spans="1:18" x14ac:dyDescent="0.25">
      <c r="A9307" s="15"/>
      <c r="R9307" s="15"/>
    </row>
    <row r="9308" spans="1:18" x14ac:dyDescent="0.25">
      <c r="A9308" s="15"/>
      <c r="R9308" s="15"/>
    </row>
    <row r="9309" spans="1:18" x14ac:dyDescent="0.25">
      <c r="A9309" s="15"/>
      <c r="R9309" s="15"/>
    </row>
    <row r="9310" spans="1:18" x14ac:dyDescent="0.25">
      <c r="A9310" s="15"/>
      <c r="R9310" s="15"/>
    </row>
    <row r="9311" spans="1:18" x14ac:dyDescent="0.25">
      <c r="A9311" s="15"/>
      <c r="R9311" s="15"/>
    </row>
    <row r="9312" spans="1:18" x14ac:dyDescent="0.25">
      <c r="A9312" s="15"/>
      <c r="R9312" s="15"/>
    </row>
    <row r="9313" spans="1:18" x14ac:dyDescent="0.25">
      <c r="A9313" s="15"/>
      <c r="R9313" s="15"/>
    </row>
    <row r="9314" spans="1:18" x14ac:dyDescent="0.25">
      <c r="A9314" s="15"/>
      <c r="R9314" s="15"/>
    </row>
    <row r="9315" spans="1:18" x14ac:dyDescent="0.25">
      <c r="A9315" s="15"/>
      <c r="R9315" s="15"/>
    </row>
    <row r="9316" spans="1:18" x14ac:dyDescent="0.25">
      <c r="A9316" s="15"/>
      <c r="R9316" s="15"/>
    </row>
    <row r="9317" spans="1:18" x14ac:dyDescent="0.25">
      <c r="A9317" s="15"/>
      <c r="R9317" s="15"/>
    </row>
    <row r="9318" spans="1:18" x14ac:dyDescent="0.25">
      <c r="A9318" s="15"/>
      <c r="R9318" s="15"/>
    </row>
    <row r="9319" spans="1:18" x14ac:dyDescent="0.25">
      <c r="A9319" s="15"/>
      <c r="R9319" s="15"/>
    </row>
    <row r="9320" spans="1:18" x14ac:dyDescent="0.25">
      <c r="A9320" s="15"/>
      <c r="R9320" s="15"/>
    </row>
    <row r="9321" spans="1:18" x14ac:dyDescent="0.25">
      <c r="A9321" s="15"/>
      <c r="R9321" s="15"/>
    </row>
    <row r="9322" spans="1:18" x14ac:dyDescent="0.25">
      <c r="A9322" s="15"/>
      <c r="R9322" s="15"/>
    </row>
    <row r="9323" spans="1:18" x14ac:dyDescent="0.25">
      <c r="A9323" s="15"/>
      <c r="R9323" s="15"/>
    </row>
    <row r="9324" spans="1:18" x14ac:dyDescent="0.25">
      <c r="A9324" s="15"/>
      <c r="R9324" s="15"/>
    </row>
    <row r="9325" spans="1:18" x14ac:dyDescent="0.25">
      <c r="A9325" s="15"/>
      <c r="R9325" s="15"/>
    </row>
    <row r="9326" spans="1:18" x14ac:dyDescent="0.25">
      <c r="A9326" s="15"/>
      <c r="R9326" s="15"/>
    </row>
    <row r="9327" spans="1:18" x14ac:dyDescent="0.25">
      <c r="A9327" s="15"/>
      <c r="R9327" s="15"/>
    </row>
    <row r="9328" spans="1:18" x14ac:dyDescent="0.25">
      <c r="A9328" s="15"/>
      <c r="R9328" s="15"/>
    </row>
    <row r="9329" spans="1:18" x14ac:dyDescent="0.25">
      <c r="A9329" s="15"/>
      <c r="R9329" s="15"/>
    </row>
    <row r="9330" spans="1:18" x14ac:dyDescent="0.25">
      <c r="A9330" s="15"/>
      <c r="R9330" s="15"/>
    </row>
    <row r="9331" spans="1:18" x14ac:dyDescent="0.25">
      <c r="A9331" s="15"/>
      <c r="R9331" s="15"/>
    </row>
    <row r="9332" spans="1:18" x14ac:dyDescent="0.25">
      <c r="A9332" s="15"/>
      <c r="R9332" s="15"/>
    </row>
    <row r="9333" spans="1:18" x14ac:dyDescent="0.25">
      <c r="A9333" s="15"/>
      <c r="R9333" s="15"/>
    </row>
    <row r="9334" spans="1:18" x14ac:dyDescent="0.25">
      <c r="A9334" s="15"/>
      <c r="R9334" s="15"/>
    </row>
    <row r="9335" spans="1:18" x14ac:dyDescent="0.25">
      <c r="A9335" s="15"/>
      <c r="R9335" s="15"/>
    </row>
    <row r="9336" spans="1:18" x14ac:dyDescent="0.25">
      <c r="A9336" s="15"/>
      <c r="R9336" s="15"/>
    </row>
    <row r="9337" spans="1:18" x14ac:dyDescent="0.25">
      <c r="A9337" s="15"/>
      <c r="R9337" s="15"/>
    </row>
    <row r="9338" spans="1:18" x14ac:dyDescent="0.25">
      <c r="A9338" s="15"/>
      <c r="R9338" s="15"/>
    </row>
    <row r="9339" spans="1:18" x14ac:dyDescent="0.25">
      <c r="A9339" s="15"/>
      <c r="R9339" s="15"/>
    </row>
    <row r="9340" spans="1:18" x14ac:dyDescent="0.25">
      <c r="A9340" s="15"/>
      <c r="R9340" s="15"/>
    </row>
    <row r="9341" spans="1:18" x14ac:dyDescent="0.25">
      <c r="A9341" s="15"/>
      <c r="R9341" s="15"/>
    </row>
    <row r="9342" spans="1:18" x14ac:dyDescent="0.25">
      <c r="A9342" s="15"/>
      <c r="R9342" s="15"/>
    </row>
    <row r="9343" spans="1:18" x14ac:dyDescent="0.25">
      <c r="A9343" s="15"/>
      <c r="R9343" s="15"/>
    </row>
    <row r="9344" spans="1:18" x14ac:dyDescent="0.25">
      <c r="A9344" s="15"/>
      <c r="R9344" s="15"/>
    </row>
    <row r="9345" spans="1:18" x14ac:dyDescent="0.25">
      <c r="A9345" s="15"/>
      <c r="R9345" s="15"/>
    </row>
    <row r="9346" spans="1:18" x14ac:dyDescent="0.25">
      <c r="A9346" s="15"/>
      <c r="R9346" s="15"/>
    </row>
    <row r="9347" spans="1:18" x14ac:dyDescent="0.25">
      <c r="A9347" s="15"/>
      <c r="R9347" s="15"/>
    </row>
    <row r="9348" spans="1:18" x14ac:dyDescent="0.25">
      <c r="A9348" s="15"/>
      <c r="R9348" s="15"/>
    </row>
    <row r="9349" spans="1:18" x14ac:dyDescent="0.25">
      <c r="A9349" s="15"/>
      <c r="R9349" s="15"/>
    </row>
    <row r="9350" spans="1:18" x14ac:dyDescent="0.25">
      <c r="A9350" s="15"/>
      <c r="R9350" s="15"/>
    </row>
    <row r="9351" spans="1:18" x14ac:dyDescent="0.25">
      <c r="A9351" s="15"/>
      <c r="R9351" s="15"/>
    </row>
    <row r="9352" spans="1:18" x14ac:dyDescent="0.25">
      <c r="A9352" s="15"/>
      <c r="R9352" s="15"/>
    </row>
    <row r="9353" spans="1:18" x14ac:dyDescent="0.25">
      <c r="A9353" s="15"/>
      <c r="R9353" s="15"/>
    </row>
    <row r="9354" spans="1:18" x14ac:dyDescent="0.25">
      <c r="A9354" s="15"/>
      <c r="R9354" s="15"/>
    </row>
    <row r="9355" spans="1:18" x14ac:dyDescent="0.25">
      <c r="A9355" s="15"/>
      <c r="R9355" s="15"/>
    </row>
    <row r="9356" spans="1:18" x14ac:dyDescent="0.25">
      <c r="A9356" s="15"/>
      <c r="R9356" s="15"/>
    </row>
    <row r="9357" spans="1:18" x14ac:dyDescent="0.25">
      <c r="A9357" s="15"/>
      <c r="R9357" s="15"/>
    </row>
    <row r="9358" spans="1:18" x14ac:dyDescent="0.25">
      <c r="A9358" s="15"/>
      <c r="R9358" s="15"/>
    </row>
    <row r="9359" spans="1:18" x14ac:dyDescent="0.25">
      <c r="A9359" s="15"/>
      <c r="R9359" s="15"/>
    </row>
    <row r="9360" spans="1:18" x14ac:dyDescent="0.25">
      <c r="A9360" s="15"/>
      <c r="R9360" s="15"/>
    </row>
    <row r="9361" spans="1:18" x14ac:dyDescent="0.25">
      <c r="A9361" s="15"/>
      <c r="R9361" s="15"/>
    </row>
    <row r="9362" spans="1:18" x14ac:dyDescent="0.25">
      <c r="A9362" s="15"/>
      <c r="R9362" s="15"/>
    </row>
    <row r="9363" spans="1:18" x14ac:dyDescent="0.25">
      <c r="A9363" s="15"/>
      <c r="R9363" s="15"/>
    </row>
    <row r="9364" spans="1:18" x14ac:dyDescent="0.25">
      <c r="A9364" s="15"/>
      <c r="R9364" s="15"/>
    </row>
    <row r="9365" spans="1:18" x14ac:dyDescent="0.25">
      <c r="A9365" s="15"/>
      <c r="R9365" s="15"/>
    </row>
    <row r="9366" spans="1:18" x14ac:dyDescent="0.25">
      <c r="A9366" s="15"/>
      <c r="R9366" s="15"/>
    </row>
    <row r="9367" spans="1:18" x14ac:dyDescent="0.25">
      <c r="A9367" s="15"/>
      <c r="R9367" s="15"/>
    </row>
    <row r="9368" spans="1:18" x14ac:dyDescent="0.25">
      <c r="A9368" s="15"/>
      <c r="R9368" s="15"/>
    </row>
    <row r="9369" spans="1:18" x14ac:dyDescent="0.25">
      <c r="A9369" s="15"/>
      <c r="R9369" s="15"/>
    </row>
    <row r="9370" spans="1:18" x14ac:dyDescent="0.25">
      <c r="A9370" s="15"/>
      <c r="R9370" s="15"/>
    </row>
    <row r="9371" spans="1:18" x14ac:dyDescent="0.25">
      <c r="A9371" s="15"/>
      <c r="R9371" s="15"/>
    </row>
    <row r="9372" spans="1:18" x14ac:dyDescent="0.25">
      <c r="A9372" s="15"/>
      <c r="R9372" s="15"/>
    </row>
    <row r="9373" spans="1:18" x14ac:dyDescent="0.25">
      <c r="A9373" s="15"/>
      <c r="R9373" s="15"/>
    </row>
    <row r="9374" spans="1:18" x14ac:dyDescent="0.25">
      <c r="A9374" s="15"/>
      <c r="R9374" s="15"/>
    </row>
    <row r="9375" spans="1:18" x14ac:dyDescent="0.25">
      <c r="A9375" s="15"/>
      <c r="R9375" s="15"/>
    </row>
    <row r="9376" spans="1:18" x14ac:dyDescent="0.25">
      <c r="A9376" s="15"/>
      <c r="R9376" s="15"/>
    </row>
    <row r="9377" spans="1:18" x14ac:dyDescent="0.25">
      <c r="A9377" s="15"/>
      <c r="R9377" s="15"/>
    </row>
    <row r="9378" spans="1:18" x14ac:dyDescent="0.25">
      <c r="A9378" s="15"/>
      <c r="R9378" s="15"/>
    </row>
    <row r="9379" spans="1:18" x14ac:dyDescent="0.25">
      <c r="A9379" s="15"/>
      <c r="R9379" s="15"/>
    </row>
    <row r="9380" spans="1:18" x14ac:dyDescent="0.25">
      <c r="A9380" s="15"/>
      <c r="R9380" s="15"/>
    </row>
    <row r="9381" spans="1:18" x14ac:dyDescent="0.25">
      <c r="A9381" s="15"/>
      <c r="R9381" s="15"/>
    </row>
    <row r="9382" spans="1:18" x14ac:dyDescent="0.25">
      <c r="A9382" s="15"/>
      <c r="R9382" s="15"/>
    </row>
    <row r="9383" spans="1:18" x14ac:dyDescent="0.25">
      <c r="A9383" s="15"/>
      <c r="R9383" s="15"/>
    </row>
    <row r="9384" spans="1:18" x14ac:dyDescent="0.25">
      <c r="A9384" s="15"/>
      <c r="R9384" s="15"/>
    </row>
    <row r="9385" spans="1:18" x14ac:dyDescent="0.25">
      <c r="A9385" s="15"/>
      <c r="R9385" s="15"/>
    </row>
    <row r="9386" spans="1:18" x14ac:dyDescent="0.25">
      <c r="A9386" s="15"/>
      <c r="R9386" s="15"/>
    </row>
    <row r="9387" spans="1:18" x14ac:dyDescent="0.25">
      <c r="A9387" s="15"/>
      <c r="R9387" s="15"/>
    </row>
    <row r="9388" spans="1:18" x14ac:dyDescent="0.25">
      <c r="A9388" s="15"/>
      <c r="R9388" s="15"/>
    </row>
    <row r="9389" spans="1:18" x14ac:dyDescent="0.25">
      <c r="A9389" s="15"/>
      <c r="R9389" s="15"/>
    </row>
    <row r="9390" spans="1:18" x14ac:dyDescent="0.25">
      <c r="A9390" s="15"/>
      <c r="R9390" s="15"/>
    </row>
    <row r="9391" spans="1:18" x14ac:dyDescent="0.25">
      <c r="A9391" s="15"/>
      <c r="R9391" s="15"/>
    </row>
    <row r="9392" spans="1:18" x14ac:dyDescent="0.25">
      <c r="A9392" s="15"/>
      <c r="R9392" s="15"/>
    </row>
    <row r="9393" spans="1:18" x14ac:dyDescent="0.25">
      <c r="A9393" s="15"/>
      <c r="R9393" s="15"/>
    </row>
    <row r="9394" spans="1:18" x14ac:dyDescent="0.25">
      <c r="A9394" s="15"/>
      <c r="R9394" s="15"/>
    </row>
    <row r="9395" spans="1:18" x14ac:dyDescent="0.25">
      <c r="A9395" s="15"/>
      <c r="R9395" s="15"/>
    </row>
    <row r="9396" spans="1:18" x14ac:dyDescent="0.25">
      <c r="A9396" s="15"/>
      <c r="R9396" s="15"/>
    </row>
    <row r="9397" spans="1:18" x14ac:dyDescent="0.25">
      <c r="A9397" s="15"/>
      <c r="R9397" s="15"/>
    </row>
    <row r="9398" spans="1:18" x14ac:dyDescent="0.25">
      <c r="A9398" s="15"/>
      <c r="R9398" s="15"/>
    </row>
    <row r="9399" spans="1:18" x14ac:dyDescent="0.25">
      <c r="A9399" s="15"/>
      <c r="R9399" s="15"/>
    </row>
    <row r="9400" spans="1:18" x14ac:dyDescent="0.25">
      <c r="A9400" s="15"/>
      <c r="R9400" s="15"/>
    </row>
    <row r="9401" spans="1:18" x14ac:dyDescent="0.25">
      <c r="A9401" s="15"/>
      <c r="R9401" s="15"/>
    </row>
    <row r="9402" spans="1:18" x14ac:dyDescent="0.25">
      <c r="A9402" s="15"/>
      <c r="R9402" s="15"/>
    </row>
    <row r="9403" spans="1:18" x14ac:dyDescent="0.25">
      <c r="A9403" s="15"/>
      <c r="R9403" s="15"/>
    </row>
    <row r="9404" spans="1:18" x14ac:dyDescent="0.25">
      <c r="A9404" s="15"/>
      <c r="R9404" s="15"/>
    </row>
    <row r="9405" spans="1:18" x14ac:dyDescent="0.25">
      <c r="A9405" s="15"/>
      <c r="R9405" s="15"/>
    </row>
    <row r="9406" spans="1:18" x14ac:dyDescent="0.25">
      <c r="A9406" s="15"/>
      <c r="R9406" s="15"/>
    </row>
    <row r="9407" spans="1:18" x14ac:dyDescent="0.25">
      <c r="A9407" s="15"/>
      <c r="R9407" s="15"/>
    </row>
    <row r="9408" spans="1:18" x14ac:dyDescent="0.25">
      <c r="A9408" s="15"/>
      <c r="R9408" s="15"/>
    </row>
    <row r="9409" spans="1:18" x14ac:dyDescent="0.25">
      <c r="A9409" s="15"/>
      <c r="R9409" s="15"/>
    </row>
    <row r="9410" spans="1:18" x14ac:dyDescent="0.25">
      <c r="A9410" s="15"/>
      <c r="R9410" s="15"/>
    </row>
    <row r="9411" spans="1:18" x14ac:dyDescent="0.25">
      <c r="A9411" s="15"/>
      <c r="R9411" s="15"/>
    </row>
    <row r="9412" spans="1:18" x14ac:dyDescent="0.25">
      <c r="A9412" s="15"/>
      <c r="R9412" s="15"/>
    </row>
    <row r="9413" spans="1:18" x14ac:dyDescent="0.25">
      <c r="A9413" s="15"/>
      <c r="R9413" s="15"/>
    </row>
    <row r="9414" spans="1:18" x14ac:dyDescent="0.25">
      <c r="A9414" s="15"/>
      <c r="R9414" s="15"/>
    </row>
    <row r="9415" spans="1:18" x14ac:dyDescent="0.25">
      <c r="A9415" s="15"/>
      <c r="R9415" s="15"/>
    </row>
    <row r="9416" spans="1:18" x14ac:dyDescent="0.25">
      <c r="A9416" s="15"/>
      <c r="R9416" s="15"/>
    </row>
    <row r="9417" spans="1:18" x14ac:dyDescent="0.25">
      <c r="A9417" s="15"/>
      <c r="R9417" s="15"/>
    </row>
    <row r="9418" spans="1:18" x14ac:dyDescent="0.25">
      <c r="A9418" s="15"/>
      <c r="R9418" s="15"/>
    </row>
    <row r="9419" spans="1:18" x14ac:dyDescent="0.25">
      <c r="A9419" s="15"/>
      <c r="R9419" s="15"/>
    </row>
    <row r="9420" spans="1:18" x14ac:dyDescent="0.25">
      <c r="A9420" s="15"/>
      <c r="R9420" s="15"/>
    </row>
    <row r="9421" spans="1:18" x14ac:dyDescent="0.25">
      <c r="A9421" s="15"/>
      <c r="R9421" s="15"/>
    </row>
    <row r="9422" spans="1:18" x14ac:dyDescent="0.25">
      <c r="A9422" s="15"/>
      <c r="R9422" s="15"/>
    </row>
    <row r="9423" spans="1:18" x14ac:dyDescent="0.25">
      <c r="A9423" s="15"/>
      <c r="R9423" s="15"/>
    </row>
    <row r="9424" spans="1:18" x14ac:dyDescent="0.25">
      <c r="A9424" s="15"/>
      <c r="R9424" s="15"/>
    </row>
    <row r="9425" spans="1:18" x14ac:dyDescent="0.25">
      <c r="A9425" s="15"/>
      <c r="R9425" s="15"/>
    </row>
    <row r="9426" spans="1:18" x14ac:dyDescent="0.25">
      <c r="A9426" s="15"/>
      <c r="R9426" s="15"/>
    </row>
    <row r="9427" spans="1:18" x14ac:dyDescent="0.25">
      <c r="A9427" s="15"/>
      <c r="R9427" s="15"/>
    </row>
    <row r="9428" spans="1:18" x14ac:dyDescent="0.25">
      <c r="A9428" s="15"/>
      <c r="R9428" s="15"/>
    </row>
    <row r="9429" spans="1:18" x14ac:dyDescent="0.25">
      <c r="A9429" s="15"/>
      <c r="R9429" s="15"/>
    </row>
    <row r="9430" spans="1:18" x14ac:dyDescent="0.25">
      <c r="A9430" s="15"/>
      <c r="R9430" s="15"/>
    </row>
    <row r="9431" spans="1:18" x14ac:dyDescent="0.25">
      <c r="A9431" s="15"/>
      <c r="R9431" s="15"/>
    </row>
    <row r="9432" spans="1:18" x14ac:dyDescent="0.25">
      <c r="A9432" s="15"/>
      <c r="R9432" s="15"/>
    </row>
    <row r="9433" spans="1:18" x14ac:dyDescent="0.25">
      <c r="A9433" s="15"/>
      <c r="R9433" s="15"/>
    </row>
    <row r="9434" spans="1:18" x14ac:dyDescent="0.25">
      <c r="A9434" s="15"/>
      <c r="R9434" s="15"/>
    </row>
    <row r="9435" spans="1:18" x14ac:dyDescent="0.25">
      <c r="A9435" s="15"/>
      <c r="R9435" s="15"/>
    </row>
    <row r="9436" spans="1:18" x14ac:dyDescent="0.25">
      <c r="A9436" s="15"/>
      <c r="R9436" s="15"/>
    </row>
    <row r="9437" spans="1:18" x14ac:dyDescent="0.25">
      <c r="A9437" s="15"/>
      <c r="R9437" s="15"/>
    </row>
    <row r="9438" spans="1:18" x14ac:dyDescent="0.25">
      <c r="A9438" s="15"/>
      <c r="R9438" s="15"/>
    </row>
    <row r="9439" spans="1:18" x14ac:dyDescent="0.25">
      <c r="A9439" s="15"/>
      <c r="R9439" s="15"/>
    </row>
    <row r="9440" spans="1:18" x14ac:dyDescent="0.25">
      <c r="A9440" s="15"/>
      <c r="R9440" s="15"/>
    </row>
    <row r="9441" spans="1:18" x14ac:dyDescent="0.25">
      <c r="A9441" s="15"/>
      <c r="R9441" s="15"/>
    </row>
    <row r="9442" spans="1:18" x14ac:dyDescent="0.25">
      <c r="A9442" s="15"/>
      <c r="R9442" s="15"/>
    </row>
    <row r="9443" spans="1:18" x14ac:dyDescent="0.25">
      <c r="A9443" s="15"/>
      <c r="R9443" s="15"/>
    </row>
    <row r="9444" spans="1:18" x14ac:dyDescent="0.25">
      <c r="A9444" s="15"/>
      <c r="R9444" s="15"/>
    </row>
    <row r="9445" spans="1:18" x14ac:dyDescent="0.25">
      <c r="A9445" s="15"/>
      <c r="R9445" s="15"/>
    </row>
    <row r="9446" spans="1:18" x14ac:dyDescent="0.25">
      <c r="A9446" s="15"/>
      <c r="R9446" s="15"/>
    </row>
    <row r="9447" spans="1:18" x14ac:dyDescent="0.25">
      <c r="A9447" s="15"/>
      <c r="R9447" s="15"/>
    </row>
    <row r="9448" spans="1:18" x14ac:dyDescent="0.25">
      <c r="A9448" s="15"/>
      <c r="R9448" s="15"/>
    </row>
    <row r="9449" spans="1:18" x14ac:dyDescent="0.25">
      <c r="A9449" s="15"/>
      <c r="R9449" s="15"/>
    </row>
    <row r="9450" spans="1:18" x14ac:dyDescent="0.25">
      <c r="A9450" s="15"/>
      <c r="R9450" s="15"/>
    </row>
    <row r="9451" spans="1:18" x14ac:dyDescent="0.25">
      <c r="A9451" s="15"/>
      <c r="R9451" s="15"/>
    </row>
    <row r="9452" spans="1:18" x14ac:dyDescent="0.25">
      <c r="A9452" s="15"/>
      <c r="R9452" s="15"/>
    </row>
    <row r="9453" spans="1:18" x14ac:dyDescent="0.25">
      <c r="A9453" s="15"/>
      <c r="R9453" s="15"/>
    </row>
    <row r="9454" spans="1:18" x14ac:dyDescent="0.25">
      <c r="A9454" s="15"/>
      <c r="R9454" s="15"/>
    </row>
    <row r="9455" spans="1:18" x14ac:dyDescent="0.25">
      <c r="A9455" s="15"/>
      <c r="R9455" s="15"/>
    </row>
    <row r="9456" spans="1:18" x14ac:dyDescent="0.25">
      <c r="A9456" s="15"/>
      <c r="R9456" s="15"/>
    </row>
    <row r="9457" spans="1:18" x14ac:dyDescent="0.25">
      <c r="A9457" s="15"/>
      <c r="R9457" s="15"/>
    </row>
    <row r="9458" spans="1:18" x14ac:dyDescent="0.25">
      <c r="A9458" s="15"/>
      <c r="R9458" s="15"/>
    </row>
    <row r="9459" spans="1:18" x14ac:dyDescent="0.25">
      <c r="A9459" s="15"/>
      <c r="R9459" s="15"/>
    </row>
    <row r="9460" spans="1:18" x14ac:dyDescent="0.25">
      <c r="A9460" s="15"/>
      <c r="R9460" s="15"/>
    </row>
    <row r="9461" spans="1:18" x14ac:dyDescent="0.25">
      <c r="A9461" s="15"/>
      <c r="R9461" s="15"/>
    </row>
    <row r="9462" spans="1:18" x14ac:dyDescent="0.25">
      <c r="A9462" s="15"/>
      <c r="R9462" s="15"/>
    </row>
    <row r="9463" spans="1:18" x14ac:dyDescent="0.25">
      <c r="A9463" s="15"/>
      <c r="R9463" s="15"/>
    </row>
    <row r="9464" spans="1:18" x14ac:dyDescent="0.25">
      <c r="A9464" s="15"/>
      <c r="R9464" s="15"/>
    </row>
    <row r="9465" spans="1:18" x14ac:dyDescent="0.25">
      <c r="A9465" s="15"/>
      <c r="R9465" s="15"/>
    </row>
    <row r="9466" spans="1:18" x14ac:dyDescent="0.25">
      <c r="A9466" s="15"/>
      <c r="R9466" s="15"/>
    </row>
    <row r="9467" spans="1:18" x14ac:dyDescent="0.25">
      <c r="A9467" s="15"/>
      <c r="R9467" s="15"/>
    </row>
    <row r="9468" spans="1:18" x14ac:dyDescent="0.25">
      <c r="A9468" s="15"/>
      <c r="R9468" s="15"/>
    </row>
    <row r="9469" spans="1:18" x14ac:dyDescent="0.25">
      <c r="A9469" s="15"/>
      <c r="R9469" s="15"/>
    </row>
    <row r="9470" spans="1:18" x14ac:dyDescent="0.25">
      <c r="A9470" s="15"/>
      <c r="R9470" s="15"/>
    </row>
    <row r="9471" spans="1:18" x14ac:dyDescent="0.25">
      <c r="A9471" s="15"/>
      <c r="R9471" s="15"/>
    </row>
    <row r="9472" spans="1:18" x14ac:dyDescent="0.25">
      <c r="A9472" s="15"/>
      <c r="R9472" s="15"/>
    </row>
    <row r="9473" spans="1:18" x14ac:dyDescent="0.25">
      <c r="A9473" s="15"/>
      <c r="R9473" s="15"/>
    </row>
    <row r="9474" spans="1:18" x14ac:dyDescent="0.25">
      <c r="A9474" s="15"/>
      <c r="R9474" s="15"/>
    </row>
    <row r="9475" spans="1:18" x14ac:dyDescent="0.25">
      <c r="A9475" s="15"/>
      <c r="R9475" s="15"/>
    </row>
    <row r="9476" spans="1:18" x14ac:dyDescent="0.25">
      <c r="A9476" s="15"/>
      <c r="R9476" s="15"/>
    </row>
    <row r="9477" spans="1:18" x14ac:dyDescent="0.25">
      <c r="A9477" s="15"/>
      <c r="R9477" s="15"/>
    </row>
    <row r="9478" spans="1:18" x14ac:dyDescent="0.25">
      <c r="A9478" s="15"/>
      <c r="R9478" s="15"/>
    </row>
    <row r="9479" spans="1:18" x14ac:dyDescent="0.25">
      <c r="A9479" s="15"/>
      <c r="R9479" s="15"/>
    </row>
    <row r="9480" spans="1:18" x14ac:dyDescent="0.25">
      <c r="A9480" s="15"/>
      <c r="R9480" s="15"/>
    </row>
    <row r="9481" spans="1:18" x14ac:dyDescent="0.25">
      <c r="A9481" s="15"/>
      <c r="R9481" s="15"/>
    </row>
    <row r="9482" spans="1:18" x14ac:dyDescent="0.25">
      <c r="A9482" s="15"/>
      <c r="R9482" s="15"/>
    </row>
    <row r="9483" spans="1:18" x14ac:dyDescent="0.25">
      <c r="A9483" s="15"/>
      <c r="R9483" s="15"/>
    </row>
    <row r="9484" spans="1:18" x14ac:dyDescent="0.25">
      <c r="A9484" s="15"/>
      <c r="R9484" s="15"/>
    </row>
    <row r="9485" spans="1:18" x14ac:dyDescent="0.25">
      <c r="A9485" s="15"/>
      <c r="R9485" s="15"/>
    </row>
    <row r="9486" spans="1:18" x14ac:dyDescent="0.25">
      <c r="A9486" s="15"/>
      <c r="R9486" s="15"/>
    </row>
    <row r="9487" spans="1:18" x14ac:dyDescent="0.25">
      <c r="A9487" s="15"/>
      <c r="R9487" s="15"/>
    </row>
    <row r="9488" spans="1:18" x14ac:dyDescent="0.25">
      <c r="A9488" s="15"/>
      <c r="R9488" s="15"/>
    </row>
    <row r="9489" spans="1:18" x14ac:dyDescent="0.25">
      <c r="A9489" s="15"/>
      <c r="R9489" s="15"/>
    </row>
    <row r="9490" spans="1:18" x14ac:dyDescent="0.25">
      <c r="A9490" s="15"/>
      <c r="R9490" s="15"/>
    </row>
    <row r="9491" spans="1:18" x14ac:dyDescent="0.25">
      <c r="A9491" s="15"/>
      <c r="R9491" s="15"/>
    </row>
    <row r="9492" spans="1:18" x14ac:dyDescent="0.25">
      <c r="A9492" s="15"/>
      <c r="R9492" s="15"/>
    </row>
    <row r="9493" spans="1:18" x14ac:dyDescent="0.25">
      <c r="A9493" s="15"/>
      <c r="R9493" s="15"/>
    </row>
    <row r="9494" spans="1:18" x14ac:dyDescent="0.25">
      <c r="A9494" s="15"/>
      <c r="R9494" s="15"/>
    </row>
    <row r="9495" spans="1:18" x14ac:dyDescent="0.25">
      <c r="A9495" s="15"/>
      <c r="R9495" s="15"/>
    </row>
    <row r="9496" spans="1:18" x14ac:dyDescent="0.25">
      <c r="A9496" s="15"/>
      <c r="R9496" s="15"/>
    </row>
    <row r="9497" spans="1:18" x14ac:dyDescent="0.25">
      <c r="A9497" s="15"/>
      <c r="R9497" s="15"/>
    </row>
    <row r="9498" spans="1:18" x14ac:dyDescent="0.25">
      <c r="A9498" s="15"/>
      <c r="R9498" s="15"/>
    </row>
    <row r="9499" spans="1:18" x14ac:dyDescent="0.25">
      <c r="A9499" s="15"/>
      <c r="R9499" s="15"/>
    </row>
    <row r="9500" spans="1:18" x14ac:dyDescent="0.25">
      <c r="A9500" s="15"/>
      <c r="R9500" s="15"/>
    </row>
    <row r="9501" spans="1:18" x14ac:dyDescent="0.25">
      <c r="A9501" s="15"/>
      <c r="R9501" s="15"/>
    </row>
    <row r="9502" spans="1:18" x14ac:dyDescent="0.25">
      <c r="A9502" s="15"/>
      <c r="R9502" s="15"/>
    </row>
    <row r="9503" spans="1:18" x14ac:dyDescent="0.25">
      <c r="A9503" s="15"/>
      <c r="R9503" s="15"/>
    </row>
    <row r="9504" spans="1:18" x14ac:dyDescent="0.25">
      <c r="A9504" s="15"/>
      <c r="R9504" s="15"/>
    </row>
    <row r="9505" spans="1:18" x14ac:dyDescent="0.25">
      <c r="A9505" s="15"/>
      <c r="R9505" s="15"/>
    </row>
    <row r="9506" spans="1:18" x14ac:dyDescent="0.25">
      <c r="A9506" s="15"/>
      <c r="R9506" s="15"/>
    </row>
    <row r="9507" spans="1:18" x14ac:dyDescent="0.25">
      <c r="A9507" s="15"/>
      <c r="R9507" s="15"/>
    </row>
    <row r="9508" spans="1:18" x14ac:dyDescent="0.25">
      <c r="A9508" s="15"/>
      <c r="R9508" s="15"/>
    </row>
    <row r="9509" spans="1:18" x14ac:dyDescent="0.25">
      <c r="A9509" s="15"/>
      <c r="R9509" s="15"/>
    </row>
    <row r="9510" spans="1:18" x14ac:dyDescent="0.25">
      <c r="A9510" s="15"/>
      <c r="R9510" s="15"/>
    </row>
    <row r="9511" spans="1:18" x14ac:dyDescent="0.25">
      <c r="A9511" s="15"/>
      <c r="R9511" s="15"/>
    </row>
    <row r="9512" spans="1:18" x14ac:dyDescent="0.25">
      <c r="A9512" s="15"/>
      <c r="R9512" s="15"/>
    </row>
    <row r="9513" spans="1:18" x14ac:dyDescent="0.25">
      <c r="A9513" s="15"/>
      <c r="R9513" s="15"/>
    </row>
    <row r="9514" spans="1:18" x14ac:dyDescent="0.25">
      <c r="A9514" s="15"/>
      <c r="R9514" s="15"/>
    </row>
    <row r="9515" spans="1:18" x14ac:dyDescent="0.25">
      <c r="A9515" s="15"/>
      <c r="R9515" s="15"/>
    </row>
    <row r="9516" spans="1:18" x14ac:dyDescent="0.25">
      <c r="A9516" s="15"/>
      <c r="R9516" s="15"/>
    </row>
    <row r="9517" spans="1:18" x14ac:dyDescent="0.25">
      <c r="A9517" s="15"/>
      <c r="R9517" s="15"/>
    </row>
    <row r="9518" spans="1:18" x14ac:dyDescent="0.25">
      <c r="A9518" s="15"/>
      <c r="R9518" s="15"/>
    </row>
    <row r="9519" spans="1:18" x14ac:dyDescent="0.25">
      <c r="A9519" s="15"/>
      <c r="R9519" s="15"/>
    </row>
    <row r="9520" spans="1:18" x14ac:dyDescent="0.25">
      <c r="A9520" s="15"/>
      <c r="R9520" s="15"/>
    </row>
    <row r="9521" spans="1:18" x14ac:dyDescent="0.25">
      <c r="A9521" s="15"/>
      <c r="R9521" s="15"/>
    </row>
    <row r="9522" spans="1:18" x14ac:dyDescent="0.25">
      <c r="A9522" s="15"/>
      <c r="R9522" s="15"/>
    </row>
    <row r="9523" spans="1:18" x14ac:dyDescent="0.25">
      <c r="A9523" s="15"/>
      <c r="R9523" s="15"/>
    </row>
    <row r="9524" spans="1:18" x14ac:dyDescent="0.25">
      <c r="A9524" s="15"/>
      <c r="R9524" s="15"/>
    </row>
    <row r="9525" spans="1:18" x14ac:dyDescent="0.25">
      <c r="A9525" s="15"/>
      <c r="R9525" s="15"/>
    </row>
    <row r="9526" spans="1:18" x14ac:dyDescent="0.25">
      <c r="A9526" s="15"/>
      <c r="R9526" s="15"/>
    </row>
    <row r="9527" spans="1:18" x14ac:dyDescent="0.25">
      <c r="A9527" s="15"/>
      <c r="R9527" s="15"/>
    </row>
    <row r="9528" spans="1:18" x14ac:dyDescent="0.25">
      <c r="A9528" s="15"/>
      <c r="R9528" s="15"/>
    </row>
    <row r="9529" spans="1:18" x14ac:dyDescent="0.25">
      <c r="A9529" s="15"/>
      <c r="R9529" s="15"/>
    </row>
    <row r="9530" spans="1:18" x14ac:dyDescent="0.25">
      <c r="A9530" s="15"/>
      <c r="R9530" s="15"/>
    </row>
    <row r="9531" spans="1:18" x14ac:dyDescent="0.25">
      <c r="A9531" s="15"/>
      <c r="R9531" s="15"/>
    </row>
    <row r="9532" spans="1:18" x14ac:dyDescent="0.25">
      <c r="A9532" s="15"/>
      <c r="R9532" s="15"/>
    </row>
    <row r="9533" spans="1:18" x14ac:dyDescent="0.25">
      <c r="A9533" s="15"/>
      <c r="R9533" s="15"/>
    </row>
    <row r="9534" spans="1:18" x14ac:dyDescent="0.25">
      <c r="A9534" s="15"/>
      <c r="R9534" s="15"/>
    </row>
    <row r="9535" spans="1:18" x14ac:dyDescent="0.25">
      <c r="A9535" s="15"/>
      <c r="R9535" s="15"/>
    </row>
    <row r="9536" spans="1:18" x14ac:dyDescent="0.25">
      <c r="A9536" s="15"/>
      <c r="R9536" s="15"/>
    </row>
    <row r="9537" spans="1:18" x14ac:dyDescent="0.25">
      <c r="A9537" s="15"/>
      <c r="R9537" s="15"/>
    </row>
    <row r="9538" spans="1:18" x14ac:dyDescent="0.25">
      <c r="A9538" s="15"/>
      <c r="R9538" s="15"/>
    </row>
    <row r="9539" spans="1:18" x14ac:dyDescent="0.25">
      <c r="A9539" s="15"/>
      <c r="R9539" s="15"/>
    </row>
    <row r="9540" spans="1:18" x14ac:dyDescent="0.25">
      <c r="A9540" s="15"/>
      <c r="R9540" s="15"/>
    </row>
    <row r="9541" spans="1:18" x14ac:dyDescent="0.25">
      <c r="A9541" s="15"/>
      <c r="R9541" s="15"/>
    </row>
    <row r="9542" spans="1:18" x14ac:dyDescent="0.25">
      <c r="A9542" s="15"/>
      <c r="R9542" s="15"/>
    </row>
    <row r="9543" spans="1:18" x14ac:dyDescent="0.25">
      <c r="A9543" s="15"/>
      <c r="R9543" s="15"/>
    </row>
    <row r="9544" spans="1:18" x14ac:dyDescent="0.25">
      <c r="A9544" s="15"/>
      <c r="R9544" s="15"/>
    </row>
    <row r="9545" spans="1:18" x14ac:dyDescent="0.25">
      <c r="A9545" s="15"/>
      <c r="R9545" s="15"/>
    </row>
    <row r="9546" spans="1:18" x14ac:dyDescent="0.25">
      <c r="A9546" s="15"/>
      <c r="R9546" s="15"/>
    </row>
    <row r="9547" spans="1:18" x14ac:dyDescent="0.25">
      <c r="A9547" s="15"/>
      <c r="R9547" s="15"/>
    </row>
    <row r="9548" spans="1:18" x14ac:dyDescent="0.25">
      <c r="A9548" s="15"/>
      <c r="R9548" s="15"/>
    </row>
    <row r="9549" spans="1:18" x14ac:dyDescent="0.25">
      <c r="A9549" s="15"/>
      <c r="R9549" s="15"/>
    </row>
    <row r="9550" spans="1:18" x14ac:dyDescent="0.25">
      <c r="A9550" s="15"/>
      <c r="R9550" s="15"/>
    </row>
    <row r="9551" spans="1:18" x14ac:dyDescent="0.25">
      <c r="A9551" s="15"/>
      <c r="R9551" s="15"/>
    </row>
    <row r="9552" spans="1:18" x14ac:dyDescent="0.25">
      <c r="A9552" s="15"/>
      <c r="R9552" s="15"/>
    </row>
    <row r="9553" spans="1:18" x14ac:dyDescent="0.25">
      <c r="A9553" s="15"/>
      <c r="R9553" s="15"/>
    </row>
    <row r="9554" spans="1:18" x14ac:dyDescent="0.25">
      <c r="A9554" s="15"/>
      <c r="R9554" s="15"/>
    </row>
    <row r="9555" spans="1:18" x14ac:dyDescent="0.25">
      <c r="A9555" s="15"/>
      <c r="R9555" s="15"/>
    </row>
    <row r="9556" spans="1:18" x14ac:dyDescent="0.25">
      <c r="A9556" s="15"/>
      <c r="R9556" s="15"/>
    </row>
    <row r="9557" spans="1:18" x14ac:dyDescent="0.25">
      <c r="A9557" s="15"/>
      <c r="R9557" s="15"/>
    </row>
    <row r="9558" spans="1:18" x14ac:dyDescent="0.25">
      <c r="A9558" s="15"/>
      <c r="R9558" s="15"/>
    </row>
    <row r="9559" spans="1:18" x14ac:dyDescent="0.25">
      <c r="A9559" s="15"/>
      <c r="R9559" s="15"/>
    </row>
    <row r="9560" spans="1:18" x14ac:dyDescent="0.25">
      <c r="A9560" s="15"/>
      <c r="R9560" s="15"/>
    </row>
    <row r="9561" spans="1:18" x14ac:dyDescent="0.25">
      <c r="A9561" s="15"/>
      <c r="R9561" s="15"/>
    </row>
    <row r="9562" spans="1:18" x14ac:dyDescent="0.25">
      <c r="A9562" s="15"/>
      <c r="R9562" s="15"/>
    </row>
    <row r="9563" spans="1:18" x14ac:dyDescent="0.25">
      <c r="A9563" s="15"/>
      <c r="R9563" s="15"/>
    </row>
    <row r="9564" spans="1:18" x14ac:dyDescent="0.25">
      <c r="A9564" s="15"/>
      <c r="R9564" s="15"/>
    </row>
    <row r="9565" spans="1:18" x14ac:dyDescent="0.25">
      <c r="A9565" s="15"/>
      <c r="R9565" s="15"/>
    </row>
    <row r="9566" spans="1:18" x14ac:dyDescent="0.25">
      <c r="A9566" s="15"/>
      <c r="R9566" s="15"/>
    </row>
    <row r="9567" spans="1:18" x14ac:dyDescent="0.25">
      <c r="A9567" s="15"/>
      <c r="R9567" s="15"/>
    </row>
    <row r="9568" spans="1:18" x14ac:dyDescent="0.25">
      <c r="A9568" s="15"/>
      <c r="R9568" s="15"/>
    </row>
    <row r="9569" spans="1:18" x14ac:dyDescent="0.25">
      <c r="A9569" s="15"/>
      <c r="R9569" s="15"/>
    </row>
    <row r="9570" spans="1:18" x14ac:dyDescent="0.25">
      <c r="A9570" s="15"/>
      <c r="R9570" s="15"/>
    </row>
    <row r="9571" spans="1:18" x14ac:dyDescent="0.25">
      <c r="A9571" s="15"/>
      <c r="R9571" s="15"/>
    </row>
    <row r="9572" spans="1:18" x14ac:dyDescent="0.25">
      <c r="A9572" s="15"/>
      <c r="R9572" s="15"/>
    </row>
    <row r="9573" spans="1:18" x14ac:dyDescent="0.25">
      <c r="A9573" s="15"/>
      <c r="R9573" s="15"/>
    </row>
    <row r="9574" spans="1:18" x14ac:dyDescent="0.25">
      <c r="A9574" s="15"/>
      <c r="R9574" s="15"/>
    </row>
    <row r="9575" spans="1:18" x14ac:dyDescent="0.25">
      <c r="A9575" s="15"/>
      <c r="R9575" s="15"/>
    </row>
    <row r="9576" spans="1:18" x14ac:dyDescent="0.25">
      <c r="A9576" s="15"/>
      <c r="R9576" s="15"/>
    </row>
    <row r="9577" spans="1:18" x14ac:dyDescent="0.25">
      <c r="A9577" s="15"/>
      <c r="R9577" s="15"/>
    </row>
    <row r="9578" spans="1:18" x14ac:dyDescent="0.25">
      <c r="A9578" s="15"/>
      <c r="R9578" s="15"/>
    </row>
    <row r="9579" spans="1:18" x14ac:dyDescent="0.25">
      <c r="A9579" s="15"/>
      <c r="R9579" s="15"/>
    </row>
    <row r="9580" spans="1:18" x14ac:dyDescent="0.25">
      <c r="A9580" s="15"/>
      <c r="R9580" s="15"/>
    </row>
    <row r="9581" spans="1:18" x14ac:dyDescent="0.25">
      <c r="A9581" s="15"/>
      <c r="R9581" s="15"/>
    </row>
    <row r="9582" spans="1:18" x14ac:dyDescent="0.25">
      <c r="A9582" s="15"/>
      <c r="R9582" s="15"/>
    </row>
    <row r="9583" spans="1:18" x14ac:dyDescent="0.25">
      <c r="A9583" s="15"/>
      <c r="R9583" s="15"/>
    </row>
    <row r="9584" spans="1:18" x14ac:dyDescent="0.25">
      <c r="A9584" s="15"/>
      <c r="R9584" s="15"/>
    </row>
    <row r="9585" spans="1:18" x14ac:dyDescent="0.25">
      <c r="A9585" s="15"/>
      <c r="R9585" s="15"/>
    </row>
    <row r="9586" spans="1:18" x14ac:dyDescent="0.25">
      <c r="A9586" s="15"/>
      <c r="R9586" s="15"/>
    </row>
    <row r="9587" spans="1:18" x14ac:dyDescent="0.25">
      <c r="A9587" s="15"/>
      <c r="R9587" s="15"/>
    </row>
    <row r="9588" spans="1:18" x14ac:dyDescent="0.25">
      <c r="A9588" s="15"/>
      <c r="R9588" s="15"/>
    </row>
    <row r="9589" spans="1:18" x14ac:dyDescent="0.25">
      <c r="A9589" s="15"/>
      <c r="R9589" s="15"/>
    </row>
    <row r="9590" spans="1:18" x14ac:dyDescent="0.25">
      <c r="A9590" s="15"/>
      <c r="R9590" s="15"/>
    </row>
    <row r="9591" spans="1:18" x14ac:dyDescent="0.25">
      <c r="A9591" s="15"/>
      <c r="R9591" s="15"/>
    </row>
    <row r="9592" spans="1:18" x14ac:dyDescent="0.25">
      <c r="A9592" s="15"/>
      <c r="R9592" s="15"/>
    </row>
    <row r="9593" spans="1:18" x14ac:dyDescent="0.25">
      <c r="A9593" s="15"/>
      <c r="R9593" s="15"/>
    </row>
    <row r="9594" spans="1:18" x14ac:dyDescent="0.25">
      <c r="A9594" s="15"/>
      <c r="R9594" s="15"/>
    </row>
    <row r="9595" spans="1:18" x14ac:dyDescent="0.25">
      <c r="A9595" s="15"/>
      <c r="R9595" s="15"/>
    </row>
    <row r="9596" spans="1:18" x14ac:dyDescent="0.25">
      <c r="A9596" s="15"/>
      <c r="R9596" s="15"/>
    </row>
    <row r="9597" spans="1:18" x14ac:dyDescent="0.25">
      <c r="A9597" s="15"/>
      <c r="R9597" s="15"/>
    </row>
    <row r="9598" spans="1:18" x14ac:dyDescent="0.25">
      <c r="A9598" s="15"/>
      <c r="R9598" s="15"/>
    </row>
    <row r="9599" spans="1:18" x14ac:dyDescent="0.25">
      <c r="A9599" s="15"/>
      <c r="R9599" s="15"/>
    </row>
    <row r="9600" spans="1:18" x14ac:dyDescent="0.25">
      <c r="A9600" s="15"/>
      <c r="R9600" s="15"/>
    </row>
    <row r="9601" spans="1:18" x14ac:dyDescent="0.25">
      <c r="A9601" s="15"/>
      <c r="R9601" s="15"/>
    </row>
    <row r="9602" spans="1:18" x14ac:dyDescent="0.25">
      <c r="A9602" s="15"/>
      <c r="R9602" s="15"/>
    </row>
    <row r="9603" spans="1:18" x14ac:dyDescent="0.25">
      <c r="A9603" s="15"/>
      <c r="R9603" s="15"/>
    </row>
    <row r="9604" spans="1:18" x14ac:dyDescent="0.25">
      <c r="A9604" s="15"/>
      <c r="R9604" s="15"/>
    </row>
    <row r="9605" spans="1:18" x14ac:dyDescent="0.25">
      <c r="A9605" s="15"/>
      <c r="R9605" s="15"/>
    </row>
    <row r="9606" spans="1:18" x14ac:dyDescent="0.25">
      <c r="A9606" s="15"/>
      <c r="R9606" s="15"/>
    </row>
    <row r="9607" spans="1:18" x14ac:dyDescent="0.25">
      <c r="A9607" s="15"/>
      <c r="R9607" s="15"/>
    </row>
    <row r="9608" spans="1:18" x14ac:dyDescent="0.25">
      <c r="A9608" s="15"/>
      <c r="R9608" s="15"/>
    </row>
    <row r="9609" spans="1:18" x14ac:dyDescent="0.25">
      <c r="A9609" s="15"/>
      <c r="R9609" s="15"/>
    </row>
    <row r="9610" spans="1:18" x14ac:dyDescent="0.25">
      <c r="A9610" s="15"/>
      <c r="R9610" s="15"/>
    </row>
    <row r="9611" spans="1:18" x14ac:dyDescent="0.25">
      <c r="A9611" s="15"/>
      <c r="R9611" s="15"/>
    </row>
    <row r="9612" spans="1:18" x14ac:dyDescent="0.25">
      <c r="A9612" s="15"/>
      <c r="R9612" s="15"/>
    </row>
    <row r="9613" spans="1:18" x14ac:dyDescent="0.25">
      <c r="A9613" s="15"/>
      <c r="R9613" s="15"/>
    </row>
    <row r="9614" spans="1:18" x14ac:dyDescent="0.25">
      <c r="A9614" s="15"/>
      <c r="R9614" s="15"/>
    </row>
    <row r="9615" spans="1:18" x14ac:dyDescent="0.25">
      <c r="A9615" s="15"/>
      <c r="R9615" s="15"/>
    </row>
    <row r="9616" spans="1:18" x14ac:dyDescent="0.25">
      <c r="A9616" s="15"/>
      <c r="R9616" s="15"/>
    </row>
    <row r="9617" spans="1:18" x14ac:dyDescent="0.25">
      <c r="A9617" s="15"/>
      <c r="R9617" s="15"/>
    </row>
    <row r="9618" spans="1:18" x14ac:dyDescent="0.25">
      <c r="A9618" s="15"/>
      <c r="R9618" s="15"/>
    </row>
    <row r="9619" spans="1:18" x14ac:dyDescent="0.25">
      <c r="A9619" s="15"/>
      <c r="R9619" s="15"/>
    </row>
    <row r="9620" spans="1:18" x14ac:dyDescent="0.25">
      <c r="A9620" s="15"/>
      <c r="R9620" s="15"/>
    </row>
    <row r="9621" spans="1:18" x14ac:dyDescent="0.25">
      <c r="A9621" s="15"/>
      <c r="R9621" s="15"/>
    </row>
    <row r="9622" spans="1:18" x14ac:dyDescent="0.25">
      <c r="A9622" s="15"/>
      <c r="R9622" s="15"/>
    </row>
    <row r="9623" spans="1:18" x14ac:dyDescent="0.25">
      <c r="A9623" s="15"/>
      <c r="R9623" s="15"/>
    </row>
    <row r="9624" spans="1:18" x14ac:dyDescent="0.25">
      <c r="A9624" s="15"/>
      <c r="R9624" s="15"/>
    </row>
    <row r="9625" spans="1:18" x14ac:dyDescent="0.25">
      <c r="A9625" s="15"/>
      <c r="R9625" s="15"/>
    </row>
    <row r="9626" spans="1:18" x14ac:dyDescent="0.25">
      <c r="A9626" s="15"/>
      <c r="R9626" s="15"/>
    </row>
    <row r="9627" spans="1:18" x14ac:dyDescent="0.25">
      <c r="A9627" s="15"/>
      <c r="R9627" s="15"/>
    </row>
    <row r="9628" spans="1:18" x14ac:dyDescent="0.25">
      <c r="A9628" s="15"/>
      <c r="R9628" s="15"/>
    </row>
    <row r="9629" spans="1:18" x14ac:dyDescent="0.25">
      <c r="A9629" s="15"/>
      <c r="R9629" s="15"/>
    </row>
    <row r="9630" spans="1:18" x14ac:dyDescent="0.25">
      <c r="A9630" s="15"/>
      <c r="R9630" s="15"/>
    </row>
    <row r="9631" spans="1:18" x14ac:dyDescent="0.25">
      <c r="A9631" s="15"/>
      <c r="R9631" s="15"/>
    </row>
    <row r="9632" spans="1:18" x14ac:dyDescent="0.25">
      <c r="A9632" s="15"/>
      <c r="R9632" s="15"/>
    </row>
    <row r="9633" spans="1:18" x14ac:dyDescent="0.25">
      <c r="A9633" s="15"/>
      <c r="R9633" s="15"/>
    </row>
    <row r="9634" spans="1:18" x14ac:dyDescent="0.25">
      <c r="A9634" s="15"/>
      <c r="R9634" s="15"/>
    </row>
    <row r="9635" spans="1:18" x14ac:dyDescent="0.25">
      <c r="A9635" s="15"/>
      <c r="R9635" s="15"/>
    </row>
    <row r="9636" spans="1:18" x14ac:dyDescent="0.25">
      <c r="A9636" s="15"/>
      <c r="R9636" s="15"/>
    </row>
    <row r="9637" spans="1:18" x14ac:dyDescent="0.25">
      <c r="A9637" s="15"/>
      <c r="R9637" s="15"/>
    </row>
    <row r="9638" spans="1:18" x14ac:dyDescent="0.25">
      <c r="A9638" s="15"/>
      <c r="R9638" s="15"/>
    </row>
    <row r="9639" spans="1:18" x14ac:dyDescent="0.25">
      <c r="A9639" s="15"/>
      <c r="R9639" s="15"/>
    </row>
    <row r="9640" spans="1:18" x14ac:dyDescent="0.25">
      <c r="A9640" s="15"/>
      <c r="R9640" s="15"/>
    </row>
    <row r="9641" spans="1:18" x14ac:dyDescent="0.25">
      <c r="A9641" s="15"/>
      <c r="R9641" s="15"/>
    </row>
    <row r="9642" spans="1:18" x14ac:dyDescent="0.25">
      <c r="A9642" s="15"/>
      <c r="R9642" s="15"/>
    </row>
    <row r="9643" spans="1:18" x14ac:dyDescent="0.25">
      <c r="A9643" s="15"/>
      <c r="R9643" s="15"/>
    </row>
    <row r="9644" spans="1:18" x14ac:dyDescent="0.25">
      <c r="A9644" s="15"/>
      <c r="R9644" s="15"/>
    </row>
    <row r="9645" spans="1:18" x14ac:dyDescent="0.25">
      <c r="A9645" s="15"/>
      <c r="R9645" s="15"/>
    </row>
    <row r="9646" spans="1:18" x14ac:dyDescent="0.25">
      <c r="A9646" s="15"/>
      <c r="R9646" s="15"/>
    </row>
    <row r="9647" spans="1:18" x14ac:dyDescent="0.25">
      <c r="A9647" s="15"/>
      <c r="R9647" s="15"/>
    </row>
    <row r="9648" spans="1:18" x14ac:dyDescent="0.25">
      <c r="A9648" s="15"/>
      <c r="R9648" s="15"/>
    </row>
    <row r="9649" spans="1:18" x14ac:dyDescent="0.25">
      <c r="A9649" s="15"/>
      <c r="R9649" s="15"/>
    </row>
    <row r="9650" spans="1:18" x14ac:dyDescent="0.25">
      <c r="A9650" s="15"/>
      <c r="R9650" s="15"/>
    </row>
    <row r="9651" spans="1:18" x14ac:dyDescent="0.25">
      <c r="A9651" s="15"/>
      <c r="R9651" s="15"/>
    </row>
    <row r="9652" spans="1:18" x14ac:dyDescent="0.25">
      <c r="A9652" s="15"/>
      <c r="R9652" s="15"/>
    </row>
    <row r="9653" spans="1:18" x14ac:dyDescent="0.25">
      <c r="A9653" s="15"/>
      <c r="R9653" s="15"/>
    </row>
    <row r="9654" spans="1:18" x14ac:dyDescent="0.25">
      <c r="A9654" s="15"/>
      <c r="R9654" s="15"/>
    </row>
    <row r="9655" spans="1:18" x14ac:dyDescent="0.25">
      <c r="A9655" s="15"/>
      <c r="R9655" s="15"/>
    </row>
    <row r="9656" spans="1:18" x14ac:dyDescent="0.25">
      <c r="A9656" s="15"/>
      <c r="R9656" s="15"/>
    </row>
    <row r="9657" spans="1:18" x14ac:dyDescent="0.25">
      <c r="A9657" s="15"/>
      <c r="R9657" s="15"/>
    </row>
    <row r="9658" spans="1:18" x14ac:dyDescent="0.25">
      <c r="A9658" s="15"/>
      <c r="R9658" s="15"/>
    </row>
    <row r="9659" spans="1:18" x14ac:dyDescent="0.25">
      <c r="A9659" s="15"/>
      <c r="R9659" s="15"/>
    </row>
    <row r="9660" spans="1:18" x14ac:dyDescent="0.25">
      <c r="A9660" s="15"/>
      <c r="R9660" s="15"/>
    </row>
    <row r="9661" spans="1:18" x14ac:dyDescent="0.25">
      <c r="A9661" s="15"/>
      <c r="R9661" s="15"/>
    </row>
    <row r="9662" spans="1:18" x14ac:dyDescent="0.25">
      <c r="A9662" s="15"/>
      <c r="R9662" s="15"/>
    </row>
    <row r="9663" spans="1:18" x14ac:dyDescent="0.25">
      <c r="A9663" s="15"/>
      <c r="R9663" s="15"/>
    </row>
    <row r="9664" spans="1:18" x14ac:dyDescent="0.25">
      <c r="A9664" s="15"/>
      <c r="R9664" s="15"/>
    </row>
    <row r="9665" spans="1:18" x14ac:dyDescent="0.25">
      <c r="A9665" s="15"/>
      <c r="R9665" s="15"/>
    </row>
    <row r="9666" spans="1:18" x14ac:dyDescent="0.25">
      <c r="A9666" s="15"/>
      <c r="R9666" s="15"/>
    </row>
    <row r="9667" spans="1:18" x14ac:dyDescent="0.25">
      <c r="A9667" s="15"/>
      <c r="R9667" s="15"/>
    </row>
    <row r="9668" spans="1:18" x14ac:dyDescent="0.25">
      <c r="A9668" s="15"/>
      <c r="R9668" s="15"/>
    </row>
    <row r="9669" spans="1:18" x14ac:dyDescent="0.25">
      <c r="A9669" s="15"/>
      <c r="R9669" s="15"/>
    </row>
    <row r="9670" spans="1:18" x14ac:dyDescent="0.25">
      <c r="A9670" s="15"/>
      <c r="R9670" s="15"/>
    </row>
    <row r="9671" spans="1:18" x14ac:dyDescent="0.25">
      <c r="A9671" s="15"/>
      <c r="R9671" s="15"/>
    </row>
    <row r="9672" spans="1:18" x14ac:dyDescent="0.25">
      <c r="A9672" s="15"/>
      <c r="R9672" s="15"/>
    </row>
    <row r="9673" spans="1:18" x14ac:dyDescent="0.25">
      <c r="A9673" s="15"/>
      <c r="R9673" s="15"/>
    </row>
    <row r="9674" spans="1:18" x14ac:dyDescent="0.25">
      <c r="A9674" s="15"/>
      <c r="R9674" s="15"/>
    </row>
    <row r="9675" spans="1:18" x14ac:dyDescent="0.25">
      <c r="A9675" s="15"/>
      <c r="R9675" s="15"/>
    </row>
    <row r="9676" spans="1:18" x14ac:dyDescent="0.25">
      <c r="A9676" s="15"/>
      <c r="R9676" s="15"/>
    </row>
    <row r="9677" spans="1:18" x14ac:dyDescent="0.25">
      <c r="A9677" s="15"/>
      <c r="R9677" s="15"/>
    </row>
    <row r="9678" spans="1:18" x14ac:dyDescent="0.25">
      <c r="A9678" s="15"/>
      <c r="R9678" s="15"/>
    </row>
    <row r="9679" spans="1:18" x14ac:dyDescent="0.25">
      <c r="A9679" s="15"/>
      <c r="R9679" s="15"/>
    </row>
    <row r="9680" spans="1:18" x14ac:dyDescent="0.25">
      <c r="A9680" s="15"/>
      <c r="R9680" s="15"/>
    </row>
    <row r="9681" spans="1:18" x14ac:dyDescent="0.25">
      <c r="A9681" s="15"/>
      <c r="R9681" s="15"/>
    </row>
    <row r="9682" spans="1:18" x14ac:dyDescent="0.25">
      <c r="A9682" s="15"/>
      <c r="R9682" s="15"/>
    </row>
    <row r="9683" spans="1:18" x14ac:dyDescent="0.25">
      <c r="A9683" s="15"/>
      <c r="R9683" s="15"/>
    </row>
    <row r="9684" spans="1:18" x14ac:dyDescent="0.25">
      <c r="A9684" s="15"/>
      <c r="R9684" s="15"/>
    </row>
    <row r="9685" spans="1:18" x14ac:dyDescent="0.25">
      <c r="A9685" s="15"/>
      <c r="R9685" s="15"/>
    </row>
    <row r="9686" spans="1:18" x14ac:dyDescent="0.25">
      <c r="A9686" s="15"/>
      <c r="R9686" s="15"/>
    </row>
    <row r="9687" spans="1:18" x14ac:dyDescent="0.25">
      <c r="A9687" s="15"/>
      <c r="R9687" s="15"/>
    </row>
    <row r="9688" spans="1:18" x14ac:dyDescent="0.25">
      <c r="A9688" s="15"/>
      <c r="R9688" s="15"/>
    </row>
    <row r="9689" spans="1:18" x14ac:dyDescent="0.25">
      <c r="A9689" s="15"/>
      <c r="R9689" s="15"/>
    </row>
    <row r="9690" spans="1:18" x14ac:dyDescent="0.25">
      <c r="A9690" s="15"/>
      <c r="R9690" s="15"/>
    </row>
    <row r="9691" spans="1:18" x14ac:dyDescent="0.25">
      <c r="A9691" s="15"/>
      <c r="R9691" s="15"/>
    </row>
    <row r="9692" spans="1:18" x14ac:dyDescent="0.25">
      <c r="A9692" s="15"/>
      <c r="R9692" s="15"/>
    </row>
    <row r="9693" spans="1:18" x14ac:dyDescent="0.25">
      <c r="A9693" s="15"/>
      <c r="R9693" s="15"/>
    </row>
    <row r="9694" spans="1:18" x14ac:dyDescent="0.25">
      <c r="A9694" s="15"/>
      <c r="R9694" s="15"/>
    </row>
    <row r="9695" spans="1:18" x14ac:dyDescent="0.25">
      <c r="A9695" s="15"/>
      <c r="R9695" s="15"/>
    </row>
    <row r="9696" spans="1:18" x14ac:dyDescent="0.25">
      <c r="A9696" s="15"/>
      <c r="R9696" s="15"/>
    </row>
    <row r="9697" spans="1:18" x14ac:dyDescent="0.25">
      <c r="A9697" s="15"/>
      <c r="R9697" s="15"/>
    </row>
    <row r="9698" spans="1:18" x14ac:dyDescent="0.25">
      <c r="A9698" s="15"/>
      <c r="R9698" s="15"/>
    </row>
    <row r="9699" spans="1:18" x14ac:dyDescent="0.25">
      <c r="A9699" s="15"/>
      <c r="R9699" s="15"/>
    </row>
    <row r="9700" spans="1:18" x14ac:dyDescent="0.25">
      <c r="A9700" s="15"/>
      <c r="R9700" s="15"/>
    </row>
    <row r="9701" spans="1:18" x14ac:dyDescent="0.25">
      <c r="A9701" s="15"/>
      <c r="R9701" s="15"/>
    </row>
    <row r="9702" spans="1:18" x14ac:dyDescent="0.25">
      <c r="A9702" s="15"/>
      <c r="R9702" s="15"/>
    </row>
    <row r="9703" spans="1:18" x14ac:dyDescent="0.25">
      <c r="A9703" s="15"/>
      <c r="R9703" s="15"/>
    </row>
    <row r="9704" spans="1:18" x14ac:dyDescent="0.25">
      <c r="A9704" s="15"/>
      <c r="R9704" s="15"/>
    </row>
    <row r="9705" spans="1:18" x14ac:dyDescent="0.25">
      <c r="A9705" s="15"/>
      <c r="R9705" s="15"/>
    </row>
    <row r="9706" spans="1:18" x14ac:dyDescent="0.25">
      <c r="A9706" s="15"/>
      <c r="R9706" s="15"/>
    </row>
    <row r="9707" spans="1:18" x14ac:dyDescent="0.25">
      <c r="A9707" s="15"/>
      <c r="R9707" s="15"/>
    </row>
    <row r="9708" spans="1:18" x14ac:dyDescent="0.25">
      <c r="A9708" s="15"/>
      <c r="R9708" s="15"/>
    </row>
    <row r="9709" spans="1:18" x14ac:dyDescent="0.25">
      <c r="A9709" s="15"/>
      <c r="R9709" s="15"/>
    </row>
    <row r="9710" spans="1:18" x14ac:dyDescent="0.25">
      <c r="A9710" s="15"/>
      <c r="R9710" s="15"/>
    </row>
    <row r="9711" spans="1:18" x14ac:dyDescent="0.25">
      <c r="A9711" s="15"/>
      <c r="R9711" s="15"/>
    </row>
    <row r="9712" spans="1:18" x14ac:dyDescent="0.25">
      <c r="A9712" s="15"/>
      <c r="R9712" s="15"/>
    </row>
    <row r="9713" spans="1:18" x14ac:dyDescent="0.25">
      <c r="A9713" s="15"/>
      <c r="R9713" s="15"/>
    </row>
    <row r="9714" spans="1:18" x14ac:dyDescent="0.25">
      <c r="A9714" s="15"/>
      <c r="R9714" s="15"/>
    </row>
    <row r="9715" spans="1:18" x14ac:dyDescent="0.25">
      <c r="A9715" s="15"/>
      <c r="R9715" s="15"/>
    </row>
    <row r="9716" spans="1:18" x14ac:dyDescent="0.25">
      <c r="A9716" s="15"/>
      <c r="R9716" s="15"/>
    </row>
    <row r="9717" spans="1:18" x14ac:dyDescent="0.25">
      <c r="A9717" s="15"/>
      <c r="R9717" s="15"/>
    </row>
    <row r="9718" spans="1:18" x14ac:dyDescent="0.25">
      <c r="A9718" s="15"/>
      <c r="R9718" s="15"/>
    </row>
    <row r="9719" spans="1:18" x14ac:dyDescent="0.25">
      <c r="A9719" s="15"/>
      <c r="R9719" s="15"/>
    </row>
    <row r="9720" spans="1:18" x14ac:dyDescent="0.25">
      <c r="A9720" s="15"/>
      <c r="R9720" s="15"/>
    </row>
    <row r="9721" spans="1:18" x14ac:dyDescent="0.25">
      <c r="A9721" s="15"/>
      <c r="R9721" s="15"/>
    </row>
    <row r="9722" spans="1:18" x14ac:dyDescent="0.25">
      <c r="A9722" s="15"/>
      <c r="R9722" s="15"/>
    </row>
    <row r="9723" spans="1:18" x14ac:dyDescent="0.25">
      <c r="A9723" s="15"/>
      <c r="R9723" s="15"/>
    </row>
    <row r="9724" spans="1:18" x14ac:dyDescent="0.25">
      <c r="A9724" s="15"/>
      <c r="R9724" s="15"/>
    </row>
    <row r="9725" spans="1:18" x14ac:dyDescent="0.25">
      <c r="A9725" s="15"/>
      <c r="R9725" s="15"/>
    </row>
    <row r="9726" spans="1:18" x14ac:dyDescent="0.25">
      <c r="A9726" s="15"/>
      <c r="R9726" s="15"/>
    </row>
    <row r="9727" spans="1:18" x14ac:dyDescent="0.25">
      <c r="A9727" s="15"/>
      <c r="R9727" s="15"/>
    </row>
    <row r="9728" spans="1:18" x14ac:dyDescent="0.25">
      <c r="A9728" s="15"/>
      <c r="R9728" s="15"/>
    </row>
    <row r="9729" spans="1:18" x14ac:dyDescent="0.25">
      <c r="A9729" s="15"/>
      <c r="R9729" s="15"/>
    </row>
    <row r="9730" spans="1:18" x14ac:dyDescent="0.25">
      <c r="A9730" s="15"/>
      <c r="R9730" s="15"/>
    </row>
    <row r="9731" spans="1:18" x14ac:dyDescent="0.25">
      <c r="A9731" s="15"/>
      <c r="R9731" s="15"/>
    </row>
    <row r="9732" spans="1:18" x14ac:dyDescent="0.25">
      <c r="A9732" s="15"/>
      <c r="R9732" s="15"/>
    </row>
    <row r="9733" spans="1:18" x14ac:dyDescent="0.25">
      <c r="A9733" s="15"/>
      <c r="R9733" s="15"/>
    </row>
    <row r="9734" spans="1:18" x14ac:dyDescent="0.25">
      <c r="A9734" s="15"/>
      <c r="R9734" s="15"/>
    </row>
    <row r="9735" spans="1:18" x14ac:dyDescent="0.25">
      <c r="A9735" s="15"/>
      <c r="R9735" s="15"/>
    </row>
    <row r="9736" spans="1:18" x14ac:dyDescent="0.25">
      <c r="A9736" s="15"/>
      <c r="R9736" s="15"/>
    </row>
    <row r="9737" spans="1:18" x14ac:dyDescent="0.25">
      <c r="A9737" s="15"/>
      <c r="R9737" s="15"/>
    </row>
    <row r="9738" spans="1:18" x14ac:dyDescent="0.25">
      <c r="A9738" s="15"/>
      <c r="R9738" s="15"/>
    </row>
    <row r="9739" spans="1:18" x14ac:dyDescent="0.25">
      <c r="A9739" s="15"/>
      <c r="R9739" s="15"/>
    </row>
    <row r="9740" spans="1:18" x14ac:dyDescent="0.25">
      <c r="A9740" s="15"/>
      <c r="R9740" s="15"/>
    </row>
    <row r="9741" spans="1:18" x14ac:dyDescent="0.25">
      <c r="A9741" s="15"/>
      <c r="R9741" s="15"/>
    </row>
    <row r="9742" spans="1:18" x14ac:dyDescent="0.25">
      <c r="A9742" s="15"/>
      <c r="R9742" s="15"/>
    </row>
    <row r="9743" spans="1:18" x14ac:dyDescent="0.25">
      <c r="A9743" s="15"/>
      <c r="R9743" s="15"/>
    </row>
    <row r="9744" spans="1:18" x14ac:dyDescent="0.25">
      <c r="A9744" s="15"/>
      <c r="R9744" s="15"/>
    </row>
    <row r="9745" spans="1:18" x14ac:dyDescent="0.25">
      <c r="A9745" s="15"/>
      <c r="R9745" s="15"/>
    </row>
    <row r="9746" spans="1:18" x14ac:dyDescent="0.25">
      <c r="A9746" s="15"/>
      <c r="R9746" s="15"/>
    </row>
    <row r="9747" spans="1:18" x14ac:dyDescent="0.25">
      <c r="A9747" s="15"/>
      <c r="R9747" s="15"/>
    </row>
    <row r="9748" spans="1:18" x14ac:dyDescent="0.25">
      <c r="A9748" s="15"/>
      <c r="R9748" s="15"/>
    </row>
    <row r="9749" spans="1:18" x14ac:dyDescent="0.25">
      <c r="A9749" s="15"/>
      <c r="R9749" s="15"/>
    </row>
    <row r="9750" spans="1:18" x14ac:dyDescent="0.25">
      <c r="A9750" s="15"/>
      <c r="R9750" s="15"/>
    </row>
    <row r="9751" spans="1:18" x14ac:dyDescent="0.25">
      <c r="A9751" s="15"/>
      <c r="R9751" s="15"/>
    </row>
    <row r="9752" spans="1:18" x14ac:dyDescent="0.25">
      <c r="A9752" s="15"/>
      <c r="R9752" s="15"/>
    </row>
    <row r="9753" spans="1:18" x14ac:dyDescent="0.25">
      <c r="A9753" s="15"/>
      <c r="R9753" s="15"/>
    </row>
    <row r="9754" spans="1:18" x14ac:dyDescent="0.25">
      <c r="A9754" s="15"/>
      <c r="R9754" s="15"/>
    </row>
    <row r="9755" spans="1:18" x14ac:dyDescent="0.25">
      <c r="A9755" s="15"/>
      <c r="R9755" s="15"/>
    </row>
    <row r="9756" spans="1:18" x14ac:dyDescent="0.25">
      <c r="A9756" s="15"/>
      <c r="R9756" s="15"/>
    </row>
    <row r="9757" spans="1:18" x14ac:dyDescent="0.25">
      <c r="A9757" s="15"/>
      <c r="R9757" s="15"/>
    </row>
    <row r="9758" spans="1:18" x14ac:dyDescent="0.25">
      <c r="A9758" s="15"/>
      <c r="R9758" s="15"/>
    </row>
    <row r="9759" spans="1:18" x14ac:dyDescent="0.25">
      <c r="A9759" s="15"/>
      <c r="R9759" s="15"/>
    </row>
    <row r="9760" spans="1:18" x14ac:dyDescent="0.25">
      <c r="A9760" s="15"/>
      <c r="R9760" s="15"/>
    </row>
    <row r="9761" spans="1:18" x14ac:dyDescent="0.25">
      <c r="A9761" s="15"/>
      <c r="R9761" s="15"/>
    </row>
    <row r="9762" spans="1:18" x14ac:dyDescent="0.25">
      <c r="A9762" s="15"/>
      <c r="R9762" s="15"/>
    </row>
    <row r="9763" spans="1:18" x14ac:dyDescent="0.25">
      <c r="A9763" s="15"/>
      <c r="R9763" s="15"/>
    </row>
    <row r="9764" spans="1:18" x14ac:dyDescent="0.25">
      <c r="A9764" s="15"/>
      <c r="R9764" s="15"/>
    </row>
    <row r="9765" spans="1:18" x14ac:dyDescent="0.25">
      <c r="A9765" s="15"/>
      <c r="R9765" s="15"/>
    </row>
    <row r="9766" spans="1:18" x14ac:dyDescent="0.25">
      <c r="A9766" s="15"/>
      <c r="R9766" s="15"/>
    </row>
    <row r="9767" spans="1:18" x14ac:dyDescent="0.25">
      <c r="A9767" s="15"/>
      <c r="R9767" s="15"/>
    </row>
    <row r="9768" spans="1:18" x14ac:dyDescent="0.25">
      <c r="A9768" s="15"/>
      <c r="R9768" s="15"/>
    </row>
    <row r="9769" spans="1:18" x14ac:dyDescent="0.25">
      <c r="A9769" s="15"/>
      <c r="R9769" s="15"/>
    </row>
    <row r="9770" spans="1:18" x14ac:dyDescent="0.25">
      <c r="A9770" s="15"/>
      <c r="R9770" s="15"/>
    </row>
    <row r="9771" spans="1:18" x14ac:dyDescent="0.25">
      <c r="A9771" s="15"/>
      <c r="R9771" s="15"/>
    </row>
    <row r="9772" spans="1:18" x14ac:dyDescent="0.25">
      <c r="A9772" s="15"/>
      <c r="R9772" s="15"/>
    </row>
    <row r="9773" spans="1:18" x14ac:dyDescent="0.25">
      <c r="A9773" s="15"/>
      <c r="R9773" s="15"/>
    </row>
    <row r="9774" spans="1:18" x14ac:dyDescent="0.25">
      <c r="A9774" s="15"/>
      <c r="R9774" s="15"/>
    </row>
    <row r="9775" spans="1:18" x14ac:dyDescent="0.25">
      <c r="A9775" s="15"/>
      <c r="R9775" s="15"/>
    </row>
    <row r="9776" spans="1:18" x14ac:dyDescent="0.25">
      <c r="A9776" s="15"/>
      <c r="R9776" s="15"/>
    </row>
    <row r="9777" spans="1:18" x14ac:dyDescent="0.25">
      <c r="A9777" s="15"/>
      <c r="R9777" s="15"/>
    </row>
    <row r="9778" spans="1:18" x14ac:dyDescent="0.25">
      <c r="A9778" s="15"/>
      <c r="R9778" s="15"/>
    </row>
    <row r="9779" spans="1:18" x14ac:dyDescent="0.25">
      <c r="A9779" s="15"/>
      <c r="R9779" s="15"/>
    </row>
    <row r="9780" spans="1:18" x14ac:dyDescent="0.25">
      <c r="A9780" s="15"/>
      <c r="R9780" s="15"/>
    </row>
    <row r="9781" spans="1:18" x14ac:dyDescent="0.25">
      <c r="A9781" s="15"/>
      <c r="R9781" s="15"/>
    </row>
    <row r="9782" spans="1:18" x14ac:dyDescent="0.25">
      <c r="A9782" s="15"/>
      <c r="R9782" s="15"/>
    </row>
    <row r="9783" spans="1:18" x14ac:dyDescent="0.25">
      <c r="A9783" s="15"/>
      <c r="R9783" s="15"/>
    </row>
    <row r="9784" spans="1:18" x14ac:dyDescent="0.25">
      <c r="A9784" s="15"/>
      <c r="R9784" s="15"/>
    </row>
    <row r="9785" spans="1:18" x14ac:dyDescent="0.25">
      <c r="A9785" s="15"/>
      <c r="R9785" s="15"/>
    </row>
    <row r="9786" spans="1:18" x14ac:dyDescent="0.25">
      <c r="A9786" s="15"/>
      <c r="R9786" s="15"/>
    </row>
    <row r="9787" spans="1:18" x14ac:dyDescent="0.25">
      <c r="A9787" s="15"/>
      <c r="R9787" s="15"/>
    </row>
    <row r="9788" spans="1:18" x14ac:dyDescent="0.25">
      <c r="A9788" s="15"/>
      <c r="R9788" s="15"/>
    </row>
    <row r="9789" spans="1:18" x14ac:dyDescent="0.25">
      <c r="A9789" s="15"/>
      <c r="R9789" s="15"/>
    </row>
    <row r="9790" spans="1:18" x14ac:dyDescent="0.25">
      <c r="A9790" s="15"/>
      <c r="R9790" s="15"/>
    </row>
    <row r="9791" spans="1:18" x14ac:dyDescent="0.25">
      <c r="A9791" s="15"/>
      <c r="R9791" s="15"/>
    </row>
    <row r="9792" spans="1:18" x14ac:dyDescent="0.25">
      <c r="A9792" s="15"/>
      <c r="R9792" s="15"/>
    </row>
    <row r="9793" spans="1:18" x14ac:dyDescent="0.25">
      <c r="A9793" s="15"/>
      <c r="R9793" s="15"/>
    </row>
    <row r="9794" spans="1:18" x14ac:dyDescent="0.25">
      <c r="A9794" s="15"/>
      <c r="R9794" s="15"/>
    </row>
    <row r="9795" spans="1:18" x14ac:dyDescent="0.25">
      <c r="A9795" s="15"/>
      <c r="R9795" s="15"/>
    </row>
    <row r="9796" spans="1:18" x14ac:dyDescent="0.25">
      <c r="A9796" s="15"/>
      <c r="R9796" s="15"/>
    </row>
    <row r="9797" spans="1:18" x14ac:dyDescent="0.25">
      <c r="A9797" s="15"/>
      <c r="R9797" s="15"/>
    </row>
    <row r="9798" spans="1:18" x14ac:dyDescent="0.25">
      <c r="A9798" s="15"/>
      <c r="R9798" s="15"/>
    </row>
    <row r="9799" spans="1:18" x14ac:dyDescent="0.25">
      <c r="A9799" s="15"/>
      <c r="R9799" s="15"/>
    </row>
    <row r="9800" spans="1:18" x14ac:dyDescent="0.25">
      <c r="A9800" s="15"/>
      <c r="R9800" s="15"/>
    </row>
    <row r="9801" spans="1:18" x14ac:dyDescent="0.25">
      <c r="A9801" s="15"/>
      <c r="R9801" s="15"/>
    </row>
    <row r="9802" spans="1:18" x14ac:dyDescent="0.25">
      <c r="A9802" s="15"/>
      <c r="R9802" s="15"/>
    </row>
    <row r="9803" spans="1:18" x14ac:dyDescent="0.25">
      <c r="A9803" s="15"/>
      <c r="R9803" s="15"/>
    </row>
    <row r="9804" spans="1:18" x14ac:dyDescent="0.25">
      <c r="A9804" s="15"/>
      <c r="R9804" s="15"/>
    </row>
    <row r="9805" spans="1:18" x14ac:dyDescent="0.25">
      <c r="A9805" s="15"/>
      <c r="R9805" s="15"/>
    </row>
    <row r="9806" spans="1:18" x14ac:dyDescent="0.25">
      <c r="A9806" s="15"/>
      <c r="R9806" s="15"/>
    </row>
    <row r="9807" spans="1:18" x14ac:dyDescent="0.25">
      <c r="A9807" s="15"/>
      <c r="R9807" s="15"/>
    </row>
    <row r="9808" spans="1:18" x14ac:dyDescent="0.25">
      <c r="A9808" s="15"/>
      <c r="R9808" s="15"/>
    </row>
    <row r="9809" spans="1:18" x14ac:dyDescent="0.25">
      <c r="A9809" s="15"/>
      <c r="R9809" s="15"/>
    </row>
    <row r="9810" spans="1:18" x14ac:dyDescent="0.25">
      <c r="A9810" s="15"/>
      <c r="R9810" s="15"/>
    </row>
    <row r="9811" spans="1:18" x14ac:dyDescent="0.25">
      <c r="A9811" s="15"/>
      <c r="R9811" s="15"/>
    </row>
    <row r="9812" spans="1:18" x14ac:dyDescent="0.25">
      <c r="A9812" s="15"/>
      <c r="R9812" s="15"/>
    </row>
    <row r="9813" spans="1:18" x14ac:dyDescent="0.25">
      <c r="A9813" s="15"/>
      <c r="R9813" s="15"/>
    </row>
    <row r="9814" spans="1:18" x14ac:dyDescent="0.25">
      <c r="A9814" s="15"/>
      <c r="R9814" s="15"/>
    </row>
    <row r="9815" spans="1:18" x14ac:dyDescent="0.25">
      <c r="A9815" s="15"/>
      <c r="R9815" s="15"/>
    </row>
    <row r="9816" spans="1:18" x14ac:dyDescent="0.25">
      <c r="A9816" s="15"/>
      <c r="R9816" s="15"/>
    </row>
    <row r="9817" spans="1:18" x14ac:dyDescent="0.25">
      <c r="A9817" s="15"/>
      <c r="R9817" s="15"/>
    </row>
    <row r="9818" spans="1:18" x14ac:dyDescent="0.25">
      <c r="A9818" s="15"/>
      <c r="R9818" s="15"/>
    </row>
    <row r="9819" spans="1:18" x14ac:dyDescent="0.25">
      <c r="A9819" s="15"/>
      <c r="R9819" s="15"/>
    </row>
    <row r="9820" spans="1:18" x14ac:dyDescent="0.25">
      <c r="A9820" s="15"/>
      <c r="R9820" s="15"/>
    </row>
    <row r="9821" spans="1:18" x14ac:dyDescent="0.25">
      <c r="A9821" s="15"/>
      <c r="R9821" s="15"/>
    </row>
    <row r="9822" spans="1:18" x14ac:dyDescent="0.25">
      <c r="A9822" s="15"/>
      <c r="R9822" s="15"/>
    </row>
    <row r="9823" spans="1:18" x14ac:dyDescent="0.25">
      <c r="A9823" s="15"/>
      <c r="R9823" s="15"/>
    </row>
    <row r="9824" spans="1:18" x14ac:dyDescent="0.25">
      <c r="A9824" s="15"/>
      <c r="R9824" s="15"/>
    </row>
    <row r="9825" spans="1:18" x14ac:dyDescent="0.25">
      <c r="A9825" s="15"/>
      <c r="R9825" s="15"/>
    </row>
    <row r="9826" spans="1:18" x14ac:dyDescent="0.25">
      <c r="A9826" s="15"/>
      <c r="R9826" s="15"/>
    </row>
    <row r="9827" spans="1:18" x14ac:dyDescent="0.25">
      <c r="A9827" s="15"/>
      <c r="R9827" s="15"/>
    </row>
    <row r="9828" spans="1:18" x14ac:dyDescent="0.25">
      <c r="A9828" s="15"/>
      <c r="R9828" s="15"/>
    </row>
    <row r="9829" spans="1:18" x14ac:dyDescent="0.25">
      <c r="A9829" s="15"/>
      <c r="R9829" s="15"/>
    </row>
    <row r="9830" spans="1:18" x14ac:dyDescent="0.25">
      <c r="A9830" s="15"/>
      <c r="R9830" s="15"/>
    </row>
    <row r="9831" spans="1:18" x14ac:dyDescent="0.25">
      <c r="A9831" s="15"/>
      <c r="R9831" s="15"/>
    </row>
    <row r="9832" spans="1:18" x14ac:dyDescent="0.25">
      <c r="A9832" s="15"/>
      <c r="R9832" s="15"/>
    </row>
    <row r="9833" spans="1:18" x14ac:dyDescent="0.25">
      <c r="A9833" s="15"/>
      <c r="R9833" s="15"/>
    </row>
    <row r="9834" spans="1:18" x14ac:dyDescent="0.25">
      <c r="A9834" s="15"/>
      <c r="R9834" s="15"/>
    </row>
    <row r="9835" spans="1:18" x14ac:dyDescent="0.25">
      <c r="A9835" s="15"/>
      <c r="R9835" s="15"/>
    </row>
    <row r="9836" spans="1:18" x14ac:dyDescent="0.25">
      <c r="A9836" s="15"/>
      <c r="R9836" s="15"/>
    </row>
    <row r="9837" spans="1:18" x14ac:dyDescent="0.25">
      <c r="A9837" s="15"/>
      <c r="R9837" s="15"/>
    </row>
    <row r="9838" spans="1:18" x14ac:dyDescent="0.25">
      <c r="A9838" s="15"/>
      <c r="R9838" s="15"/>
    </row>
    <row r="9839" spans="1:18" x14ac:dyDescent="0.25">
      <c r="A9839" s="15"/>
      <c r="R9839" s="15"/>
    </row>
    <row r="9840" spans="1:18" x14ac:dyDescent="0.25">
      <c r="A9840" s="15"/>
      <c r="R9840" s="15"/>
    </row>
    <row r="9841" spans="1:18" x14ac:dyDescent="0.25">
      <c r="A9841" s="15"/>
      <c r="R9841" s="15"/>
    </row>
    <row r="9842" spans="1:18" x14ac:dyDescent="0.25">
      <c r="A9842" s="15"/>
      <c r="R9842" s="15"/>
    </row>
    <row r="9843" spans="1:18" x14ac:dyDescent="0.25">
      <c r="A9843" s="15"/>
      <c r="R9843" s="15"/>
    </row>
    <row r="9844" spans="1:18" x14ac:dyDescent="0.25">
      <c r="A9844" s="15"/>
      <c r="R9844" s="15"/>
    </row>
    <row r="9845" spans="1:18" x14ac:dyDescent="0.25">
      <c r="A9845" s="15"/>
      <c r="R9845" s="15"/>
    </row>
    <row r="9846" spans="1:18" x14ac:dyDescent="0.25">
      <c r="A9846" s="15"/>
      <c r="R9846" s="15"/>
    </row>
    <row r="9847" spans="1:18" x14ac:dyDescent="0.25">
      <c r="A9847" s="15"/>
      <c r="R9847" s="15"/>
    </row>
    <row r="9848" spans="1:18" x14ac:dyDescent="0.25">
      <c r="A9848" s="15"/>
      <c r="R9848" s="15"/>
    </row>
    <row r="9849" spans="1:18" x14ac:dyDescent="0.25">
      <c r="A9849" s="15"/>
      <c r="R9849" s="15"/>
    </row>
    <row r="9850" spans="1:18" x14ac:dyDescent="0.25">
      <c r="A9850" s="15"/>
      <c r="R9850" s="15"/>
    </row>
    <row r="9851" spans="1:18" x14ac:dyDescent="0.25">
      <c r="A9851" s="15"/>
      <c r="R9851" s="15"/>
    </row>
    <row r="9852" spans="1:18" x14ac:dyDescent="0.25">
      <c r="A9852" s="15"/>
      <c r="R9852" s="15"/>
    </row>
    <row r="9853" spans="1:18" x14ac:dyDescent="0.25">
      <c r="A9853" s="15"/>
      <c r="R9853" s="15"/>
    </row>
    <row r="9854" spans="1:18" x14ac:dyDescent="0.25">
      <c r="A9854" s="15"/>
      <c r="R9854" s="15"/>
    </row>
    <row r="9855" spans="1:18" x14ac:dyDescent="0.25">
      <c r="A9855" s="15"/>
      <c r="R9855" s="15"/>
    </row>
    <row r="9856" spans="1:18" x14ac:dyDescent="0.25">
      <c r="A9856" s="15"/>
      <c r="R9856" s="15"/>
    </row>
    <row r="9857" spans="1:18" x14ac:dyDescent="0.25">
      <c r="A9857" s="15"/>
      <c r="R9857" s="15"/>
    </row>
    <row r="9858" spans="1:18" x14ac:dyDescent="0.25">
      <c r="A9858" s="15"/>
      <c r="R9858" s="15"/>
    </row>
    <row r="9859" spans="1:18" x14ac:dyDescent="0.25">
      <c r="A9859" s="15"/>
      <c r="R9859" s="15"/>
    </row>
    <row r="9860" spans="1:18" x14ac:dyDescent="0.25">
      <c r="A9860" s="15"/>
      <c r="R9860" s="15"/>
    </row>
    <row r="9861" spans="1:18" x14ac:dyDescent="0.25">
      <c r="A9861" s="15"/>
      <c r="R9861" s="15"/>
    </row>
    <row r="9862" spans="1:18" x14ac:dyDescent="0.25">
      <c r="A9862" s="15"/>
      <c r="R9862" s="15"/>
    </row>
    <row r="9863" spans="1:18" x14ac:dyDescent="0.25">
      <c r="A9863" s="15"/>
      <c r="R9863" s="15"/>
    </row>
    <row r="9864" spans="1:18" x14ac:dyDescent="0.25">
      <c r="A9864" s="15"/>
      <c r="R9864" s="15"/>
    </row>
    <row r="9865" spans="1:18" x14ac:dyDescent="0.25">
      <c r="A9865" s="15"/>
      <c r="R9865" s="15"/>
    </row>
    <row r="9866" spans="1:18" x14ac:dyDescent="0.25">
      <c r="A9866" s="15"/>
      <c r="R9866" s="15"/>
    </row>
    <row r="9867" spans="1:18" x14ac:dyDescent="0.25">
      <c r="A9867" s="15"/>
      <c r="R9867" s="15"/>
    </row>
    <row r="9868" spans="1:18" x14ac:dyDescent="0.25">
      <c r="A9868" s="15"/>
      <c r="R9868" s="15"/>
    </row>
    <row r="9869" spans="1:18" x14ac:dyDescent="0.25">
      <c r="A9869" s="15"/>
      <c r="R9869" s="15"/>
    </row>
    <row r="9870" spans="1:18" x14ac:dyDescent="0.25">
      <c r="A9870" s="15"/>
      <c r="R9870" s="15"/>
    </row>
    <row r="9871" spans="1:18" x14ac:dyDescent="0.25">
      <c r="A9871" s="15"/>
      <c r="R9871" s="15"/>
    </row>
    <row r="9872" spans="1:18" x14ac:dyDescent="0.25">
      <c r="A9872" s="15"/>
      <c r="R9872" s="15"/>
    </row>
    <row r="9873" spans="1:18" x14ac:dyDescent="0.25">
      <c r="A9873" s="15"/>
      <c r="R9873" s="15"/>
    </row>
    <row r="9874" spans="1:18" x14ac:dyDescent="0.25">
      <c r="A9874" s="15"/>
      <c r="R9874" s="15"/>
    </row>
    <row r="9875" spans="1:18" x14ac:dyDescent="0.25">
      <c r="A9875" s="15"/>
      <c r="R9875" s="15"/>
    </row>
    <row r="9876" spans="1:18" x14ac:dyDescent="0.25">
      <c r="A9876" s="15"/>
      <c r="R9876" s="15"/>
    </row>
    <row r="9877" spans="1:18" x14ac:dyDescent="0.25">
      <c r="A9877" s="15"/>
      <c r="R9877" s="15"/>
    </row>
    <row r="9878" spans="1:18" x14ac:dyDescent="0.25">
      <c r="A9878" s="15"/>
      <c r="R9878" s="15"/>
    </row>
    <row r="9879" spans="1:18" x14ac:dyDescent="0.25">
      <c r="A9879" s="15"/>
      <c r="R9879" s="15"/>
    </row>
    <row r="9880" spans="1:18" x14ac:dyDescent="0.25">
      <c r="A9880" s="15"/>
      <c r="R9880" s="15"/>
    </row>
    <row r="9881" spans="1:18" x14ac:dyDescent="0.25">
      <c r="A9881" s="15"/>
      <c r="R9881" s="15"/>
    </row>
    <row r="9882" spans="1:18" x14ac:dyDescent="0.25">
      <c r="A9882" s="15"/>
      <c r="R9882" s="15"/>
    </row>
    <row r="9883" spans="1:18" x14ac:dyDescent="0.25">
      <c r="A9883" s="15"/>
      <c r="R9883" s="15"/>
    </row>
    <row r="9884" spans="1:18" x14ac:dyDescent="0.25">
      <c r="A9884" s="15"/>
      <c r="R9884" s="15"/>
    </row>
    <row r="9885" spans="1:18" x14ac:dyDescent="0.25">
      <c r="A9885" s="15"/>
      <c r="R9885" s="15"/>
    </row>
    <row r="9886" spans="1:18" x14ac:dyDescent="0.25">
      <c r="A9886" s="15"/>
      <c r="R9886" s="15"/>
    </row>
    <row r="9887" spans="1:18" x14ac:dyDescent="0.25">
      <c r="A9887" s="15"/>
      <c r="R9887" s="15"/>
    </row>
    <row r="9888" spans="1:18" x14ac:dyDescent="0.25">
      <c r="A9888" s="15"/>
      <c r="R9888" s="15"/>
    </row>
    <row r="9889" spans="1:18" x14ac:dyDescent="0.25">
      <c r="A9889" s="15"/>
      <c r="R9889" s="15"/>
    </row>
    <row r="9890" spans="1:18" x14ac:dyDescent="0.25">
      <c r="A9890" s="15"/>
      <c r="R9890" s="15"/>
    </row>
    <row r="9891" spans="1:18" x14ac:dyDescent="0.25">
      <c r="A9891" s="15"/>
      <c r="R9891" s="15"/>
    </row>
    <row r="9892" spans="1:18" x14ac:dyDescent="0.25">
      <c r="A9892" s="15"/>
      <c r="R9892" s="15"/>
    </row>
    <row r="9893" spans="1:18" x14ac:dyDescent="0.25">
      <c r="A9893" s="15"/>
      <c r="R9893" s="15"/>
    </row>
    <row r="9894" spans="1:18" x14ac:dyDescent="0.25">
      <c r="A9894" s="15"/>
      <c r="R9894" s="15"/>
    </row>
    <row r="9895" spans="1:18" x14ac:dyDescent="0.25">
      <c r="A9895" s="15"/>
      <c r="R9895" s="15"/>
    </row>
    <row r="9896" spans="1:18" x14ac:dyDescent="0.25">
      <c r="A9896" s="15"/>
      <c r="R9896" s="15"/>
    </row>
    <row r="9897" spans="1:18" x14ac:dyDescent="0.25">
      <c r="A9897" s="15"/>
      <c r="R9897" s="15"/>
    </row>
    <row r="9898" spans="1:18" x14ac:dyDescent="0.25">
      <c r="A9898" s="15"/>
      <c r="R9898" s="15"/>
    </row>
    <row r="9899" spans="1:18" x14ac:dyDescent="0.25">
      <c r="A9899" s="15"/>
      <c r="R9899" s="15"/>
    </row>
    <row r="9900" spans="1:18" x14ac:dyDescent="0.25">
      <c r="A9900" s="15"/>
      <c r="R9900" s="15"/>
    </row>
    <row r="9901" spans="1:18" x14ac:dyDescent="0.25">
      <c r="A9901" s="15"/>
      <c r="R9901" s="15"/>
    </row>
    <row r="9902" spans="1:18" x14ac:dyDescent="0.25">
      <c r="A9902" s="15"/>
      <c r="R9902" s="15"/>
    </row>
    <row r="9903" spans="1:18" x14ac:dyDescent="0.25">
      <c r="A9903" s="15"/>
      <c r="R9903" s="15"/>
    </row>
    <row r="9904" spans="1:18" x14ac:dyDescent="0.25">
      <c r="A9904" s="15"/>
      <c r="R9904" s="15"/>
    </row>
    <row r="9905" spans="1:18" x14ac:dyDescent="0.25">
      <c r="A9905" s="15"/>
      <c r="R9905" s="15"/>
    </row>
    <row r="9906" spans="1:18" x14ac:dyDescent="0.25">
      <c r="A9906" s="15"/>
      <c r="R9906" s="15"/>
    </row>
    <row r="9907" spans="1:18" x14ac:dyDescent="0.25">
      <c r="A9907" s="15"/>
      <c r="R9907" s="15"/>
    </row>
    <row r="9908" spans="1:18" x14ac:dyDescent="0.25">
      <c r="A9908" s="15"/>
      <c r="R9908" s="15"/>
    </row>
    <row r="9909" spans="1:18" x14ac:dyDescent="0.25">
      <c r="A9909" s="15"/>
      <c r="R9909" s="15"/>
    </row>
    <row r="9910" spans="1:18" x14ac:dyDescent="0.25">
      <c r="A9910" s="15"/>
      <c r="R9910" s="15"/>
    </row>
    <row r="9911" spans="1:18" x14ac:dyDescent="0.25">
      <c r="A9911" s="15"/>
      <c r="R9911" s="15"/>
    </row>
    <row r="9912" spans="1:18" x14ac:dyDescent="0.25">
      <c r="A9912" s="15"/>
      <c r="R9912" s="15"/>
    </row>
    <row r="9913" spans="1:18" x14ac:dyDescent="0.25">
      <c r="A9913" s="15"/>
      <c r="R9913" s="15"/>
    </row>
    <row r="9914" spans="1:18" x14ac:dyDescent="0.25">
      <c r="A9914" s="15"/>
      <c r="R9914" s="15"/>
    </row>
    <row r="9915" spans="1:18" x14ac:dyDescent="0.25">
      <c r="A9915" s="15"/>
      <c r="R9915" s="15"/>
    </row>
    <row r="9916" spans="1:18" x14ac:dyDescent="0.25">
      <c r="A9916" s="15"/>
      <c r="R9916" s="15"/>
    </row>
    <row r="9917" spans="1:18" x14ac:dyDescent="0.25">
      <c r="A9917" s="15"/>
      <c r="R9917" s="15"/>
    </row>
    <row r="9918" spans="1:18" x14ac:dyDescent="0.25">
      <c r="A9918" s="15"/>
      <c r="R9918" s="15"/>
    </row>
    <row r="9919" spans="1:18" x14ac:dyDescent="0.25">
      <c r="A9919" s="15"/>
      <c r="R9919" s="15"/>
    </row>
    <row r="9920" spans="1:18" x14ac:dyDescent="0.25">
      <c r="A9920" s="15"/>
      <c r="R9920" s="15"/>
    </row>
    <row r="9921" spans="1:18" x14ac:dyDescent="0.25">
      <c r="A9921" s="15"/>
      <c r="R9921" s="15"/>
    </row>
    <row r="9922" spans="1:18" x14ac:dyDescent="0.25">
      <c r="A9922" s="15"/>
      <c r="R9922" s="15"/>
    </row>
    <row r="9923" spans="1:18" x14ac:dyDescent="0.25">
      <c r="A9923" s="15"/>
      <c r="R9923" s="15"/>
    </row>
    <row r="9924" spans="1:18" x14ac:dyDescent="0.25">
      <c r="A9924" s="15"/>
      <c r="R9924" s="15"/>
    </row>
    <row r="9925" spans="1:18" x14ac:dyDescent="0.25">
      <c r="A9925" s="15"/>
      <c r="R9925" s="15"/>
    </row>
    <row r="9926" spans="1:18" x14ac:dyDescent="0.25">
      <c r="A9926" s="15"/>
      <c r="R9926" s="15"/>
    </row>
    <row r="9927" spans="1:18" x14ac:dyDescent="0.25">
      <c r="A9927" s="15"/>
      <c r="R9927" s="15"/>
    </row>
    <row r="9928" spans="1:18" x14ac:dyDescent="0.25">
      <c r="A9928" s="15"/>
      <c r="R9928" s="15"/>
    </row>
    <row r="9929" spans="1:18" x14ac:dyDescent="0.25">
      <c r="A9929" s="15"/>
      <c r="R9929" s="15"/>
    </row>
    <row r="9930" spans="1:18" x14ac:dyDescent="0.25">
      <c r="A9930" s="15"/>
      <c r="R9930" s="15"/>
    </row>
    <row r="9931" spans="1:18" x14ac:dyDescent="0.25">
      <c r="A9931" s="15"/>
      <c r="R9931" s="15"/>
    </row>
    <row r="9932" spans="1:18" x14ac:dyDescent="0.25">
      <c r="A9932" s="15"/>
      <c r="R9932" s="15"/>
    </row>
    <row r="9933" spans="1:18" x14ac:dyDescent="0.25">
      <c r="A9933" s="15"/>
      <c r="R9933" s="15"/>
    </row>
    <row r="9934" spans="1:18" x14ac:dyDescent="0.25">
      <c r="A9934" s="15"/>
      <c r="R9934" s="15"/>
    </row>
    <row r="9935" spans="1:18" x14ac:dyDescent="0.25">
      <c r="A9935" s="15"/>
      <c r="R9935" s="15"/>
    </row>
    <row r="9936" spans="1:18" x14ac:dyDescent="0.25">
      <c r="A9936" s="15"/>
      <c r="R9936" s="15"/>
    </row>
    <row r="9937" spans="1:18" x14ac:dyDescent="0.25">
      <c r="A9937" s="15"/>
      <c r="R9937" s="15"/>
    </row>
    <row r="9938" spans="1:18" x14ac:dyDescent="0.25">
      <c r="A9938" s="15"/>
      <c r="R9938" s="15"/>
    </row>
    <row r="9939" spans="1:18" x14ac:dyDescent="0.25">
      <c r="A9939" s="15"/>
      <c r="R9939" s="15"/>
    </row>
    <row r="9940" spans="1:18" x14ac:dyDescent="0.25">
      <c r="A9940" s="15"/>
      <c r="R9940" s="15"/>
    </row>
    <row r="9941" spans="1:18" x14ac:dyDescent="0.25">
      <c r="A9941" s="15"/>
      <c r="R9941" s="15"/>
    </row>
    <row r="9942" spans="1:18" x14ac:dyDescent="0.25">
      <c r="A9942" s="15"/>
      <c r="R9942" s="15"/>
    </row>
    <row r="9943" spans="1:18" x14ac:dyDescent="0.25">
      <c r="A9943" s="15"/>
      <c r="R9943" s="15"/>
    </row>
    <row r="9944" spans="1:18" x14ac:dyDescent="0.25">
      <c r="A9944" s="15"/>
      <c r="R9944" s="15"/>
    </row>
    <row r="9945" spans="1:18" x14ac:dyDescent="0.25">
      <c r="A9945" s="15"/>
      <c r="R9945" s="15"/>
    </row>
    <row r="9946" spans="1:18" x14ac:dyDescent="0.25">
      <c r="A9946" s="15"/>
      <c r="R9946" s="15"/>
    </row>
    <row r="9947" spans="1:18" x14ac:dyDescent="0.25">
      <c r="A9947" s="15"/>
      <c r="R9947" s="15"/>
    </row>
    <row r="9948" spans="1:18" x14ac:dyDescent="0.25">
      <c r="A9948" s="15"/>
      <c r="R9948" s="15"/>
    </row>
    <row r="9949" spans="1:18" x14ac:dyDescent="0.25">
      <c r="A9949" s="15"/>
      <c r="R9949" s="15"/>
    </row>
    <row r="9950" spans="1:18" x14ac:dyDescent="0.25">
      <c r="A9950" s="15"/>
      <c r="R9950" s="15"/>
    </row>
    <row r="9951" spans="1:18" x14ac:dyDescent="0.25">
      <c r="A9951" s="15"/>
      <c r="R9951" s="15"/>
    </row>
    <row r="9952" spans="1:18" x14ac:dyDescent="0.25">
      <c r="A9952" s="15"/>
      <c r="R9952" s="15"/>
    </row>
    <row r="9953" spans="1:18" x14ac:dyDescent="0.25">
      <c r="A9953" s="15"/>
      <c r="R9953" s="15"/>
    </row>
    <row r="9954" spans="1:18" x14ac:dyDescent="0.25">
      <c r="A9954" s="15"/>
      <c r="R9954" s="15"/>
    </row>
    <row r="9955" spans="1:18" x14ac:dyDescent="0.25">
      <c r="A9955" s="15"/>
      <c r="R9955" s="15"/>
    </row>
    <row r="9956" spans="1:18" x14ac:dyDescent="0.25">
      <c r="A9956" s="15"/>
      <c r="R9956" s="15"/>
    </row>
    <row r="9957" spans="1:18" x14ac:dyDescent="0.25">
      <c r="A9957" s="15"/>
      <c r="R9957" s="15"/>
    </row>
    <row r="9958" spans="1:18" x14ac:dyDescent="0.25">
      <c r="A9958" s="15"/>
      <c r="R9958" s="15"/>
    </row>
    <row r="9959" spans="1:18" x14ac:dyDescent="0.25">
      <c r="A9959" s="15"/>
      <c r="R9959" s="15"/>
    </row>
    <row r="9960" spans="1:18" x14ac:dyDescent="0.25">
      <c r="A9960" s="15"/>
      <c r="R9960" s="15"/>
    </row>
    <row r="9961" spans="1:18" x14ac:dyDescent="0.25">
      <c r="A9961" s="15"/>
      <c r="R9961" s="15"/>
    </row>
    <row r="9962" spans="1:18" x14ac:dyDescent="0.25">
      <c r="A9962" s="15"/>
      <c r="R9962" s="15"/>
    </row>
    <row r="9963" spans="1:18" x14ac:dyDescent="0.25">
      <c r="A9963" s="15"/>
      <c r="R9963" s="15"/>
    </row>
    <row r="9964" spans="1:18" x14ac:dyDescent="0.25">
      <c r="A9964" s="15"/>
      <c r="R9964" s="15"/>
    </row>
    <row r="9965" spans="1:18" x14ac:dyDescent="0.25">
      <c r="A9965" s="15"/>
      <c r="R9965" s="15"/>
    </row>
    <row r="9966" spans="1:18" x14ac:dyDescent="0.25">
      <c r="A9966" s="15"/>
      <c r="R9966" s="15"/>
    </row>
    <row r="9967" spans="1:18" x14ac:dyDescent="0.25">
      <c r="A9967" s="15"/>
      <c r="R9967" s="15"/>
    </row>
    <row r="9968" spans="1:18" x14ac:dyDescent="0.25">
      <c r="A9968" s="15"/>
      <c r="R9968" s="15"/>
    </row>
    <row r="9969" spans="1:18" x14ac:dyDescent="0.25">
      <c r="A9969" s="15"/>
      <c r="R9969" s="15"/>
    </row>
    <row r="9970" spans="1:18" x14ac:dyDescent="0.25">
      <c r="A9970" s="15"/>
      <c r="R9970" s="15"/>
    </row>
    <row r="9971" spans="1:18" x14ac:dyDescent="0.25">
      <c r="A9971" s="15"/>
      <c r="R9971" s="15"/>
    </row>
    <row r="9972" spans="1:18" x14ac:dyDescent="0.25">
      <c r="A9972" s="15"/>
      <c r="R9972" s="15"/>
    </row>
    <row r="9973" spans="1:18" x14ac:dyDescent="0.25">
      <c r="A9973" s="15"/>
      <c r="R9973" s="15"/>
    </row>
    <row r="9974" spans="1:18" x14ac:dyDescent="0.25">
      <c r="A9974" s="15"/>
      <c r="R9974" s="15"/>
    </row>
    <row r="9975" spans="1:18" x14ac:dyDescent="0.25">
      <c r="A9975" s="15"/>
      <c r="R9975" s="15"/>
    </row>
    <row r="9976" spans="1:18" x14ac:dyDescent="0.25">
      <c r="A9976" s="15"/>
      <c r="R9976" s="15"/>
    </row>
    <row r="9977" spans="1:18" x14ac:dyDescent="0.25">
      <c r="A9977" s="15"/>
      <c r="R9977" s="15"/>
    </row>
    <row r="9978" spans="1:18" x14ac:dyDescent="0.25">
      <c r="A9978" s="15"/>
      <c r="R9978" s="15"/>
    </row>
    <row r="9979" spans="1:18" x14ac:dyDescent="0.25">
      <c r="A9979" s="15"/>
      <c r="R9979" s="15"/>
    </row>
    <row r="9980" spans="1:18" x14ac:dyDescent="0.25">
      <c r="A9980" s="15"/>
      <c r="R9980" s="15"/>
    </row>
    <row r="9981" spans="1:18" x14ac:dyDescent="0.25">
      <c r="A9981" s="15"/>
      <c r="R9981" s="15"/>
    </row>
    <row r="9982" spans="1:18" x14ac:dyDescent="0.25">
      <c r="A9982" s="15"/>
      <c r="R9982" s="15"/>
    </row>
    <row r="9983" spans="1:18" x14ac:dyDescent="0.25">
      <c r="A9983" s="15"/>
      <c r="R9983" s="15"/>
    </row>
    <row r="9984" spans="1:18" x14ac:dyDescent="0.25">
      <c r="A9984" s="15"/>
      <c r="R9984" s="15"/>
    </row>
    <row r="9985" spans="1:18" x14ac:dyDescent="0.25">
      <c r="A9985" s="15"/>
      <c r="R9985" s="15"/>
    </row>
    <row r="9986" spans="1:18" x14ac:dyDescent="0.25">
      <c r="A9986" s="15"/>
      <c r="R9986" s="15"/>
    </row>
    <row r="9987" spans="1:18" x14ac:dyDescent="0.25">
      <c r="A9987" s="15"/>
      <c r="R9987" s="15"/>
    </row>
    <row r="9988" spans="1:18" x14ac:dyDescent="0.25">
      <c r="A9988" s="15"/>
      <c r="R9988" s="15"/>
    </row>
    <row r="9989" spans="1:18" x14ac:dyDescent="0.25">
      <c r="A9989" s="15"/>
      <c r="R9989" s="15"/>
    </row>
    <row r="9990" spans="1:18" x14ac:dyDescent="0.25">
      <c r="A9990" s="15"/>
      <c r="R9990" s="15"/>
    </row>
    <row r="9991" spans="1:18" x14ac:dyDescent="0.25">
      <c r="A9991" s="15"/>
      <c r="R9991" s="15"/>
    </row>
    <row r="9992" spans="1:18" x14ac:dyDescent="0.25">
      <c r="A9992" s="15"/>
      <c r="R9992" s="15"/>
    </row>
    <row r="9993" spans="1:18" x14ac:dyDescent="0.25">
      <c r="A9993" s="15"/>
      <c r="R9993" s="15"/>
    </row>
    <row r="9994" spans="1:18" x14ac:dyDescent="0.25">
      <c r="A9994" s="15"/>
      <c r="R9994" s="15"/>
    </row>
    <row r="9995" spans="1:18" x14ac:dyDescent="0.25">
      <c r="A9995" s="15"/>
      <c r="R9995" s="15"/>
    </row>
    <row r="9996" spans="1:18" x14ac:dyDescent="0.25">
      <c r="A9996" s="15"/>
      <c r="R9996" s="15"/>
    </row>
    <row r="9997" spans="1:18" x14ac:dyDescent="0.25">
      <c r="A9997" s="15"/>
      <c r="R9997" s="15"/>
    </row>
    <row r="9998" spans="1:18" x14ac:dyDescent="0.25">
      <c r="A9998" s="15"/>
      <c r="R9998" s="15"/>
    </row>
    <row r="9999" spans="1:18" x14ac:dyDescent="0.25">
      <c r="A9999" s="15"/>
      <c r="R9999" s="15"/>
    </row>
    <row r="10000" spans="1:18" x14ac:dyDescent="0.25">
      <c r="A10000" s="15"/>
      <c r="R10000" s="15"/>
    </row>
  </sheetData>
  <sheetProtection algorithmName="SHA-512" hashValue="BcrFzZiJMqnjpYSv0SrO5qA2oMfTcSLmh79nvLXrBU2++Il87W8ZsPJWfUISq8RMfNuYC1W3LAk6sgol2d451Q==" saltValue="DZvGTqM8zoG4+gnOauuw3A==" spinCount="100000" sheet="1"/>
  <mergeCells count="1">
    <mergeCell ref="A7:C7"/>
  </mergeCells>
  <dataValidations count="1">
    <dataValidation allowBlank="1" showInputMessage="1" sqref="M7" xr:uid="{4876BE1C-DDC3-4B16-8545-5984DAB6C1FA}"/>
  </dataValidation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All">
                <anchor moveWithCells="1">
                  <from>
                    <xdr:col>5</xdr:col>
                    <xdr:colOff>28575</xdr:colOff>
                    <xdr:row>3</xdr:row>
                    <xdr:rowOff>142875</xdr:rowOff>
                  </from>
                  <to>
                    <xdr:col>6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SearchEngine_Final_Fixed">
                <anchor moveWithCells="1">
                  <from>
                    <xdr:col>3</xdr:col>
                    <xdr:colOff>19050</xdr:colOff>
                    <xdr:row>4</xdr:row>
                    <xdr:rowOff>0</xdr:rowOff>
                  </from>
                  <to>
                    <xdr:col>4</xdr:col>
                    <xdr:colOff>438150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6" name="Button 26">
              <controlPr defaultSize="0" print="0" autoFill="0" autoPict="0" macro="[0]!ExportToExcel">
                <anchor moveWithCells="1" sizeWithCells="1">
                  <from>
                    <xdr:col>7</xdr:col>
                    <xdr:colOff>381000</xdr:colOff>
                    <xdr:row>3</xdr:row>
                    <xdr:rowOff>171450</xdr:rowOff>
                  </from>
                  <to>
                    <xdr:col>9</xdr:col>
                    <xdr:colOff>723900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7" name="Button 28">
              <controlPr defaultSize="0" print="0" autoFill="0" autoPict="0" macro="[0]!EmailSelectedResults">
                <anchor moveWithCells="1" sizeWithCells="1">
                  <from>
                    <xdr:col>10</xdr:col>
                    <xdr:colOff>190500</xdr:colOff>
                    <xdr:row>3</xdr:row>
                    <xdr:rowOff>152400</xdr:rowOff>
                  </from>
                  <to>
                    <xdr:col>12</xdr:col>
                    <xdr:colOff>9525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xr:uid="{90CD87A9-3599-4060-AB1A-41D2749AAED0}">
          <x14:formula1>
            <xm:f>LISTS!$B$2:$B$48</xm:f>
          </x14:formula1>
          <xm:sqref>C3</xm:sqref>
        </x14:dataValidation>
        <x14:dataValidation type="list" allowBlank="1" showInputMessage="1" xr:uid="{22BAB6F9-2C24-4FDF-861B-2ADCCC8CD0F8}">
          <x14:formula1>
            <xm:f>LISTS!$C$2:$C$12</xm:f>
          </x14:formula1>
          <xm:sqref>F3</xm:sqref>
        </x14:dataValidation>
        <x14:dataValidation type="list" allowBlank="1" showInputMessage="1" xr:uid="{427E8443-B348-4246-80D5-FFED3C3770C2}">
          <x14:formula1>
            <xm:f>LISTS!$D$2:$D$16</xm:f>
          </x14:formula1>
          <xm:sqref>G3</xm:sqref>
        </x14:dataValidation>
        <x14:dataValidation type="list" allowBlank="1" showInputMessage="1" showErrorMessage="1" xr:uid="{EC70A4E8-34A4-4035-8E53-ACE8C14FDB89}">
          <x14:formula1>
            <xm:f>LISTS!$A$2:$A$3</xm:f>
          </x14:formula1>
          <xm:sqref>B3</xm:sqref>
        </x14:dataValidation>
        <x14:dataValidation type="list" allowBlank="1" showInputMessage="1" showErrorMessage="1" xr:uid="{BB85A26A-3D01-4DF3-9DA0-56A50DEBA830}">
          <x14:formula1>
            <xm:f>LISTS!$E$2:$E$9</xm:f>
          </x14:formula1>
          <xm:sqref>H3</xm:sqref>
        </x14:dataValidation>
        <x14:dataValidation type="list" operator="equal" allowBlank="1" showInputMessage="1" showErrorMessage="1" xr:uid="{BCAF9811-A1D0-45D8-9370-50C4C86DC02E}">
          <x14:formula1>
            <xm:f>LISTS!F2:F3</xm:f>
          </x14:formula1>
          <xm:sqref>O3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INVENTORY</vt:lpstr>
      <vt:lpstr>LISTS</vt:lpstr>
      <vt:lpstr>ADVANCED_SEARCH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Eyal Shiri</cp:lastModifiedBy>
  <dcterms:created xsi:type="dcterms:W3CDTF">2026-02-16T13:53:38Z</dcterms:created>
  <dcterms:modified xsi:type="dcterms:W3CDTF">2026-03-20T15:26:29Z</dcterms:modified>
</cp:coreProperties>
</file>